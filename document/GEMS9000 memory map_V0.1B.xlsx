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16_GIT\rstp\rstp\document\"/>
    </mc:Choice>
  </mc:AlternateContent>
  <xr:revisionPtr revIDLastSave="0" documentId="13_ncr:1_{081A89D2-5863-4F40-ADBF-52107F3B0459}" xr6:coauthVersionLast="47" xr6:coauthVersionMax="47" xr10:uidLastSave="{00000000-0000-0000-0000-000000000000}"/>
  <bookViews>
    <workbookView xWindow="2685" yWindow="360" windowWidth="28800" windowHeight="18900" xr2:uid="{00000000-000D-0000-FFFF-FFFF00000000}"/>
  </bookViews>
  <sheets>
    <sheet name="ToDo&amp;Log" sheetId="17" r:id="rId1"/>
    <sheet name="modbus" sheetId="1" r:id="rId2"/>
    <sheet name="Alarm Channel" sheetId="15" r:id="rId3"/>
    <sheet name="IOM" sheetId="30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6" i="1" l="1"/>
  <c r="A1108" i="1"/>
  <c r="A1107" i="1"/>
  <c r="A1076" i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G533" i="1"/>
  <c r="G532" i="1"/>
  <c r="G531" i="1"/>
  <c r="G530" i="1"/>
  <c r="G529" i="1"/>
  <c r="A529" i="1"/>
  <c r="A530" i="1"/>
  <c r="A531" i="1" s="1"/>
  <c r="A532" i="1" s="1"/>
  <c r="A533" i="1" s="1"/>
  <c r="A534" i="1" s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534" i="1"/>
  <c r="G528" i="1"/>
  <c r="G527" i="1"/>
  <c r="G526" i="1"/>
  <c r="G754" i="1"/>
  <c r="G755" i="1"/>
  <c r="G821" i="1" l="1"/>
  <c r="G820" i="1"/>
  <c r="G753" i="1" l="1"/>
  <c r="G752" i="1"/>
  <c r="G1046" i="1" l="1"/>
  <c r="G1045" i="1" l="1"/>
  <c r="G1044" i="1"/>
  <c r="G751" i="1" l="1"/>
  <c r="G1074" i="1" l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994" i="1" l="1"/>
  <c r="G358" i="1" l="1"/>
  <c r="G357" i="1"/>
  <c r="G356" i="1"/>
  <c r="G14" i="30" l="1"/>
  <c r="G13" i="30" l="1"/>
  <c r="G12" i="30"/>
  <c r="G11" i="30"/>
  <c r="G10" i="30"/>
  <c r="G1017" i="1" l="1"/>
  <c r="G1016" i="1"/>
  <c r="G1015" i="1"/>
  <c r="G1014" i="1"/>
  <c r="G1013" i="1"/>
  <c r="G1012" i="1"/>
  <c r="G1011" i="1"/>
  <c r="G1010" i="1"/>
  <c r="G17" i="30" l="1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6" i="30" s="1"/>
  <c r="A17" i="30" s="1"/>
  <c r="A19" i="30" l="1"/>
  <c r="A20" i="30" s="1"/>
  <c r="G784" i="1"/>
  <c r="G783" i="1"/>
  <c r="G782" i="1"/>
  <c r="G781" i="1"/>
  <c r="G780" i="1"/>
  <c r="G779" i="1"/>
  <c r="G778" i="1"/>
  <c r="A21" i="30" l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9" i="30" l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4" i="30" s="1"/>
  <c r="G822" i="1"/>
  <c r="G785" i="1" l="1"/>
  <c r="G545" i="1" l="1"/>
  <c r="G544" i="1"/>
  <c r="G543" i="1"/>
  <c r="G542" i="1"/>
  <c r="G541" i="1"/>
  <c r="G540" i="1"/>
  <c r="G539" i="1"/>
  <c r="G538" i="1"/>
  <c r="G537" i="1"/>
  <c r="G536" i="1"/>
  <c r="G776" i="1" l="1"/>
  <c r="G842" i="1" l="1"/>
  <c r="G838" i="1"/>
  <c r="G837" i="1"/>
  <c r="G833" i="1"/>
  <c r="G832" i="1"/>
  <c r="G828" i="1"/>
  <c r="G827" i="1"/>
  <c r="G445" i="1" l="1"/>
  <c r="G808" i="1" l="1"/>
  <c r="G193" i="1" l="1"/>
  <c r="G819" i="1" l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25" i="1" l="1"/>
  <c r="G657" i="1"/>
  <c r="G658" i="1"/>
  <c r="G656" i="1"/>
  <c r="G626" i="1"/>
  <c r="G598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7" i="1"/>
  <c r="G348" i="1" l="1"/>
  <c r="G131" i="1" l="1"/>
  <c r="G130" i="1"/>
  <c r="G129" i="1"/>
  <c r="G128" i="1"/>
  <c r="G455" i="1" l="1"/>
  <c r="G156" i="1"/>
  <c r="G155" i="1"/>
  <c r="G154" i="1"/>
  <c r="G153" i="1"/>
  <c r="G152" i="1"/>
  <c r="G151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556" i="1"/>
  <c r="G555" i="1"/>
  <c r="G554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95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3" i="1"/>
  <c r="G552" i="1"/>
  <c r="G551" i="1"/>
  <c r="G550" i="1"/>
  <c r="G549" i="1"/>
  <c r="G548" i="1"/>
  <c r="G54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3" i="1"/>
  <c r="G157" i="1"/>
  <c r="G133" i="1"/>
  <c r="G756" i="1" l="1"/>
  <c r="G750" i="1"/>
  <c r="G749" i="1"/>
  <c r="G315" i="1" l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2" i="1"/>
  <c r="G264" i="1"/>
  <c r="G263" i="1"/>
  <c r="G265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888" i="1" l="1"/>
  <c r="G942" i="1"/>
  <c r="G941" i="1"/>
  <c r="G940" i="1"/>
  <c r="G714" i="1"/>
  <c r="G715" i="1"/>
  <c r="G716" i="1"/>
  <c r="G717" i="1"/>
  <c r="G718" i="1"/>
  <c r="G719" i="1"/>
  <c r="G720" i="1"/>
  <c r="G710" i="1"/>
  <c r="G775" i="1"/>
  <c r="G774" i="1"/>
  <c r="G773" i="1"/>
  <c r="G772" i="1"/>
  <c r="G771" i="1" l="1"/>
  <c r="G1028" i="1"/>
  <c r="G350" i="1" l="1"/>
  <c r="G943" i="1" l="1"/>
  <c r="G939" i="1"/>
  <c r="G938" i="1"/>
  <c r="G937" i="1"/>
  <c r="G936" i="1"/>
  <c r="G935" i="1"/>
  <c r="G934" i="1"/>
  <c r="G496" i="1" l="1"/>
  <c r="G501" i="1"/>
  <c r="G444" i="1" l="1"/>
  <c r="G450" i="1"/>
  <c r="G451" i="1"/>
  <c r="G488" i="1"/>
  <c r="G449" i="1"/>
  <c r="G44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4" i="1"/>
  <c r="G452" i="1"/>
  <c r="G493" i="1"/>
  <c r="G411" i="1" l="1"/>
  <c r="G410" i="1"/>
  <c r="G446" i="1"/>
  <c r="G412" i="1"/>
  <c r="G400" i="1" l="1"/>
  <c r="G402" i="1" l="1"/>
  <c r="G123" i="1"/>
  <c r="G122" i="1"/>
  <c r="G121" i="1"/>
  <c r="G120" i="1"/>
  <c r="G119" i="1"/>
  <c r="G118" i="1"/>
  <c r="G125" i="1"/>
  <c r="G124" i="1"/>
  <c r="G1009" i="1" l="1"/>
  <c r="G1008" i="1"/>
  <c r="G1007" i="1"/>
  <c r="G1006" i="1"/>
  <c r="G1005" i="1"/>
  <c r="G1004" i="1"/>
  <c r="G1003" i="1"/>
  <c r="G1002" i="1"/>
  <c r="G853" i="1"/>
  <c r="G843" i="1"/>
  <c r="G403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0" i="1"/>
  <c r="G499" i="1"/>
  <c r="G498" i="1"/>
  <c r="G497" i="1"/>
  <c r="G495" i="1"/>
  <c r="G492" i="1"/>
  <c r="G491" i="1"/>
  <c r="G4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I177" i="1"/>
  <c r="G818" i="1" l="1"/>
  <c r="G770" i="1" l="1"/>
  <c r="G734" i="1"/>
  <c r="G733" i="1"/>
  <c r="G732" i="1"/>
  <c r="G731" i="1"/>
  <c r="G741" i="1"/>
  <c r="G740" i="1"/>
  <c r="G739" i="1"/>
  <c r="G738" i="1"/>
  <c r="G737" i="1"/>
  <c r="G736" i="1"/>
  <c r="G735" i="1"/>
  <c r="G713" i="1"/>
  <c r="G990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865" i="1"/>
  <c r="G807" i="1"/>
  <c r="G806" i="1"/>
  <c r="G399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952" i="1" l="1"/>
  <c r="G951" i="1"/>
  <c r="G958" i="1"/>
  <c r="G957" i="1"/>
  <c r="G956" i="1"/>
  <c r="G955" i="1"/>
  <c r="G954" i="1"/>
  <c r="G950" i="1"/>
  <c r="G949" i="1"/>
  <c r="G946" i="1"/>
  <c r="G947" i="1"/>
  <c r="G945" i="1"/>
  <c r="G1026" i="1"/>
  <c r="G1021" i="1"/>
  <c r="G1020" i="1"/>
  <c r="G1019" i="1"/>
  <c r="G1018" i="1"/>
  <c r="G1001" i="1"/>
  <c r="G1000" i="1"/>
  <c r="G999" i="1"/>
  <c r="G998" i="1"/>
  <c r="G997" i="1"/>
  <c r="G868" i="1"/>
  <c r="G841" i="1"/>
  <c r="G840" i="1"/>
  <c r="G839" i="1"/>
  <c r="G900" i="1" l="1"/>
  <c r="G899" i="1"/>
  <c r="G898" i="1"/>
  <c r="G897" i="1"/>
  <c r="G896" i="1"/>
  <c r="G895" i="1"/>
  <c r="G894" i="1"/>
  <c r="G893" i="1"/>
  <c r="G892" i="1"/>
  <c r="G891" i="1"/>
  <c r="G890" i="1"/>
  <c r="G889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996" i="1"/>
  <c r="G993" i="1"/>
  <c r="G992" i="1"/>
  <c r="G864" i="1"/>
  <c r="G863" i="1"/>
  <c r="G862" i="1"/>
  <c r="G861" i="1"/>
  <c r="G859" i="1"/>
  <c r="G858" i="1"/>
  <c r="G857" i="1"/>
  <c r="G856" i="1"/>
  <c r="G788" i="1"/>
  <c r="G789" i="1"/>
  <c r="G790" i="1"/>
  <c r="G791" i="1"/>
  <c r="G769" i="1"/>
  <c r="G777" i="1"/>
  <c r="G817" i="1"/>
  <c r="G816" i="1"/>
  <c r="G815" i="1"/>
  <c r="G768" i="1"/>
  <c r="G805" i="1"/>
  <c r="G804" i="1"/>
  <c r="G803" i="1"/>
  <c r="G802" i="1"/>
  <c r="G852" i="1"/>
  <c r="G851" i="1"/>
  <c r="G850" i="1"/>
  <c r="G849" i="1"/>
  <c r="G848" i="1"/>
  <c r="G847" i="1"/>
  <c r="G846" i="1"/>
  <c r="G845" i="1"/>
  <c r="G836" i="1"/>
  <c r="G835" i="1"/>
  <c r="G834" i="1"/>
  <c r="G831" i="1"/>
  <c r="G830" i="1"/>
  <c r="G829" i="1"/>
  <c r="G826" i="1"/>
  <c r="G825" i="1"/>
  <c r="G824" i="1"/>
  <c r="G792" i="1"/>
  <c r="G787" i="1"/>
  <c r="G814" i="1"/>
  <c r="G813" i="1"/>
  <c r="G812" i="1"/>
  <c r="G801" i="1"/>
  <c r="G800" i="1"/>
  <c r="G799" i="1"/>
  <c r="G798" i="1"/>
  <c r="G811" i="1"/>
  <c r="G810" i="1"/>
  <c r="G797" i="1"/>
  <c r="G796" i="1"/>
  <c r="G795" i="1"/>
  <c r="G794" i="1"/>
  <c r="G767" i="1"/>
  <c r="G766" i="1"/>
  <c r="G765" i="1"/>
  <c r="G764" i="1"/>
  <c r="G763" i="1"/>
  <c r="G762" i="1"/>
  <c r="G761" i="1"/>
  <c r="G759" i="1" l="1"/>
  <c r="G760" i="1"/>
  <c r="G748" i="1"/>
  <c r="G407" i="1" l="1"/>
  <c r="G406" i="1"/>
  <c r="G401" i="1"/>
  <c r="G359" i="1"/>
  <c r="G217" i="1" l="1"/>
  <c r="G216" i="1"/>
  <c r="G215" i="1"/>
  <c r="G202" i="1"/>
  <c r="G201" i="1"/>
  <c r="G200" i="1"/>
  <c r="G199" i="1"/>
  <c r="G198" i="1"/>
  <c r="G197" i="1"/>
  <c r="G349" i="1" l="1"/>
  <c r="G347" i="1"/>
  <c r="G346" i="1"/>
  <c r="G345" i="1"/>
  <c r="G344" i="1"/>
  <c r="G343" i="1"/>
  <c r="G342" i="1"/>
  <c r="G341" i="1"/>
  <c r="G340" i="1"/>
  <c r="G339" i="1"/>
  <c r="G337" i="1"/>
  <c r="G336" i="1"/>
  <c r="G335" i="1"/>
  <c r="G334" i="1"/>
  <c r="G333" i="1"/>
  <c r="G332" i="1"/>
  <c r="G331" i="1"/>
  <c r="G330" i="1"/>
  <c r="G329" i="1"/>
  <c r="G328" i="1"/>
  <c r="G325" i="1"/>
  <c r="G324" i="1"/>
  <c r="G323" i="1"/>
  <c r="G322" i="1"/>
  <c r="G321" i="1"/>
  <c r="G320" i="1"/>
  <c r="G747" i="1" l="1"/>
  <c r="G744" i="1"/>
  <c r="G746" i="1"/>
  <c r="G745" i="1"/>
  <c r="G743" i="1"/>
  <c r="G376" i="1"/>
  <c r="G214" i="1" l="1"/>
  <c r="G218" i="1"/>
  <c r="G213" i="1"/>
  <c r="G212" i="1"/>
  <c r="G211" i="1"/>
  <c r="G210" i="1"/>
  <c r="G209" i="1"/>
  <c r="G208" i="1"/>
  <c r="G207" i="1"/>
  <c r="G206" i="1"/>
  <c r="G205" i="1"/>
  <c r="G204" i="1"/>
  <c r="G203" i="1"/>
  <c r="G353" i="1"/>
  <c r="G352" i="1"/>
  <c r="G354" i="1"/>
  <c r="G317" i="1"/>
  <c r="G195" i="1"/>
  <c r="G175" i="1"/>
  <c r="G174" i="1"/>
  <c r="G172" i="1"/>
  <c r="G170" i="1"/>
  <c r="G168" i="1"/>
  <c r="G166" i="1"/>
  <c r="G164" i="1"/>
  <c r="G162" i="1"/>
  <c r="G380" i="1"/>
  <c r="G369" i="1"/>
  <c r="G368" i="1"/>
  <c r="G364" i="1"/>
  <c r="G363" i="1"/>
  <c r="G379" i="1"/>
  <c r="G378" i="1"/>
  <c r="G405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09" i="1"/>
  <c r="G408" i="1"/>
  <c r="G222" i="1"/>
  <c r="G355" i="1" l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77" i="1"/>
  <c r="G383" i="1"/>
  <c r="G382" i="1"/>
  <c r="G381" i="1"/>
  <c r="G372" i="1"/>
  <c r="G371" i="1"/>
  <c r="G370" i="1"/>
  <c r="G373" i="1"/>
  <c r="G374" i="1"/>
  <c r="G375" i="1"/>
  <c r="G367" i="1"/>
  <c r="G366" i="1"/>
  <c r="G365" i="1"/>
  <c r="G362" i="1"/>
  <c r="G361" i="1"/>
  <c r="G360" i="1"/>
  <c r="G266" i="1"/>
  <c r="G224" i="1"/>
  <c r="G221" i="1"/>
  <c r="G220" i="1"/>
  <c r="G194" i="1"/>
  <c r="G126" i="1"/>
  <c r="G223" i="1"/>
  <c r="G192" i="1"/>
  <c r="G191" i="1"/>
  <c r="G190" i="1"/>
  <c r="G189" i="1"/>
  <c r="G188" i="1"/>
  <c r="G187" i="1"/>
  <c r="G186" i="1"/>
  <c r="G185" i="1"/>
  <c r="G184" i="1"/>
  <c r="G160" i="1"/>
  <c r="A4" i="1"/>
  <c r="G326" i="1"/>
  <c r="G319" i="1"/>
  <c r="G318" i="1"/>
  <c r="G183" i="1"/>
  <c r="G182" i="1"/>
  <c r="G181" i="1"/>
  <c r="G180" i="1"/>
  <c r="G179" i="1"/>
  <c r="G178" i="1"/>
  <c r="G177" i="1"/>
  <c r="G176" i="1"/>
  <c r="G173" i="1"/>
  <c r="G171" i="1"/>
  <c r="G169" i="1"/>
  <c r="G167" i="1"/>
  <c r="G165" i="1"/>
  <c r="G163" i="1"/>
  <c r="G161" i="1"/>
  <c r="G159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l="1"/>
  <c r="A90" i="1" s="1"/>
  <c r="A91" i="1" s="1"/>
  <c r="A92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l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8" i="1" l="1"/>
  <c r="A129" i="1" s="1"/>
  <c r="A130" i="1" s="1"/>
  <c r="A131" i="1" s="1"/>
  <c r="A133" i="1" s="1"/>
  <c r="A134" i="1" l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l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7" i="1" l="1"/>
  <c r="A318" i="1" s="1"/>
  <c r="A319" i="1" s="1"/>
  <c r="A320" i="1" s="1"/>
  <c r="A321" i="1" s="1"/>
  <c r="A322" i="1" s="1"/>
  <c r="A323" i="1" s="1"/>
  <c r="A324" i="1" s="1"/>
  <c r="A325" i="1" s="1"/>
  <c r="A326" i="1" s="1"/>
  <c r="A328" i="1" l="1"/>
  <c r="A329" i="1" s="1"/>
  <c r="A330" i="1" s="1"/>
  <c r="A331" i="1" s="1"/>
  <c r="A332" i="1" s="1"/>
  <c r="A333" i="1" s="1"/>
  <c r="A334" i="1" s="1"/>
  <c r="A335" i="1" s="1"/>
  <c r="A336" i="1" s="1"/>
  <c r="A337" i="1" s="1"/>
  <c r="A339" i="1" s="1"/>
  <c r="A340" i="1" s="1"/>
  <c r="A341" i="1" s="1"/>
  <c r="A342" i="1" s="1"/>
  <c r="A343" i="1" s="1"/>
  <c r="A344" i="1" s="1"/>
  <c r="A345" i="1" s="1"/>
  <c r="A346" i="1" s="1"/>
  <c r="A347" i="1" s="1"/>
  <c r="I326" i="1"/>
  <c r="A348" i="1" l="1"/>
  <c r="A349" i="1" l="1"/>
  <c r="A350" i="1" s="1"/>
  <c r="A352" i="1" s="1"/>
  <c r="A353" i="1" s="1"/>
  <c r="A354" i="1" s="1"/>
  <c r="A355" i="1" s="1"/>
  <c r="A356" i="1" l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90" i="1" s="1"/>
  <c r="A491" i="1" s="1"/>
  <c r="A492" i="1" s="1"/>
  <c r="A493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l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l="1"/>
  <c r="A527" i="1" s="1"/>
  <c r="A528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7" i="1" s="1"/>
  <c r="A548" i="1" l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7" i="1" s="1"/>
  <c r="A598" i="1" l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l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6" i="1" s="1"/>
  <c r="A657" i="1" l="1"/>
  <c r="A658" i="1" s="1"/>
  <c r="A660" i="1" s="1"/>
  <c r="A661" i="1" l="1"/>
  <c r="A662" i="1" l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10" i="1" s="1"/>
  <c r="A711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l="1"/>
  <c r="A754" i="1" s="1"/>
  <c r="A755" i="1" s="1"/>
  <c r="A756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7" i="1" s="1"/>
  <c r="A788" i="1" s="1"/>
  <c r="A789" i="1" s="1"/>
  <c r="A790" i="1" s="1"/>
  <c r="A791" i="1" s="1"/>
  <c r="A792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10" i="1" s="1"/>
  <c r="A811" i="1" l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5" i="1" s="1"/>
  <c r="A846" i="1" s="1"/>
  <c r="A847" i="1" s="1"/>
  <c r="A848" i="1" s="1"/>
  <c r="A849" i="1" s="1"/>
  <c r="A850" i="1" s="1"/>
  <c r="A851" i="1" s="1"/>
  <c r="A852" i="1" s="1"/>
  <c r="A853" i="1" s="1"/>
  <c r="A856" i="1" s="1"/>
  <c r="A857" i="1" s="1"/>
  <c r="A858" i="1" s="1"/>
  <c r="A859" i="1" s="1"/>
  <c r="A861" i="1" s="1"/>
  <c r="A862" i="1" s="1"/>
  <c r="A863" i="1" s="1"/>
  <c r="A864" i="1" s="1"/>
  <c r="A865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5" i="1" s="1"/>
  <c r="A946" i="1" s="1"/>
  <c r="A947" i="1" s="1"/>
  <c r="A949" i="1" s="1"/>
  <c r="A950" i="1" s="1"/>
  <c r="A951" i="1" s="1"/>
  <c r="A952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2" i="1" s="1"/>
  <c r="A993" i="1" s="1"/>
  <c r="A994" i="1" l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I902" i="1"/>
  <c r="I799" i="1"/>
  <c r="A1018" i="1" l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30" i="1" l="1"/>
  <c r="A1031" i="1" s="1"/>
  <c r="A1032" i="1" s="1"/>
  <c r="A1033" i="1" s="1"/>
  <c r="A1034" i="1" s="1"/>
  <c r="A1035" i="1" s="1"/>
  <c r="A1036" i="1" s="1"/>
  <c r="A1037" i="1" s="1"/>
  <c r="A1038" i="1" s="1"/>
  <c r="A1039" i="1" l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2" i="1" s="1"/>
  <c r="A1063" i="1" l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</calcChain>
</file>

<file path=xl/sharedStrings.xml><?xml version="1.0" encoding="utf-8"?>
<sst xmlns="http://schemas.openxmlformats.org/spreadsheetml/2006/main" count="3000" uniqueCount="1276">
  <si>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</si>
  <si>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</si>
  <si>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</si>
  <si>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</si>
  <si>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</si>
  <si>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</si>
  <si>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</si>
  <si>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</si>
  <si>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</si>
  <si>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</si>
  <si>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</si>
  <si>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</si>
  <si>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</si>
  <si>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</si>
  <si>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</si>
  <si>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</si>
  <si>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</si>
  <si>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</si>
  <si>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</si>
  <si>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</si>
  <si>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</si>
  <si>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</si>
  <si>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</si>
  <si>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</si>
  <si>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</si>
  <si>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</si>
  <si>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</si>
  <si>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</si>
  <si>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</si>
  <si>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</si>
  <si>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</si>
  <si>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</si>
  <si>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</si>
  <si>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</si>
  <si>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</si>
  <si>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</si>
  <si>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</si>
  <si>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</si>
  <si>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</si>
  <si>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</si>
  <si>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</si>
  <si>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</si>
  <si>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</si>
  <si>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</si>
  <si>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</si>
  <si>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</si>
  <si>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</si>
  <si>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</si>
  <si>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</si>
  <si>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</si>
  <si>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</si>
  <si>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</si>
  <si>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</si>
  <si>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</si>
  <si>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</si>
  <si>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</si>
  <si>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</si>
  <si>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</si>
  <si>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</si>
  <si>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</si>
  <si>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</si>
  <si>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</si>
  <si>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</si>
  <si>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</si>
  <si>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</si>
  <si>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</si>
  <si>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</si>
  <si>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</si>
  <si>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</si>
  <si>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</si>
  <si>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</si>
  <si>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</si>
  <si>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</si>
  <si>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</si>
  <si>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</si>
  <si>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</si>
  <si>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</si>
  <si>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</si>
  <si>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</si>
  <si>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</si>
  <si>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</si>
  <si>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</si>
  <si>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</si>
  <si>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</si>
  <si>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</si>
  <si>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</si>
  <si>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</si>
  <si>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</si>
  <si>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</si>
  <si>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</si>
  <si>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</si>
  <si>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</si>
  <si>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</si>
  <si>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</si>
  <si>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</si>
  <si>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</si>
  <si>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</si>
  <si>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</si>
  <si>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</si>
  <si>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</si>
  <si>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</si>
  <si>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</si>
  <si>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</si>
  <si>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>Rapid Voltage Changes L1</t>
    <phoneticPr fontId="1" type="noConversion"/>
  </si>
  <si>
    <t>Rapid Voltage Changes L2</t>
  </si>
  <si>
    <t>Rapid Voltage Changes L3</t>
  </si>
  <si>
    <t>Voltage Dips L1</t>
    <phoneticPr fontId="1" type="noConversion"/>
  </si>
  <si>
    <t>Voltage Dips L2</t>
  </si>
  <si>
    <t>Voltage Swells L1</t>
    <phoneticPr fontId="1" type="noConversion"/>
  </si>
  <si>
    <t>Voltage Swells L2</t>
  </si>
  <si>
    <t>Voltage Swells L3</t>
  </si>
  <si>
    <t>Short Interruptions L1</t>
    <phoneticPr fontId="1" type="noConversion"/>
  </si>
  <si>
    <t>Short Interruptions L2</t>
  </si>
  <si>
    <t>Short Interruptions L3</t>
  </si>
  <si>
    <t>Long Interruptions L1</t>
    <phoneticPr fontId="1" type="noConversion"/>
  </si>
  <si>
    <t>Long Interruptions L2</t>
  </si>
  <si>
    <t>Long Interruptions L3</t>
  </si>
  <si>
    <t>start date</t>
    <phoneticPr fontId="1" type="noConversion"/>
  </si>
  <si>
    <t>end date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</si>
  <si>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</si>
  <si>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</si>
  <si>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</si>
  <si>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</si>
  <si>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</si>
  <si>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</si>
  <si>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</si>
  <si>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</si>
  <si>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</si>
  <si>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</si>
  <si>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</si>
  <si>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</si>
  <si>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</si>
  <si>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</si>
  <si>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</si>
  <si>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</si>
  <si>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</si>
  <si>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</si>
  <si>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</si>
  <si>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status</t>
    <phoneticPr fontId="1" type="noConversion"/>
  </si>
  <si>
    <t>compilance</t>
    <phoneticPr fontId="1" type="noConversion"/>
  </si>
  <si>
    <t>U16</t>
    <phoneticPr fontId="1" type="noConversion"/>
  </si>
  <si>
    <t>캐리어 신호의 크기</t>
    <phoneticPr fontId="1" type="noConversion"/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</si>
  <si>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</si>
  <si>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</si>
  <si>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</si>
  <si>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</si>
  <si>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</si>
  <si>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</si>
  <si>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</si>
  <si>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</si>
  <si>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</si>
  <si>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</si>
  <si>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</si>
  <si>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Energy</t>
    <phoneticPr fontId="1" type="noConversion"/>
  </si>
  <si>
    <t>Demand</t>
    <phoneticPr fontId="1" type="noConversion"/>
  </si>
  <si>
    <t>THD</t>
    <phoneticPr fontId="1" type="noConversion"/>
  </si>
  <si>
    <t>Metering</t>
    <phoneticPr fontId="1" type="noConversion"/>
  </si>
  <si>
    <t>import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</si>
  <si>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</si>
  <si>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</si>
  <si>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</si>
  <si>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</si>
  <si>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</si>
  <si>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Flickers Pi L1</t>
    <phoneticPr fontId="1" type="noConversion"/>
  </si>
  <si>
    <t>Flickers Pi L2</t>
  </si>
  <si>
    <t>Flickers Pi L3</t>
  </si>
  <si>
    <t>Flicker Pim L1</t>
    <phoneticPr fontId="1" type="noConversion"/>
  </si>
  <si>
    <t>Flicker Pim L2</t>
  </si>
  <si>
    <t>Flicker Pim L3</t>
    <phoneticPr fontId="1" type="noConversion"/>
  </si>
  <si>
    <t>Flicker Pst L1</t>
    <phoneticPr fontId="1" type="noConversion"/>
  </si>
  <si>
    <t>Flicker Pst L2</t>
    <phoneticPr fontId="1" type="noConversion"/>
  </si>
  <si>
    <t>Flicker Pst L3</t>
    <phoneticPr fontId="1" type="noConversion"/>
  </si>
  <si>
    <t>Flicker Plt L1</t>
    <phoneticPr fontId="1" type="noConversion"/>
  </si>
  <si>
    <t>Flicker Plt L2</t>
  </si>
  <si>
    <t>Flicker Plt L3</t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</si>
  <si>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</si>
  <si>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</si>
  <si>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</si>
  <si>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</si>
  <si>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</si>
  <si>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</si>
  <si>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</si>
  <si>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</si>
  <si>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</si>
  <si>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</si>
  <si>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</si>
  <si>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</si>
  <si>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</si>
  <si>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</si>
  <si>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</si>
  <si>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</si>
  <si>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</si>
  <si>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</si>
  <si>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</si>
  <si>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</si>
  <si>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</si>
  <si>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</si>
  <si>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</si>
  <si>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</si>
  <si>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</si>
  <si>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</si>
  <si>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</si>
  <si>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</si>
  <si>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</si>
  <si>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</si>
  <si>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</si>
  <si>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</si>
  <si>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O</t>
    <phoneticPr fontId="1" type="noConversion"/>
  </si>
  <si>
    <t>구현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</si>
  <si>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</si>
  <si>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</si>
  <si>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Voltage Under Deviation L1</t>
    <phoneticPr fontId="1" type="noConversion"/>
  </si>
  <si>
    <t>Voltage Under Deviation L2</t>
  </si>
  <si>
    <t>Voltage Under Deviation L3</t>
  </si>
  <si>
    <t>Voltage Over Deviation L1</t>
    <phoneticPr fontId="1" type="noConversion"/>
  </si>
  <si>
    <t>Voltage Over Deviation L2</t>
  </si>
  <si>
    <t>Voltage Over Deviation L3</t>
  </si>
  <si>
    <t>Signaling Volt L1</t>
    <phoneticPr fontId="1" type="noConversion"/>
  </si>
  <si>
    <t>Signaling Volt L2</t>
  </si>
  <si>
    <t>Signaling Volt L3</t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</si>
  <si>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</si>
  <si>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</si>
  <si>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</si>
  <si>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</si>
  <si>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</si>
  <si>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</si>
  <si>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</si>
  <si>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</si>
  <si>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</si>
  <si>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</si>
  <si>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</si>
  <si>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</si>
  <si>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</si>
  <si>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</si>
  <si>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</si>
  <si>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</si>
  <si>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</si>
  <si>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</si>
  <si>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baud rate
0: 9600
1:19200
2:38400
3:57600
4:115200</t>
    <phoneticPr fontId="1" type="noConversion"/>
  </si>
  <si>
    <t>parity
0: none
1: odd
2: even</t>
    <phoneticPr fontId="1" type="noConversion"/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</si>
  <si>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</si>
  <si>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</si>
  <si>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</si>
  <si>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I Nominal</t>
    <phoneticPr fontId="1" type="noConversion"/>
  </si>
  <si>
    <t>CT1</t>
    <phoneticPr fontId="1" type="noConversion"/>
  </si>
  <si>
    <t># turns(unused)</t>
    <phoneticPr fontId="1" type="noConversion"/>
  </si>
  <si>
    <t>VA type
0: RMS(S=VA)
1: vector(S=sqrt(P*P+Q*Q)</t>
    <phoneticPr fontId="1" type="noConversion"/>
  </si>
  <si>
    <t>PF sign
0: IEC
1: IEEE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</si>
  <si>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</si>
  <si>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</si>
  <si>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</si>
  <si>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</si>
  <si>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</si>
  <si>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CT1 direction
0: positive
1: negative</t>
    <phoneticPr fontId="1" type="noConversion"/>
  </si>
  <si>
    <t>CT2 direction</t>
  </si>
  <si>
    <t>CT3 direction</t>
  </si>
  <si>
    <t>Rogowski CT Model</t>
    <phoneticPr fontId="1" type="noConversion"/>
  </si>
  <si>
    <t>phase offset 1
* phase resolution 
60Hz: 0.0211, 50Hz: 0.0176
* range: +63 ~ -383
 1.329 ~ -8.079
 1.107 ~ -6.732</t>
    <phoneticPr fontId="1" type="noConversion"/>
  </si>
  <si>
    <t>phase offset 2</t>
  </si>
  <si>
    <t>phase offset 3</t>
  </si>
  <si>
    <t>wiring mode
0: 3p4w
1: 3p3w(2CT)
2: 3p3w(3CT)
3: 1p2w
4: 1p3w</t>
    <phoneticPr fontId="1" type="noConversion"/>
  </si>
  <si>
    <t>V nominal</t>
    <phoneticPr fontId="1" type="noConversion"/>
  </si>
  <si>
    <t>PT2</t>
    <phoneticPr fontId="1" type="noConversion"/>
  </si>
  <si>
    <t>RS-485 mode
0: slave
1: Master</t>
  </si>
  <si>
    <t>Module Type</t>
    <phoneticPr fontId="1" type="noConversion"/>
  </si>
  <si>
    <t>DCI#1, Shunt Type</t>
    <phoneticPr fontId="1" type="noConversion"/>
  </si>
  <si>
    <t>DCI#1, Nominal Current</t>
    <phoneticPr fontId="1" type="noConversion"/>
  </si>
  <si>
    <t>DCI#2, Shunt Type</t>
    <phoneticPr fontId="1" type="noConversion"/>
  </si>
  <si>
    <t>DCI#2, Nominal Current</t>
  </si>
  <si>
    <t>Trigger Action</t>
  </si>
  <si>
    <t>O</t>
  </si>
  <si>
    <t>U32</t>
  </si>
  <si>
    <t>U16</t>
  </si>
  <si>
    <t>PT1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</si>
  <si>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</si>
  <si>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</si>
  <si>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</si>
  <si>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</si>
  <si>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</si>
  <si>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</si>
  <si>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</si>
  <si>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</si>
  <si>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</si>
  <si>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</si>
  <si>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</si>
  <si>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</si>
  <si>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</si>
  <si>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</si>
  <si>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</si>
  <si>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</si>
  <si>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</si>
  <si>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</si>
  <si>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</si>
  <si>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</si>
  <si>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</si>
  <si>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</si>
  <si>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</si>
  <si>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</si>
  <si>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</si>
  <si>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</si>
  <si>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</si>
  <si>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</si>
  <si>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</si>
  <si>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</si>
  <si>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</si>
  <si>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</si>
  <si>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</si>
  <si>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</si>
  <si>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</si>
  <si>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</si>
  <si>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</si>
  <si>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</si>
  <si>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</si>
  <si>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</si>
  <si>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</si>
  <si>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</si>
  <si>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</si>
  <si>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</si>
  <si>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</si>
  <si>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</si>
  <si>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</si>
  <si>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</si>
  <si>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</si>
  <si>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</si>
  <si>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</si>
  <si>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 xml:space="preserve">Command </t>
  </si>
  <si>
    <t>reboot</t>
    <phoneticPr fontId="1" type="noConversion"/>
  </si>
  <si>
    <t>save settings</t>
    <phoneticPr fontId="1" type="noConversion"/>
  </si>
  <si>
    <t>clear demand</t>
    <phoneticPr fontId="1" type="noConversion"/>
  </si>
  <si>
    <t>clear minmax</t>
    <phoneticPr fontId="1" type="noConversion"/>
  </si>
  <si>
    <t>clear energy</t>
    <phoneticPr fontId="1" type="noConversion"/>
  </si>
  <si>
    <t>clear alarm</t>
    <phoneticPr fontId="1" type="noConversion"/>
  </si>
  <si>
    <t>init settings</t>
    <phoneticPr fontId="1" type="noConversion"/>
  </si>
  <si>
    <t>clear event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</si>
  <si>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</si>
  <si>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</si>
  <si>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</si>
  <si>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</si>
  <si>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</si>
  <si>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</si>
  <si>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</si>
  <si>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</si>
  <si>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</si>
  <si>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</si>
  <si>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IO Modules #1</t>
  </si>
  <si>
    <t>U16</t>
    <phoneticPr fontId="1" type="noConversion"/>
  </si>
  <si>
    <t>U16</t>
    <phoneticPr fontId="1" type="noConversion"/>
  </si>
  <si>
    <t>IOM Data</t>
  </si>
  <si>
    <t>METER INFO</t>
  </si>
  <si>
    <t>DHCP enabled</t>
  </si>
  <si>
    <t>PT</t>
  </si>
  <si>
    <t>CT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</si>
  <si>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</si>
  <si>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</si>
  <si>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</si>
  <si>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</si>
  <si>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</si>
  <si>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</si>
  <si>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</si>
  <si>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</si>
  <si>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</si>
  <si>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I-ref,  1=0.1A</t>
    <phoneticPr fontId="1" type="noConversion"/>
  </si>
  <si>
    <t>V-ref, 1=1V</t>
    <phoneticPr fontId="1" type="noConversion"/>
  </si>
  <si>
    <t xml:space="preserve"> </t>
    <phoneticPr fontId="1" type="noConversion"/>
  </si>
  <si>
    <t>start ts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</si>
  <si>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</si>
  <si>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</si>
  <si>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</si>
  <si>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</si>
  <si>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</si>
  <si>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</si>
  <si>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</si>
  <si>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</si>
  <si>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</si>
  <si>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</si>
  <si>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</si>
  <si>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</si>
  <si>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</si>
  <si>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</si>
  <si>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</si>
  <si>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</si>
  <si>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</si>
  <si>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</si>
  <si>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</si>
  <si>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</si>
  <si>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</si>
  <si>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</si>
  <si>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</si>
  <si>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</si>
  <si>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</si>
  <si>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</si>
  <si>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</si>
  <si>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</si>
  <si>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</si>
  <si>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</si>
  <si>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</si>
  <si>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</si>
  <si>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</si>
  <si>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</si>
  <si>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</si>
  <si>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</si>
  <si>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</si>
  <si>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</si>
  <si>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</si>
  <si>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</si>
  <si>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</si>
  <si>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</si>
  <si>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</si>
  <si>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</si>
  <si>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</si>
  <si>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</si>
  <si>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</si>
  <si>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</si>
  <si>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</si>
  <si>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</si>
  <si>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</si>
  <si>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</si>
  <si>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</si>
  <si>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</si>
  <si>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</si>
  <si>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</si>
  <si>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</si>
  <si>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</si>
  <si>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</si>
  <si>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</si>
  <si>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</si>
  <si>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</si>
  <si>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</si>
  <si>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</si>
  <si>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</si>
  <si>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</si>
  <si>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</si>
  <si>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</si>
  <si>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</si>
  <si>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</si>
  <si>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</si>
  <si>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</si>
  <si>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</si>
  <si>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</si>
  <si>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</si>
  <si>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</si>
  <si>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</si>
  <si>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</si>
  <si>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</si>
  <si>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</si>
  <si>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</si>
  <si>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</si>
  <si>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</si>
  <si>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</si>
  <si>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</si>
  <si>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</si>
  <si>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</si>
  <si>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</si>
  <si>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</si>
  <si>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</si>
  <si>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</si>
  <si>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</si>
  <si>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</si>
  <si>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</si>
  <si>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</si>
  <si>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</si>
  <si>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</si>
  <si>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</si>
  <si>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</si>
  <si>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</si>
  <si>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</si>
  <si>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</si>
  <si>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</si>
  <si>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</si>
  <si>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</si>
  <si>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</si>
  <si>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</si>
  <si>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</si>
  <si>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</si>
  <si>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</si>
  <si>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</si>
  <si>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</si>
  <si>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</si>
  <si>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</si>
  <si>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</si>
  <si>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</si>
  <si>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</si>
  <si>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</si>
  <si>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</si>
  <si>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</si>
  <si>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</si>
  <si>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</si>
  <si>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</si>
  <si>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 xml:space="preserve"> </t>
    <phoneticPr fontId="1" type="noConversion"/>
  </si>
  <si>
    <t>float</t>
    <phoneticPr fontId="1" type="noConversion"/>
  </si>
  <si>
    <t>Angle between fundamental phase voltage and phase current</t>
  </si>
  <si>
    <t xml:space="preserve"> </t>
    <phoneticPr fontId="1" type="noConversion"/>
  </si>
  <si>
    <t>Starting Current
(1.0 : 0.002*In, 0.5: 0.001*In)
0 ~ 10000 (단위 : mA)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</si>
  <si>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</si>
  <si>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</si>
  <si>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</si>
  <si>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</si>
  <si>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</si>
  <si>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</si>
  <si>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</si>
  <si>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</si>
  <si>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</si>
  <si>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</si>
  <si>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</si>
  <si>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</si>
  <si>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</si>
  <si>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</si>
  <si>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</si>
  <si>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</si>
  <si>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</si>
  <si>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</si>
  <si>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</si>
  <si>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</si>
  <si>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</si>
  <si>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</si>
  <si>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</si>
  <si>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</si>
  <si>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</si>
  <si>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</si>
  <si>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</si>
  <si>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</si>
  <si>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</si>
  <si>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</si>
  <si>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</si>
  <si>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</si>
  <si>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</si>
  <si>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</si>
  <si>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</si>
  <si>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</si>
  <si>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</si>
  <si>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</si>
  <si>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 Info #1 Channel(0:disabled, &gt;0: enabled)</t>
    <phoneticPr fontId="1" type="noConversion"/>
  </si>
  <si>
    <t>float</t>
  </si>
  <si>
    <t>Alarm Channel</t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</si>
  <si>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</si>
  <si>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</si>
  <si>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</si>
  <si>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</si>
  <si>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</si>
  <si>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</si>
  <si>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</si>
  <si>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</si>
  <si>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</si>
  <si>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</si>
  <si>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</si>
  <si>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</si>
  <si>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</si>
  <si>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</si>
  <si>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</si>
  <si>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</si>
  <si>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</si>
  <si>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</si>
  <si>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</si>
  <si>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</si>
  <si>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</si>
  <si>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</si>
  <si>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</si>
  <si>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</si>
  <si>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</si>
  <si>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</si>
  <si>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</si>
  <si>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</si>
  <si>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</si>
  <si>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</si>
  <si>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reset Ts</t>
  </si>
  <si>
    <t>update Ts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</si>
  <si>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</si>
  <si>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</si>
  <si>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</si>
  <si>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</si>
  <si>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</si>
  <si>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</si>
  <si>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</si>
  <si>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</si>
  <si>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</si>
  <si>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</si>
  <si>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</si>
  <si>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</si>
  <si>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</si>
  <si>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</si>
  <si>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</si>
  <si>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</si>
  <si>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</si>
  <si>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</si>
  <si>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</si>
  <si>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</si>
  <si>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</si>
  <si>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</si>
  <si>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</si>
  <si>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</si>
  <si>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</si>
  <si>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</si>
  <si>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</si>
  <si>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</si>
  <si>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</si>
  <si>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</si>
  <si>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</si>
  <si>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</si>
  <si>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</si>
  <si>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</si>
  <si>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</si>
  <si>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</si>
  <si>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</si>
  <si>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</si>
  <si>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</si>
  <si>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</si>
  <si>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</si>
  <si>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</si>
  <si>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</si>
  <si>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</si>
  <si>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</si>
  <si>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</si>
  <si>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</si>
  <si>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</si>
  <si>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</si>
  <si>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</si>
  <si>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</si>
  <si>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</si>
  <si>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</si>
  <si>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</si>
  <si>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</si>
  <si>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</si>
  <si>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</si>
  <si>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</si>
  <si>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</si>
  <si>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</si>
  <si>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</si>
  <si>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</si>
  <si>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</si>
  <si>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</si>
  <si>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</si>
  <si>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</si>
  <si>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</si>
  <si>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</si>
  <si>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</si>
  <si>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</si>
  <si>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</si>
  <si>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</si>
  <si>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</si>
  <si>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</si>
  <si>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</si>
  <si>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</si>
  <si>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</si>
  <si>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</si>
  <si>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</si>
  <si>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</si>
  <si>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</si>
  <si>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 xml:space="preserve"> 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</si>
  <si>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</si>
  <si>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</si>
  <si>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</si>
  <si>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</si>
  <si>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</si>
  <si>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</si>
  <si>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Voltage Dips L3</t>
    <phoneticPr fontId="1" type="noConversion"/>
  </si>
  <si>
    <t>Voltage Dips Multi Phase</t>
    <phoneticPr fontId="1" type="noConversion"/>
  </si>
  <si>
    <t>Voltage Swells Multi Phase</t>
    <phoneticPr fontId="1" type="noConversion"/>
  </si>
  <si>
    <t>Short Interruptions Multi Phase</t>
    <phoneticPr fontId="1" type="noConversion"/>
  </si>
  <si>
    <t>Long Interruptions Multi Phase</t>
    <phoneticPr fontId="1" type="noConversion"/>
  </si>
  <si>
    <t>Rapid Voltage Changes Multi Phase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</si>
  <si>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</si>
  <si>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</si>
  <si>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</si>
  <si>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</si>
  <si>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</si>
  <si>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</si>
  <si>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</si>
  <si>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</si>
  <si>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</si>
  <si>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</si>
  <si>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</si>
  <si>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</si>
  <si>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</si>
  <si>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</si>
  <si>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</si>
  <si>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</si>
  <si>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</si>
  <si>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</si>
  <si>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</si>
  <si>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</si>
  <si>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</si>
  <si>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</si>
  <si>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</si>
  <si>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</si>
  <si>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</si>
  <si>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</si>
  <si>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</si>
  <si>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</si>
  <si>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</si>
  <si>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</si>
  <si>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</si>
  <si>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</si>
  <si>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</si>
  <si>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</si>
  <si>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</si>
  <si>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</si>
  <si>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</si>
  <si>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</si>
  <si>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</si>
  <si>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</si>
  <si>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</si>
  <si>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Update TimeStamp</t>
    <phoneticPr fontId="1" type="noConversion"/>
  </si>
  <si>
    <t>UTC</t>
    <phoneticPr fontId="1" type="noConversion"/>
  </si>
  <si>
    <t xml:space="preserve"> </t>
    <phoneticPr fontId="1" type="noConversion"/>
  </si>
  <si>
    <t>U THD2</t>
  </si>
  <si>
    <t>U THD3</t>
  </si>
  <si>
    <t>I THD2</t>
  </si>
  <si>
    <t>I THD3</t>
  </si>
  <si>
    <t>I1</t>
    <phoneticPr fontId="1" type="noConversion"/>
  </si>
  <si>
    <t>I THD1</t>
    <phoneticPr fontId="1" type="noConversion"/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</si>
  <si>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</si>
  <si>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</si>
  <si>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</si>
  <si>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</si>
  <si>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</si>
  <si>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</si>
  <si>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</si>
  <si>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</si>
  <si>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</si>
  <si>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</si>
  <si>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</si>
  <si>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월간리포트 생성위한 10분 평균</t>
    <phoneticPr fontId="1" type="noConversion"/>
  </si>
  <si>
    <t>PF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</si>
  <si>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</si>
  <si>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</si>
  <si>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</si>
  <si>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</si>
  <si>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</si>
  <si>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U1</t>
    <phoneticPr fontId="1" type="noConversion"/>
  </si>
  <si>
    <t>U THD1</t>
    <phoneticPr fontId="1" type="noConversion"/>
  </si>
  <si>
    <t>I Unbal Iu</t>
    <phoneticPr fontId="1" type="noConversion"/>
  </si>
  <si>
    <t>I Unbal Io</t>
    <phoneticPr fontId="1" type="noConversion"/>
  </si>
  <si>
    <t>U Unbal Uu</t>
    <phoneticPr fontId="1" type="noConversion"/>
  </si>
  <si>
    <t>U Unbal Uo</t>
    <phoneticPr fontId="1" type="noConversion"/>
  </si>
  <si>
    <t>dPF</t>
    <phoneticPr fontId="1" type="noConversion"/>
  </si>
  <si>
    <t>In</t>
    <phoneticPr fontId="1" type="noConversion"/>
  </si>
  <si>
    <t>온도센서</t>
    <phoneticPr fontId="1" type="noConversion"/>
  </si>
  <si>
    <t>2nd~25th</t>
    <phoneticPr fontId="1" type="noConversion"/>
  </si>
  <si>
    <t>Upp THD1</t>
    <phoneticPr fontId="1" type="noConversion"/>
  </si>
  <si>
    <t>Upp THD2</t>
  </si>
  <si>
    <t>Upp THD3</t>
  </si>
  <si>
    <t>U32</t>
    <phoneticPr fontId="1" type="noConversion"/>
  </si>
  <si>
    <t>U64</t>
    <phoneticPr fontId="1" type="noConversion"/>
  </si>
  <si>
    <t>이벤트 리스트</t>
    <phoneticPr fontId="1" type="noConversion"/>
  </si>
  <si>
    <t>float</t>
    <phoneticPr fontId="1" type="noConversion"/>
  </si>
  <si>
    <t>status&amp;compliance</t>
    <phoneticPr fontId="1" type="noConversion"/>
  </si>
  <si>
    <r>
      <t xml:space="preserve">bit 0: Freq Var1
bit 1: Freq Var2
bit 2: Volt Var1 L1
bit 3: Volt Var1 L2
bit 4: Volt Var1 L3
bit 5: Volt Var2 L1
bit 6: Volt Var2 L2
bit 7: Volt Var2 L3
bit 8: Unbalance
</t>
    </r>
    <r>
      <rPr>
        <sz val="10"/>
        <color rgb="FF7030A0"/>
        <rFont val="맑은 고딕"/>
        <family val="3"/>
        <charset val="129"/>
        <scheme val="minor"/>
      </rPr>
      <t>bit 9:  Volt THD L1
bit 10: Volt THD L2
bit 11: Volt THD L3
bit 12: Volt HD L1
bit 13: Volt HD L2
bit 14: Volt HD L3
bit 15: Pst L1
bit 16: Pst L2
bit 17: Pst L3</t>
    </r>
    <r>
      <rPr>
        <sz val="10"/>
        <color theme="1"/>
        <rFont val="맑은 고딕"/>
        <family val="3"/>
        <charset val="129"/>
        <scheme val="minor"/>
      </rPr>
      <t xml:space="preserve">
bit 18: Plt L1
bit 19: Plt L2
bit 20: Plt L3
bit 21: SigVolt L1
bit 22: SigVolt L2
bit 23: SigVolt L3
</t>
    </r>
    <r>
      <rPr>
        <sz val="10"/>
        <color rgb="FFFF0000"/>
        <rFont val="맑은 고딕"/>
        <family val="3"/>
        <charset val="129"/>
        <scheme val="minor"/>
      </rPr>
      <t>bit 31: Complete</t>
    </r>
    <r>
      <rPr>
        <sz val="10"/>
        <color theme="1"/>
        <rFont val="맑은 고딕"/>
        <family val="3"/>
        <charset val="129"/>
        <scheme val="minor"/>
      </rPr>
      <t xml:space="preserve">
[status]
0: OK
1: failed
</t>
    </r>
    <phoneticPr fontId="1" type="noConversion"/>
  </si>
  <si>
    <t>vscale</t>
    <phoneticPr fontId="1" type="noConversion"/>
  </si>
  <si>
    <t>iscale</t>
    <phoneticPr fontId="1" type="noConversion"/>
  </si>
  <si>
    <t>kvarh lead</t>
    <phoneticPr fontId="1" type="noConversion"/>
  </si>
  <si>
    <t xml:space="preserve">kVAh </t>
    <phoneticPr fontId="1" type="noConversion"/>
  </si>
  <si>
    <t>kwh import</t>
    <phoneticPr fontId="1" type="noConversion"/>
  </si>
  <si>
    <t>kvarh lag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</si>
  <si>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</si>
  <si>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</si>
  <si>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</si>
  <si>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</si>
  <si>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</si>
  <si>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</si>
  <si>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</si>
  <si>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</si>
  <si>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</si>
  <si>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</si>
  <si>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</si>
  <si>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</si>
  <si>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</si>
  <si>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</si>
  <si>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</si>
  <si>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</si>
  <si>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</si>
  <si>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</si>
  <si>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</si>
  <si>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</si>
  <si>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</si>
  <si>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</si>
  <si>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</si>
  <si>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</si>
  <si>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</si>
  <si>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</si>
  <si>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</si>
  <si>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</si>
  <si>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</si>
  <si>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</si>
  <si>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</si>
  <si>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</si>
  <si>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</si>
  <si>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</si>
  <si>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</si>
  <si>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</si>
  <si>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</si>
  <si>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</si>
  <si>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</si>
  <si>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</si>
  <si>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</si>
  <si>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</si>
  <si>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</si>
  <si>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</si>
  <si>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</si>
  <si>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</si>
  <si>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U16</t>
    <phoneticPr fontId="1" type="noConversion"/>
  </si>
  <si>
    <t>Energy log</t>
    <phoneticPr fontId="1" type="noConversion"/>
  </si>
  <si>
    <t>Time Stamp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</si>
  <si>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</si>
  <si>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</si>
  <si>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</si>
  <si>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</si>
  <si>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</si>
  <si>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</si>
  <si>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</si>
  <si>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</si>
  <si>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Max/Min last data</t>
    <phoneticPr fontId="1" type="noConversion"/>
  </si>
  <si>
    <t xml:space="preserve"> 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</si>
  <si>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</si>
  <si>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</si>
  <si>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</si>
  <si>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</si>
  <si>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</si>
  <si>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</si>
  <si>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</si>
  <si>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</si>
  <si>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</si>
  <si>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</si>
  <si>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</si>
  <si>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</si>
  <si>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</si>
  <si>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</si>
  <si>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</si>
  <si>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ZCT Type
1: 200mV:100mV
2: 200mV:1.5mA
3: 200mV:0.1mA</t>
    <phoneticPr fontId="1" type="noConversion"/>
  </si>
  <si>
    <t>ZCT Scale</t>
    <phoneticPr fontId="1" type="noConversion"/>
  </si>
  <si>
    <t>reserved</t>
    <phoneticPr fontId="1" type="noConversion"/>
  </si>
  <si>
    <t>type</t>
    <phoneticPr fontId="1" type="noConversion"/>
  </si>
  <si>
    <t xml:space="preserve"> </t>
    <phoneticPr fontId="1" type="noConversion"/>
  </si>
  <si>
    <t>Global Alarm Status(alarm 하나라도 있으면 1, 아니면 0)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</si>
  <si>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</si>
  <si>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</si>
  <si>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</si>
  <si>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</si>
  <si>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</si>
  <si>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</si>
  <si>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</si>
  <si>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</si>
  <si>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</si>
  <si>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</si>
  <si>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</si>
  <si>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</si>
  <si>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</si>
  <si>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 xml:space="preserve"> </t>
    <phoneticPr fontId="1" type="noConversion"/>
  </si>
  <si>
    <t>In-ref, 1=0.1</t>
    <phoneticPr fontId="1" type="noConversion"/>
  </si>
  <si>
    <t>2020.3.13</t>
    <phoneticPr fontId="1" type="noConversion"/>
  </si>
  <si>
    <t>Calibration command
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</si>
  <si>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</si>
  <si>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</si>
  <si>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</si>
  <si>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Transient Voltage Count</t>
    <phoneticPr fontId="1" type="noConversion"/>
  </si>
  <si>
    <t>Transient Current Count</t>
    <phoneticPr fontId="1" type="noConversion"/>
  </si>
  <si>
    <t>Sag Coount</t>
    <phoneticPr fontId="1" type="noConversion"/>
  </si>
  <si>
    <t>Swell Count</t>
    <phoneticPr fontId="1" type="noConversion"/>
  </si>
  <si>
    <t>OC Count</t>
    <phoneticPr fontId="1" type="noConversion"/>
  </si>
  <si>
    <t>PQ Event Counter</t>
    <phoneticPr fontId="1" type="noConversion"/>
  </si>
  <si>
    <t>CT2
0: 5A
1: 100mA/333mV
2: Rogowski</t>
    <phoneticPr fontId="1" type="noConversion"/>
  </si>
  <si>
    <t>Max. Demand for current TDD(A) - unused</t>
    <phoneticPr fontId="1" type="noConversion"/>
  </si>
  <si>
    <t>Target Demand (W)</t>
    <phoneticPr fontId="1" type="noConversion"/>
  </si>
  <si>
    <t>분단위</t>
    <phoneticPr fontId="1" type="noConversion"/>
  </si>
  <si>
    <t>S16</t>
    <phoneticPr fontId="1" type="noConversion"/>
  </si>
  <si>
    <t>Time Zone (~720 ~ 720)</t>
    <phoneticPr fontId="1" type="noConversion"/>
  </si>
  <si>
    <t>RS485 Master Mode 
0: disable
1: Serial Temp Sensor
2: Gateway</t>
    <phoneticPr fontId="1" type="noConversion"/>
  </si>
  <si>
    <t>Interrupt Count</t>
    <phoneticPr fontId="1" type="noConversion"/>
  </si>
  <si>
    <t>type</t>
    <phoneticPr fontId="1" type="noConversion"/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</si>
  <si>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</si>
  <si>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</si>
  <si>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</si>
  <si>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</si>
  <si>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Address</t>
    <phoneticPr fontId="1" type="noConversion"/>
  </si>
  <si>
    <t>Onion Server Port, 0이 아니면 서버 동작</t>
    <phoneticPr fontId="1" type="noConversion"/>
  </si>
  <si>
    <t>GateWay Setting
bit 0: gems3500 Meter #1 Enable
bit 1: gems3500 Meter #2 Enable
bit 2: gems3500 CB #1 Enable
bit 3: gems3500 CB #2 Enable
bit 4: gems3500 Trip #1 Enable
bit 5: gems3500 Trip #2 Enable
bit 6: gems3500 ZCT #1 Enable
bit 7: gems3500 ZCT #2 Enable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</si>
  <si>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</si>
  <si>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</si>
  <si>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</si>
  <si>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</si>
  <si>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</si>
  <si>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</si>
  <si>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</si>
  <si>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</si>
  <si>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</si>
  <si>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</si>
  <si>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</si>
  <si>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</si>
  <si>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</si>
  <si>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</si>
  <si>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</si>
  <si>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</si>
  <si>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</si>
  <si>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</si>
  <si>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</si>
  <si>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</si>
  <si>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</si>
  <si>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</si>
  <si>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</si>
  <si>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</si>
  <si>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</si>
  <si>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</si>
  <si>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</si>
  <si>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</si>
  <si>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</si>
  <si>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</si>
  <si>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</si>
  <si>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</si>
  <si>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</si>
  <si>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</si>
  <si>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</si>
  <si>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format 
(0: wave, 1: onion)</t>
    <phoneticPr fontId="1" type="noConversion"/>
  </si>
  <si>
    <t>DAQ setting</t>
    <phoneticPr fontId="1" type="noConversion"/>
  </si>
  <si>
    <t>DAQ sampling rate
(0: 2k, 1: 4k, 2: 8k, 3: 16k, 4: 32k)</t>
    <phoneticPr fontId="1" type="noConversion"/>
  </si>
  <si>
    <t>DAQ enable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</si>
  <si>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</si>
  <si>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</si>
  <si>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</si>
  <si>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</si>
  <si>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</si>
  <si>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</si>
  <si>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</si>
  <si>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</si>
  <si>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</si>
  <si>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</si>
  <si>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</si>
  <si>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</si>
  <si>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</si>
  <si>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</si>
  <si>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EN50160 Last Week</t>
    <phoneticPr fontId="1" type="noConversion"/>
  </si>
  <si>
    <t>FC</t>
    <phoneticPr fontId="1" type="noConversion"/>
  </si>
  <si>
    <t>3,16</t>
  </si>
  <si>
    <t>DI #1</t>
    <phoneticPr fontId="1" type="noConversion"/>
  </si>
  <si>
    <t>DI #2</t>
    <phoneticPr fontId="1" type="noConversion"/>
  </si>
  <si>
    <t>DI #3</t>
  </si>
  <si>
    <t>DI #4</t>
  </si>
  <si>
    <t>DI #5</t>
  </si>
  <si>
    <t>DI #6</t>
  </si>
  <si>
    <t>DI #7</t>
  </si>
  <si>
    <t>DI #8</t>
  </si>
  <si>
    <t>DO #1</t>
    <phoneticPr fontId="1" type="noConversion"/>
  </si>
  <si>
    <t>DO #2</t>
    <phoneticPr fontId="1" type="noConversion"/>
  </si>
  <si>
    <t>#1 iPSM72 DO</t>
    <phoneticPr fontId="1" type="noConversion"/>
  </si>
  <si>
    <t>#1 iPSM72 R Swell</t>
    <phoneticPr fontId="1" type="noConversion"/>
  </si>
  <si>
    <t>#1 iPSM72 S Swell</t>
    <phoneticPr fontId="1" type="noConversion"/>
  </si>
  <si>
    <t>#1 iPSM72 T Swell</t>
    <phoneticPr fontId="1" type="noConversion"/>
  </si>
  <si>
    <t>#1 iPSM72 R Sag</t>
    <phoneticPr fontId="1" type="noConversion"/>
  </si>
  <si>
    <t>#1 iPSM72 S Sag</t>
    <phoneticPr fontId="1" type="noConversion"/>
  </si>
  <si>
    <t>#1 iPSM72 T Sag</t>
    <phoneticPr fontId="1" type="noConversion"/>
  </si>
  <si>
    <t>#1 iPSM72 DI(Outgoing MCB Trip)</t>
    <phoneticPr fontId="1" type="noConversion"/>
  </si>
  <si>
    <t>#1 iPSM72 IG(Earth Leakage)</t>
    <phoneticPr fontId="1" type="noConversion"/>
  </si>
  <si>
    <t>Summary</t>
    <phoneticPr fontId="1" type="noConversion"/>
  </si>
  <si>
    <t>#1 iPSM72 comm</t>
    <phoneticPr fontId="1" type="noConversion"/>
  </si>
  <si>
    <t>#2 iPSM72 comm</t>
    <phoneticPr fontId="1" type="noConversion"/>
  </si>
  <si>
    <t>#2 iPSM72 DI(Outgoing MCB Trip)</t>
    <phoneticPr fontId="1" type="noConversion"/>
  </si>
  <si>
    <t>#2 iPSM72 DO</t>
    <phoneticPr fontId="1" type="noConversion"/>
  </si>
  <si>
    <t>#2 iPSM72 IG(Earth Leakage)</t>
    <phoneticPr fontId="1" type="noConversion"/>
  </si>
  <si>
    <t>#2 iPSM72 R Swell</t>
    <phoneticPr fontId="1" type="noConversion"/>
  </si>
  <si>
    <t>#2 iPSM72 S Swell</t>
    <phoneticPr fontId="1" type="noConversion"/>
  </si>
  <si>
    <t>#2 iPSM72 T Swell</t>
    <phoneticPr fontId="1" type="noConversion"/>
  </si>
  <si>
    <t>#2 iPSM72 R Sag</t>
    <phoneticPr fontId="1" type="noConversion"/>
  </si>
  <si>
    <t>#2 iPSM72 S Sag</t>
    <phoneticPr fontId="1" type="noConversion"/>
  </si>
  <si>
    <t>#2 iPSM72 T Sag</t>
    <phoneticPr fontId="1" type="noConversion"/>
  </si>
  <si>
    <t>Iunbalance0</t>
  </si>
  <si>
    <t>uder/over</t>
    <phoneticPr fontId="1" type="noConversion"/>
  </si>
  <si>
    <t>reverse</t>
    <phoneticPr fontId="1" type="noConversion"/>
  </si>
  <si>
    <t>alarm log</t>
    <phoneticPr fontId="1" type="noConversion"/>
  </si>
  <si>
    <t>alarm status</t>
    <phoneticPr fontId="1" type="noConversion"/>
  </si>
  <si>
    <t>hbeat</t>
    <phoneticPr fontId="1" type="noConversion"/>
  </si>
  <si>
    <t>DI 0~31</t>
    <phoneticPr fontId="1" type="noConversion"/>
  </si>
  <si>
    <t>AI 0~7</t>
    <phoneticPr fontId="1" type="noConversion"/>
  </si>
  <si>
    <t>float</t>
    <phoneticPr fontId="1" type="noConversion"/>
  </si>
  <si>
    <t>DC V</t>
    <phoneticPr fontId="1" type="noConversion"/>
  </si>
  <si>
    <t>DC I1</t>
    <phoneticPr fontId="1" type="noConversion"/>
  </si>
  <si>
    <t>DC I2</t>
    <phoneticPr fontId="1" type="noConversion"/>
  </si>
  <si>
    <t>DO 0~7</t>
    <phoneticPr fontId="1" type="noConversion"/>
  </si>
  <si>
    <t>type</t>
    <phoneticPr fontId="1" type="noConversion"/>
  </si>
  <si>
    <t>dbflag</t>
    <phoneticPr fontId="1" type="noConversion"/>
  </si>
  <si>
    <t>subtype</t>
    <phoneticPr fontId="1" type="noConversion"/>
  </si>
  <si>
    <t>reserved</t>
    <phoneticPr fontId="1" type="noConversion"/>
  </si>
  <si>
    <t>DI TYPE1~32</t>
    <phoneticPr fontId="1" type="noConversion"/>
  </si>
  <si>
    <t>DI  debounce 1~32</t>
    <phoneticPr fontId="1" type="noConversion"/>
  </si>
  <si>
    <t>PI  Scale 1~32</t>
    <phoneticPr fontId="1" type="noConversion"/>
  </si>
  <si>
    <t>DO  TYPE 1~8</t>
    <phoneticPr fontId="1" type="noConversion"/>
  </si>
  <si>
    <t>DO Output Mode 1~8</t>
    <phoneticPr fontId="1" type="noConversion"/>
  </si>
  <si>
    <t>DO HoldTime 1~8</t>
    <phoneticPr fontId="1" type="noConversion"/>
  </si>
  <si>
    <t>AI #1 Gain</t>
    <phoneticPr fontId="1" type="noConversion"/>
  </si>
  <si>
    <t>AI #1 Offset</t>
    <phoneticPr fontId="1" type="noConversion"/>
  </si>
  <si>
    <t>AI #2 Gain</t>
    <phoneticPr fontId="1" type="noConversion"/>
  </si>
  <si>
    <t>AI #2 Offset</t>
    <phoneticPr fontId="1" type="noConversion"/>
  </si>
  <si>
    <t>AI #3 Gain</t>
    <phoneticPr fontId="1" type="noConversion"/>
  </si>
  <si>
    <t>AI #3 Offset</t>
    <phoneticPr fontId="1" type="noConversion"/>
  </si>
  <si>
    <t>AI #4 Gain</t>
    <phoneticPr fontId="1" type="noConversion"/>
  </si>
  <si>
    <t>AI #4 Offset</t>
    <phoneticPr fontId="1" type="noConversion"/>
  </si>
  <si>
    <t>AI #5 Gain</t>
    <phoneticPr fontId="1" type="noConversion"/>
  </si>
  <si>
    <t>AI #5 Offset</t>
    <phoneticPr fontId="1" type="noConversion"/>
  </si>
  <si>
    <t>AI #6 Gain</t>
    <phoneticPr fontId="1" type="noConversion"/>
  </si>
  <si>
    <t>AI #6 Offset</t>
    <phoneticPr fontId="1" type="noConversion"/>
  </si>
  <si>
    <t>AI #7 Gain</t>
    <phoneticPr fontId="1" type="noConversion"/>
  </si>
  <si>
    <t>AI #7 Offset</t>
    <phoneticPr fontId="1" type="noConversion"/>
  </si>
  <si>
    <t>AI #8 Gain</t>
    <phoneticPr fontId="1" type="noConversion"/>
  </si>
  <si>
    <t>AI #8 Offset</t>
    <phoneticPr fontId="1" type="noConversion"/>
  </si>
  <si>
    <t>DCI#3, Shunt Type</t>
    <phoneticPr fontId="1" type="noConversion"/>
  </si>
  <si>
    <t>DCI#3, Nominal Current</t>
    <phoneticPr fontId="1" type="noConversion"/>
  </si>
  <si>
    <t>reserved</t>
    <phoneticPr fontId="1" type="noConversion"/>
  </si>
  <si>
    <t>Name</t>
    <phoneticPr fontId="1" type="noConversion"/>
  </si>
  <si>
    <t>Unit</t>
    <phoneticPr fontId="1" type="noConversion"/>
  </si>
  <si>
    <t>Type</t>
    <phoneticPr fontId="1" type="noConversion"/>
  </si>
  <si>
    <t>Word Count</t>
    <phoneticPr fontId="1" type="noConversion"/>
  </si>
  <si>
    <t>Item Count</t>
    <phoneticPr fontId="1" type="noConversion"/>
  </si>
  <si>
    <t>reserved</t>
    <phoneticPr fontId="1" type="noConversion"/>
  </si>
  <si>
    <t>Data</t>
    <phoneticPr fontId="1" type="noConversion"/>
  </si>
  <si>
    <t>Setting</t>
    <phoneticPr fontId="1" type="noConversion"/>
  </si>
  <si>
    <t>SOE Count</t>
    <phoneticPr fontId="1" type="noConversion"/>
  </si>
  <si>
    <t>DI 상태</t>
    <phoneticPr fontId="1" type="noConversion"/>
  </si>
  <si>
    <t>PI 0~31</t>
    <phoneticPr fontId="1" type="noConversion"/>
  </si>
  <si>
    <t>PI 상태</t>
    <phoneticPr fontId="1" type="noConversion"/>
  </si>
  <si>
    <t>100ms ++</t>
    <phoneticPr fontId="1" type="noConversion"/>
  </si>
  <si>
    <t>1 : DIO#1
2 : CT#1</t>
    <phoneticPr fontId="1" type="noConversion"/>
  </si>
  <si>
    <t>database download flag</t>
    <phoneticPr fontId="1" type="noConversion"/>
  </si>
  <si>
    <t>SOE Count, Dump 후 clear</t>
    <phoneticPr fontId="1" type="noConversion"/>
  </si>
  <si>
    <t>SOE</t>
    <phoneticPr fontId="1" type="noConversion"/>
  </si>
  <si>
    <t>Time Stamp</t>
  </si>
  <si>
    <t>DI Status</t>
  </si>
  <si>
    <t>TS</t>
    <phoneticPr fontId="1" type="noConversion"/>
  </si>
  <si>
    <t>#0</t>
    <phoneticPr fontId="1" type="noConversion"/>
  </si>
  <si>
    <t>#1</t>
    <phoneticPr fontId="1" type="noConversion"/>
  </si>
  <si>
    <t>#2</t>
    <phoneticPr fontId="1" type="noConversion"/>
  </si>
  <si>
    <t>Enable</t>
    <phoneticPr fontId="1" type="noConversion"/>
  </si>
  <si>
    <t>(0=state, 1=pulse)</t>
    <phoneticPr fontId="1" type="noConversion"/>
  </si>
  <si>
    <t>TS</t>
    <phoneticPr fontId="1" type="noConversion"/>
  </si>
  <si>
    <t>0~255</t>
    <phoneticPr fontId="1" type="noConversion"/>
  </si>
  <si>
    <t>1 ~ 65535</t>
    <phoneticPr fontId="1" type="noConversion"/>
  </si>
  <si>
    <t>(0=Relay, 1=alarm)</t>
    <phoneticPr fontId="1" type="noConversion"/>
  </si>
  <si>
    <t>0: Latch type, 아니면 On Timer</t>
    <phoneticPr fontId="1" type="noConversion"/>
  </si>
  <si>
    <t>reserved</t>
    <phoneticPr fontId="1" type="noConversion"/>
  </si>
  <si>
    <t>SOE CNT</t>
    <phoneticPr fontId="1" type="noConversion"/>
  </si>
  <si>
    <t>DI pnt</t>
    <phoneticPr fontId="1" type="noConversion"/>
  </si>
  <si>
    <t>Module Type</t>
    <phoneticPr fontId="1" type="noConversion"/>
  </si>
  <si>
    <t>reserved</t>
    <phoneticPr fontId="1" type="noConversion"/>
  </si>
  <si>
    <t>Max</t>
    <phoneticPr fontId="1" type="noConversion"/>
  </si>
  <si>
    <t>Min</t>
    <phoneticPr fontId="1" type="noConversion"/>
  </si>
  <si>
    <t>Max TimeStamp</t>
    <phoneticPr fontId="1" type="noConversion"/>
  </si>
  <si>
    <t>Min TimeStamp</t>
    <phoneticPr fontId="1" type="noConversion"/>
  </si>
  <si>
    <t xml:space="preserve">1) 2024-4-23 </t>
    <phoneticPr fontId="1" type="noConversion"/>
  </si>
  <si>
    <t>1. 수정이력</t>
    <phoneticPr fontId="1" type="noConversion"/>
  </si>
  <si>
    <t>Sheet</t>
    <phoneticPr fontId="1" type="noConversion"/>
  </si>
  <si>
    <t>modbus</t>
    <phoneticPr fontId="1" type="noConversion"/>
  </si>
  <si>
    <t>이유</t>
    <phoneticPr fontId="1" type="noConversion"/>
  </si>
  <si>
    <t>기존에는 개별 시간이 없이 공통 시간만 있음</t>
    <phoneticPr fontId="1" type="noConversion"/>
  </si>
  <si>
    <t>내용</t>
    <phoneticPr fontId="1" type="noConversion"/>
  </si>
  <si>
    <t>IOM</t>
    <phoneticPr fontId="1" type="noConversion"/>
  </si>
  <si>
    <t>PC</t>
    <phoneticPr fontId="1" type="noConversion"/>
  </si>
  <si>
    <t>Main</t>
    <phoneticPr fontId="1" type="noConversion"/>
  </si>
  <si>
    <t>MMI</t>
    <phoneticPr fontId="1" type="noConversion"/>
  </si>
  <si>
    <t>O</t>
    <phoneticPr fontId="1" type="noConversion"/>
  </si>
  <si>
    <t>IOM-SOE 기능, Setting Enable 추가</t>
    <phoneticPr fontId="1" type="noConversion"/>
  </si>
  <si>
    <t xml:space="preserve">IOM - Timestamp 12byte-&gt;8 byte </t>
    <phoneticPr fontId="1" type="noConversion"/>
  </si>
  <si>
    <t>MIN/MAX 개별 TimeStamp 추가
 - 그에 따라 이후 데이터 address 변경</t>
    <phoneticPr fontId="1" type="noConversion"/>
  </si>
  <si>
    <t>U32</t>
    <phoneticPr fontId="1" type="noConversion"/>
  </si>
  <si>
    <t>U32</t>
    <phoneticPr fontId="1" type="noConversion"/>
  </si>
  <si>
    <t>DI[1..24]</t>
    <phoneticPr fontId="1" type="noConversion"/>
  </si>
  <si>
    <t>DO[1..4]</t>
    <phoneticPr fontId="1" type="noConversion"/>
  </si>
  <si>
    <t>AI[1..8]</t>
    <phoneticPr fontId="1" type="noConversion"/>
  </si>
  <si>
    <t>float</t>
    <phoneticPr fontId="1" type="noConversion"/>
  </si>
  <si>
    <t>DC[1..3]</t>
    <phoneticPr fontId="1" type="noConversion"/>
  </si>
  <si>
    <t>float</t>
    <phoneticPr fontId="1" type="noConversion"/>
  </si>
  <si>
    <t>Version</t>
    <phoneticPr fontId="1" type="noConversion"/>
  </si>
  <si>
    <t>IO</t>
    <phoneticPr fontId="1" type="noConversion"/>
  </si>
  <si>
    <t>Meter IO 내용 변경(addr 250)</t>
    <phoneticPr fontId="1" type="noConversion"/>
  </si>
  <si>
    <t>?</t>
    <phoneticPr fontId="1" type="noConversion"/>
  </si>
  <si>
    <t>읽어가는 영역에 따라</t>
    <phoneticPr fontId="1" type="noConversion"/>
  </si>
  <si>
    <t>V0.01</t>
    <phoneticPr fontId="1" type="noConversion"/>
  </si>
  <si>
    <t>3,6</t>
    <phoneticPr fontId="1" type="noConversion"/>
  </si>
  <si>
    <t>별도의 DO맵 미사용</t>
    <phoneticPr fontId="1" type="noConversion"/>
  </si>
  <si>
    <t>FC</t>
    <phoneticPr fontId="1" type="noConversion"/>
  </si>
  <si>
    <t>3,6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</si>
  <si>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</si>
  <si>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</si>
  <si>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</si>
  <si>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</si>
  <si>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</si>
  <si>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</si>
  <si>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</si>
  <si>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3,16</t>
    <phoneticPr fontId="1" type="noConversion"/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</si>
  <si>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</si>
  <si>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</si>
  <si>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</si>
  <si>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</si>
  <si>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</si>
  <si>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#1</t>
    <phoneticPr fontId="1" type="noConversion"/>
  </si>
  <si>
    <t xml:space="preserve">서버에서 Time sync address (addr 6942) </t>
    <phoneticPr fontId="1" type="noConversion"/>
  </si>
  <si>
    <t>3) 2024-4-29</t>
    <phoneticPr fontId="1" type="noConversion"/>
  </si>
  <si>
    <t>DCI#4, Shunt Type</t>
    <phoneticPr fontId="1" type="noConversion"/>
  </si>
  <si>
    <t>DCI#4, Nominal Current</t>
    <phoneticPr fontId="1" type="noConversion"/>
  </si>
  <si>
    <t>DCI#4, Shunt Type</t>
    <phoneticPr fontId="1" type="noConversion"/>
  </si>
  <si>
    <t>DCI#4, Nominal Current</t>
    <phoneticPr fontId="1" type="noConversion"/>
  </si>
  <si>
    <t>UTC Time</t>
    <phoneticPr fontId="1" type="noConversion"/>
  </si>
  <si>
    <t>reserved</t>
    <phoneticPr fontId="1" type="noConversion"/>
  </si>
  <si>
    <t>U16</t>
    <phoneticPr fontId="1" type="noConversion"/>
  </si>
  <si>
    <t>UTC</t>
    <phoneticPr fontId="1" type="noConversion"/>
  </si>
  <si>
    <t>ITIC</t>
    <phoneticPr fontId="1" type="noConversion"/>
  </si>
  <si>
    <t>count</t>
  </si>
  <si>
    <t>start ts</t>
  </si>
  <si>
    <t>type</t>
  </si>
  <si>
    <t>Normal</t>
  </si>
  <si>
    <t>U16</t>
    <phoneticPr fontId="1" type="noConversion"/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</si>
  <si>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</si>
  <si>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UTC Time</t>
    <phoneticPr fontId="1" type="noConversion"/>
  </si>
  <si>
    <t>iom 재기동시 1 set</t>
    <phoneticPr fontId="1" type="noConversion"/>
  </si>
  <si>
    <t>status</t>
  </si>
  <si>
    <t>Alarm Channel &amp; Condition</t>
  </si>
  <si>
    <t>level</t>
  </si>
  <si>
    <t>Value</t>
  </si>
  <si>
    <t>Alarm Log #2</t>
    <phoneticPr fontId="1" type="noConversion"/>
  </si>
  <si>
    <t>Alarm Log #1</t>
    <phoneticPr fontId="1" type="noConversion"/>
  </si>
  <si>
    <t>In(Calculated)</t>
    <phoneticPr fontId="1" type="noConversion"/>
  </si>
  <si>
    <t>0~99,999,999.999 w</t>
    <phoneticPr fontId="1" type="noConversion"/>
  </si>
  <si>
    <t>import wh</t>
    <phoneticPr fontId="1" type="noConversion"/>
  </si>
  <si>
    <t>export wh</t>
    <phoneticPr fontId="1" type="noConversion"/>
  </si>
  <si>
    <t>import varh</t>
    <phoneticPr fontId="1" type="noConversion"/>
  </si>
  <si>
    <t>export varh</t>
    <phoneticPr fontId="1" type="noConversion"/>
  </si>
  <si>
    <t>vah</t>
    <phoneticPr fontId="1" type="noConversion"/>
  </si>
  <si>
    <t>Log #1</t>
    <phoneticPr fontId="1" type="noConversion"/>
  </si>
  <si>
    <t>Modbus Rx Count</t>
    <phoneticPr fontId="1" type="noConversion"/>
  </si>
  <si>
    <t>PDM Comm LED toggle 사용</t>
    <phoneticPr fontId="1" type="noConversion"/>
  </si>
  <si>
    <t>0 : DI, 1 : PI</t>
    <phoneticPr fontId="1" type="noConversion"/>
  </si>
  <si>
    <t>0~255ms</t>
    <phoneticPr fontId="1" type="noConversion"/>
  </si>
  <si>
    <t>0 : latch, 1 : pulse</t>
    <phoneticPr fontId="1" type="noConversion"/>
  </si>
  <si>
    <t>pulse width, 0.1~10s</t>
    <phoneticPr fontId="1" type="noConversion"/>
  </si>
  <si>
    <t>0 : 50mV, 1 : 60mV, 2 : 100mV</t>
    <phoneticPr fontId="1" type="noConversion"/>
  </si>
  <si>
    <t>1 : DI24,DO8,AI8</t>
    <phoneticPr fontId="1" type="noConversion"/>
  </si>
  <si>
    <t>1 : DI24,DO6,AI6</t>
    <phoneticPr fontId="1" type="noConversion"/>
  </si>
  <si>
    <t xml:space="preserve">2) 2024-4-24 </t>
    <phoneticPr fontId="1" type="noConversion"/>
  </si>
  <si>
    <t>V0.02</t>
    <phoneticPr fontId="1" type="noConversion"/>
  </si>
  <si>
    <t>modbus</t>
    <phoneticPr fontId="1" type="noConversion"/>
  </si>
  <si>
    <t>io영역 중 일부 복사</t>
    <phoneticPr fontId="1" type="noConversion"/>
  </si>
  <si>
    <t>DO 제어 FC 6 적용</t>
    <phoneticPr fontId="1" type="noConversion"/>
  </si>
  <si>
    <t>4) 2024-4-30</t>
    <phoneticPr fontId="1" type="noConversion"/>
  </si>
  <si>
    <t>V0.03</t>
    <phoneticPr fontId="1" type="noConversion"/>
  </si>
  <si>
    <t>addr 6762 not used</t>
    <phoneticPr fontId="1" type="noConversion"/>
  </si>
  <si>
    <t>V0.04</t>
    <phoneticPr fontId="1" type="noConversion"/>
  </si>
  <si>
    <t>IO 모듈 시간동기기능, ITIC 기능추가</t>
    <phoneticPr fontId="1" type="noConversion"/>
  </si>
  <si>
    <t>modbus</t>
    <phoneticPr fontId="1" type="noConversion"/>
  </si>
  <si>
    <t>V0.05</t>
    <phoneticPr fontId="1" type="noConversion"/>
  </si>
  <si>
    <t>Modbus Rx Count 추가</t>
    <phoneticPr fontId="1" type="noConversion"/>
  </si>
  <si>
    <t>modbus</t>
    <phoneticPr fontId="1" type="noConversion"/>
  </si>
  <si>
    <t>PDM에 comm LED 출력용</t>
    <phoneticPr fontId="1" type="noConversion"/>
  </si>
  <si>
    <t>V0.06</t>
    <phoneticPr fontId="1" type="noConversion"/>
  </si>
  <si>
    <t>IO 모듈 설명 추가</t>
    <phoneticPr fontId="1" type="noConversion"/>
  </si>
  <si>
    <t>fU1</t>
  </si>
  <si>
    <t>fU2</t>
  </si>
  <si>
    <t>fU3</t>
  </si>
  <si>
    <t>fU~</t>
  </si>
  <si>
    <t>fI1</t>
  </si>
  <si>
    <t>fI2</t>
  </si>
  <si>
    <t>fI3</t>
  </si>
  <si>
    <t>fI~</t>
  </si>
  <si>
    <t>기본파 U1</t>
  </si>
  <si>
    <t>기본파 U2</t>
  </si>
  <si>
    <t>기본파 U3</t>
  </si>
  <si>
    <t>기본파 전압 평균</t>
  </si>
  <si>
    <t>기본파 I1</t>
  </si>
  <si>
    <t>기본파 I2</t>
  </si>
  <si>
    <t>기본파 I3</t>
  </si>
  <si>
    <t>기본파 전류 평균</t>
  </si>
  <si>
    <t>기본파 전압,전류 추가</t>
    <phoneticPr fontId="1" type="noConversion"/>
  </si>
  <si>
    <t>V0.07</t>
  </si>
  <si>
    <t>V0.08</t>
  </si>
  <si>
    <t>alarm, event 시 DO 출력 세팅</t>
    <phoneticPr fontId="1" type="noConversion"/>
  </si>
  <si>
    <t xml:space="preserve">0 : none, 1~4 : DO 1~4 </t>
    <phoneticPr fontId="1" type="noConversion"/>
  </si>
  <si>
    <t>Alarm Action (None, Relay)</t>
    <phoneticPr fontId="1" type="noConversion"/>
  </si>
  <si>
    <t>Event Action (None, Relay)</t>
    <phoneticPr fontId="1" type="noConversion"/>
  </si>
  <si>
    <t xml:space="preserve">0 : none, 1~4 : DO 1~4 </t>
    <phoneticPr fontId="1" type="noConversion"/>
  </si>
  <si>
    <t>clear ITIC</t>
    <phoneticPr fontId="1" type="noConversion"/>
  </si>
  <si>
    <t>V0.09</t>
    <phoneticPr fontId="1" type="noConversion"/>
  </si>
  <si>
    <t>clear alarm DO address 변경(7364-&gt;7362)</t>
    <phoneticPr fontId="1" type="noConversion"/>
  </si>
  <si>
    <t>Alarm Ack - DO Reset</t>
    <phoneticPr fontId="1" type="noConversion"/>
  </si>
  <si>
    <t>Event Ack - DO Reset</t>
    <phoneticPr fontId="1" type="noConversion"/>
  </si>
  <si>
    <t>DO Type 추가( 2 : Event, address 7264)</t>
    <phoneticPr fontId="1" type="noConversion"/>
  </si>
  <si>
    <t>V0.091</t>
    <phoneticPr fontId="1" type="noConversion"/>
  </si>
  <si>
    <t>V0.07</t>
    <phoneticPr fontId="1" type="noConversion"/>
  </si>
  <si>
    <t>V0.05</t>
    <phoneticPr fontId="1" type="noConversion"/>
  </si>
  <si>
    <t>V0.08</t>
    <phoneticPr fontId="1" type="noConversion"/>
  </si>
  <si>
    <t>V0.08</t>
    <phoneticPr fontId="1" type="noConversion"/>
  </si>
  <si>
    <t>0 : remote, 1 : alarm, 2 : event</t>
    <phoneticPr fontId="1" type="noConversion"/>
  </si>
  <si>
    <t>V0.0A</t>
    <phoneticPr fontId="1" type="noConversion"/>
  </si>
  <si>
    <t>V0.0A</t>
    <phoneticPr fontId="1" type="noConversion"/>
  </si>
  <si>
    <t>V0.09</t>
    <phoneticPr fontId="1" type="noConversion"/>
  </si>
  <si>
    <t>V0.09</t>
    <phoneticPr fontId="1" type="noConversion"/>
  </si>
  <si>
    <t>V0.08</t>
    <phoneticPr fontId="1" type="noConversion"/>
  </si>
  <si>
    <t>Test Mode</t>
    <phoneticPr fontId="1" type="noConversion"/>
  </si>
  <si>
    <t>sec</t>
    <phoneticPr fontId="1" type="noConversion"/>
  </si>
  <si>
    <t>0~65535</t>
    <phoneticPr fontId="1" type="noConversion"/>
  </si>
  <si>
    <t>(Test Mode)Data update period</t>
    <phoneticPr fontId="1" type="noConversion"/>
  </si>
  <si>
    <t xml:space="preserve"> 일반 metering 데이터만 random data 생성</t>
    <phoneticPr fontId="1" type="noConversion"/>
  </si>
  <si>
    <t>ms</t>
    <phoneticPr fontId="1" type="noConversion"/>
  </si>
  <si>
    <t>ms</t>
    <phoneticPr fontId="1" type="noConversion"/>
  </si>
  <si>
    <t>Test Mode 추가, Do Type name 변경</t>
    <phoneticPr fontId="1" type="noConversion"/>
  </si>
  <si>
    <t>Alarm Status</t>
    <phoneticPr fontId="1" type="noConversion"/>
  </si>
  <si>
    <t>Event Status</t>
    <phoneticPr fontId="1" type="noConversion"/>
  </si>
  <si>
    <t>Alarm Ack 시 0으로 초기화, Alarm 발생시 1</t>
    <phoneticPr fontId="1" type="noConversion"/>
  </si>
  <si>
    <t>V0.0B</t>
    <phoneticPr fontId="1" type="noConversion"/>
  </si>
  <si>
    <t>Alarm,Event Status 추가</t>
    <phoneticPr fontId="1" type="noConversion"/>
  </si>
  <si>
    <t>0 : 1min, 1:5min, 2:15min, 3:30min, 4:60min</t>
    <phoneticPr fontId="1" type="noConversion"/>
  </si>
  <si>
    <t>0 : always, 1 : 2min, 2 : 4min, 3:6min, 4:8min, 5:10min</t>
    <phoneticPr fontId="1" type="noConversion"/>
  </si>
  <si>
    <t>0:20%, 1:40%, 2:60%, 3:80%, 4:100%</t>
    <phoneticPr fontId="1" type="noConversion"/>
  </si>
  <si>
    <t>0:2sec, 1:4sec, 2:6sec, 3:8sec, 4:10sec</t>
    <phoneticPr fontId="1" type="noConversion"/>
  </si>
  <si>
    <t>auto rotation</t>
    <phoneticPr fontId="1" type="noConversion"/>
  </si>
  <si>
    <t>0: daily
1: weekly
2: monthly
3 : none</t>
    <phoneticPr fontId="1" type="noConversion"/>
  </si>
  <si>
    <t>0 : disable, 1 : enable</t>
    <phoneticPr fontId="1" type="noConversion"/>
  </si>
  <si>
    <t>0 : 1min
1 : 2min
2 : 3min
3 : 5min
4: 10min
5 : 15min
6: 20min
7 : 30min
8 : 60min</t>
    <phoneticPr fontId="1" type="noConversion"/>
  </si>
  <si>
    <t>V0.0C</t>
    <phoneticPr fontId="1" type="noConversion"/>
  </si>
  <si>
    <t>0 : normal, 1 : Test mode</t>
    <phoneticPr fontId="1" type="noConversion"/>
  </si>
  <si>
    <t>V0.0C</t>
    <phoneticPr fontId="1" type="noConversion"/>
  </si>
  <si>
    <t>V0.0B</t>
    <phoneticPr fontId="1" type="noConversion"/>
  </si>
  <si>
    <t>reserved</t>
    <phoneticPr fontId="1" type="noConversion"/>
  </si>
  <si>
    <t>clear PI</t>
    <phoneticPr fontId="1" type="noConversion"/>
  </si>
  <si>
    <t>Command</t>
    <phoneticPr fontId="1" type="noConversion"/>
  </si>
  <si>
    <t>reset</t>
    <phoneticPr fontId="1" type="noConversion"/>
  </si>
  <si>
    <t>clear PI value</t>
    <phoneticPr fontId="1" type="noConversion"/>
  </si>
  <si>
    <t>SNTP Mode</t>
    <phoneticPr fontId="1" type="noConversion"/>
  </si>
  <si>
    <t>0 : not use, 1 : use</t>
    <phoneticPr fontId="1" type="noConversion"/>
  </si>
  <si>
    <t>SNTP Interval</t>
    <phoneticPr fontId="1" type="noConversion"/>
  </si>
  <si>
    <t>min</t>
    <phoneticPr fontId="1" type="noConversion"/>
  </si>
  <si>
    <t>Test Mode, Clear PI 기능 추가</t>
    <phoneticPr fontId="1" type="noConversion"/>
  </si>
  <si>
    <t>V0.08</t>
    <phoneticPr fontId="1" type="noConversion"/>
  </si>
  <si>
    <t>IOM Reset, Clear PI 추가</t>
    <phoneticPr fontId="1" type="noConversion"/>
  </si>
  <si>
    <t>RSTP status 추가</t>
    <phoneticPr fontId="1" type="noConversion"/>
  </si>
  <si>
    <t>modbus</t>
    <phoneticPr fontId="1" type="noConversion"/>
  </si>
  <si>
    <t>LAN HUB#1 RSTP Status</t>
    <phoneticPr fontId="1" type="noConversion"/>
  </si>
  <si>
    <t>LAN HUB#2 RSTP Status</t>
    <phoneticPr fontId="1" type="noConversion"/>
  </si>
  <si>
    <t>0 : disable, 1 : broken, 2 : blocking, 3 : listening, 4 : learning, 5 : forwarding</t>
    <phoneticPr fontId="1" type="noConversion"/>
  </si>
  <si>
    <t>V0.0D</t>
    <phoneticPr fontId="1" type="noConversion"/>
  </si>
  <si>
    <t>start</t>
    <phoneticPr fontId="1" type="noConversion"/>
  </si>
  <si>
    <t>end</t>
    <phoneticPr fontId="1" type="noConversion"/>
  </si>
  <si>
    <t>seq</t>
    <phoneticPr fontId="1" type="noConversion"/>
  </si>
  <si>
    <t>이벤트 발생시 증가</t>
    <phoneticPr fontId="1" type="noConversion"/>
  </si>
  <si>
    <t>load event</t>
    <phoneticPr fontId="1" type="noConversion"/>
  </si>
  <si>
    <t>load alarm</t>
    <phoneticPr fontId="1" type="noConversion"/>
  </si>
  <si>
    <t>total count</t>
    <phoneticPr fontId="1" type="noConversion"/>
  </si>
  <si>
    <t>0 ~ 1023</t>
    <phoneticPr fontId="1" type="noConversion"/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</si>
  <si>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</si>
  <si>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</si>
  <si>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</si>
  <si>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</si>
  <si>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</si>
  <si>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</si>
  <si>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</si>
  <si>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</si>
  <si>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</si>
  <si>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</si>
  <si>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</si>
  <si>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</si>
  <si>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</si>
  <si>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</si>
  <si>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</si>
  <si>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</si>
  <si>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</si>
  <si>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</si>
  <si>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</si>
  <si>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</si>
  <si>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</si>
  <si>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</si>
  <si>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</si>
  <si>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</si>
  <si>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</si>
  <si>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</si>
  <si>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</si>
  <si>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</si>
  <si>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</si>
  <si>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</si>
  <si>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</si>
  <si>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load itic</t>
    <phoneticPr fontId="1" type="noConversion"/>
  </si>
  <si>
    <t>1: down, 2:up, 3:top</t>
    <phoneticPr fontId="1" type="noConversion"/>
  </si>
  <si>
    <t>V0.0F</t>
    <phoneticPr fontId="1" type="noConversion"/>
  </si>
  <si>
    <t>ITIC Log 수정
event log page up/down command
alarm log page up/down command
ITIC   log page up/down command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</si>
</sst>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2" fillId="4" borderId="12" xfId="0" applyFont="1" applyFill="1" applyBorder="1">
      <alignment vertical="center"/>
    </xf>
    <xf numFmtId="0" fontId="2" fillId="4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4" borderId="17" xfId="0" applyFont="1" applyFill="1" applyBorder="1">
      <alignment vertical="center"/>
    </xf>
    <xf numFmtId="0" fontId="2" fillId="4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4" borderId="12" xfId="0" applyFill="1" applyBorder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4" borderId="1" xfId="0" applyNumberFormat="1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3" fillId="0" borderId="12" xfId="0" applyNumberFormat="1" applyFont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left" vertical="center" wrapText="1"/>
    </xf>
    <xf numFmtId="176" fontId="11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76" fontId="7" fillId="4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3" fillId="0" borderId="6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3" fillId="8" borderId="1" xfId="0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46" xfId="0" applyFont="1" applyBorder="1">
      <alignment vertical="center"/>
    </xf>
    <xf numFmtId="0" fontId="3" fillId="4" borderId="46" xfId="0" applyFont="1" applyFill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2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7" xfId="0" applyFont="1" applyBorder="1">
      <alignment vertical="center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46" xfId="0" applyFont="1" applyBorder="1">
      <alignment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47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9" borderId="44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2" fillId="0" borderId="39" xfId="0" applyFont="1" applyBorder="1">
      <alignment vertical="center"/>
    </xf>
    <xf numFmtId="0" fontId="2" fillId="4" borderId="39" xfId="0" applyFont="1" applyFill="1" applyBorder="1">
      <alignment vertical="center"/>
    </xf>
    <xf numFmtId="0" fontId="2" fillId="4" borderId="39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76" fontId="3" fillId="4" borderId="4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>
      <alignment vertical="center"/>
    </xf>
    <xf numFmtId="176" fontId="3" fillId="0" borderId="39" xfId="0" applyNumberFormat="1" applyFont="1" applyBorder="1" applyAlignment="1">
      <alignment horizontal="left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3" fillId="8" borderId="14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14" fontId="2" fillId="0" borderId="1" xfId="0" applyNumberFormat="1" applyFont="1" applyBorder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176" fontId="3" fillId="8" borderId="17" xfId="0" applyNumberFormat="1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  <xf numFmtId="0" fontId="3" fillId="11" borderId="12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7" fillId="0" borderId="17" xfId="0" applyFont="1" applyBorder="1">
      <alignment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7" borderId="44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86</xdr:row>
      <xdr:rowOff>104775</xdr:rowOff>
    </xdr:from>
    <xdr:to>
      <xdr:col>10</xdr:col>
      <xdr:colOff>304800</xdr:colOff>
      <xdr:row>88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76</xdr:row>
      <xdr:rowOff>161925</xdr:rowOff>
    </xdr:from>
    <xdr:to>
      <xdr:col>9</xdr:col>
      <xdr:colOff>4876800</xdr:colOff>
      <xdr:row>83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296</xdr:row>
      <xdr:rowOff>85726</xdr:rowOff>
    </xdr:from>
    <xdr:to>
      <xdr:col>9</xdr:col>
      <xdr:colOff>4876800</xdr:colOff>
      <xdr:row>310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279</xdr:row>
      <xdr:rowOff>91767</xdr:rowOff>
    </xdr:from>
    <xdr:to>
      <xdr:col>9</xdr:col>
      <xdr:colOff>5037608</xdr:colOff>
      <xdr:row>293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252</xdr:row>
      <xdr:rowOff>23453</xdr:rowOff>
    </xdr:from>
    <xdr:to>
      <xdr:col>9</xdr:col>
      <xdr:colOff>5322325</xdr:colOff>
      <xdr:row>255</xdr:row>
      <xdr:rowOff>38099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9850" y="37056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223</xdr:row>
      <xdr:rowOff>104776</xdr:rowOff>
    </xdr:from>
    <xdr:to>
      <xdr:col>10</xdr:col>
      <xdr:colOff>676276</xdr:colOff>
      <xdr:row>241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1295400</xdr:colOff>
      <xdr:row>188</xdr:row>
      <xdr:rowOff>66675</xdr:rowOff>
    </xdr:from>
    <xdr:to>
      <xdr:col>11</xdr:col>
      <xdr:colOff>422664</xdr:colOff>
      <xdr:row>207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914400</xdr:colOff>
      <xdr:row>53</xdr:row>
      <xdr:rowOff>190500</xdr:rowOff>
    </xdr:from>
    <xdr:to>
      <xdr:col>13</xdr:col>
      <xdr:colOff>300878</xdr:colOff>
      <xdr:row>76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C8" sqref="C8"/>
    </sheetView>
  </sheetViews>
  <sheetFormatPr defaultColWidth="9" defaultRowHeight="13.5" x14ac:dyDescent="0.3"/>
  <cols>
    <col min="1" max="2" width="12.375" style="5" customWidth="1"/>
    <col min="3" max="3" width="40.125" style="5" customWidth="1"/>
    <col min="4" max="4" width="9.25" style="5" customWidth="1"/>
    <col min="5" max="5" width="37.125" style="63" bestFit="1" customWidth="1"/>
    <col min="6" max="6" width="9" style="63"/>
    <col min="7" max="9" width="9" style="5"/>
    <col min="10" max="10" width="18.125" style="5" bestFit="1" customWidth="1"/>
    <col min="11" max="16384" width="9" style="5"/>
  </cols>
  <sheetData>
    <row r="1" spans="1:10" ht="20.25" customHeight="1" x14ac:dyDescent="0.3">
      <c r="A1" s="3" t="s">
        <v>1044</v>
      </c>
      <c r="B1" s="3" t="s">
        <v>1066</v>
      </c>
      <c r="C1" s="3" t="s">
        <v>1049</v>
      </c>
      <c r="D1" s="3" t="s">
        <v>1045</v>
      </c>
      <c r="E1" s="64" t="s">
        <v>1047</v>
      </c>
      <c r="F1" s="64" t="s">
        <v>1051</v>
      </c>
      <c r="G1" s="3" t="s">
        <v>1052</v>
      </c>
      <c r="H1" s="3" t="s">
        <v>1050</v>
      </c>
      <c r="I1" s="3" t="s">
        <v>1053</v>
      </c>
    </row>
    <row r="2" spans="1:10" ht="27" x14ac:dyDescent="0.3">
      <c r="A2" s="3" t="s">
        <v>1043</v>
      </c>
      <c r="B2" s="3" t="s">
        <v>1071</v>
      </c>
      <c r="C2" s="105" t="s">
        <v>1057</v>
      </c>
      <c r="D2" s="3" t="s">
        <v>1046</v>
      </c>
      <c r="E2" s="64" t="s">
        <v>1048</v>
      </c>
      <c r="F2" s="64" t="s">
        <v>1054</v>
      </c>
      <c r="G2" s="64" t="s">
        <v>1054</v>
      </c>
      <c r="H2" s="3"/>
      <c r="I2" s="64" t="s">
        <v>1054</v>
      </c>
    </row>
    <row r="3" spans="1:10" ht="20.25" customHeight="1" x14ac:dyDescent="0.3">
      <c r="A3" s="3"/>
      <c r="B3" s="3"/>
      <c r="C3" s="3" t="s">
        <v>1055</v>
      </c>
      <c r="D3" s="3" t="s">
        <v>1050</v>
      </c>
      <c r="E3" s="64"/>
      <c r="F3" s="64"/>
      <c r="G3" s="1" t="s">
        <v>270</v>
      </c>
      <c r="H3" s="1" t="s">
        <v>270</v>
      </c>
      <c r="I3" s="3"/>
    </row>
    <row r="4" spans="1:10" ht="20.25" customHeight="1" x14ac:dyDescent="0.3">
      <c r="A4" s="3"/>
      <c r="B4" s="3"/>
      <c r="C4" s="3" t="s">
        <v>1056</v>
      </c>
      <c r="D4" s="3" t="s">
        <v>1050</v>
      </c>
      <c r="E4" s="64"/>
      <c r="F4" s="64"/>
      <c r="G4" s="1" t="s">
        <v>270</v>
      </c>
      <c r="H4" s="1" t="s">
        <v>270</v>
      </c>
      <c r="I4" s="3"/>
    </row>
    <row r="5" spans="1:10" ht="20.25" customHeight="1" x14ac:dyDescent="0.3">
      <c r="A5" s="3" t="s">
        <v>1132</v>
      </c>
      <c r="B5" s="3" t="s">
        <v>1133</v>
      </c>
      <c r="C5" s="3" t="s">
        <v>1068</v>
      </c>
      <c r="D5" s="3" t="s">
        <v>1134</v>
      </c>
      <c r="E5" s="64" t="s">
        <v>1135</v>
      </c>
      <c r="F5" s="64" t="s">
        <v>1069</v>
      </c>
      <c r="G5" s="1" t="s">
        <v>270</v>
      </c>
      <c r="H5" s="3"/>
      <c r="I5" s="1" t="s">
        <v>1069</v>
      </c>
      <c r="J5" s="5" t="s">
        <v>1070</v>
      </c>
    </row>
    <row r="6" spans="1:10" x14ac:dyDescent="0.3">
      <c r="A6" s="3" t="s">
        <v>1091</v>
      </c>
      <c r="B6" s="3"/>
      <c r="C6" s="3" t="s">
        <v>1136</v>
      </c>
      <c r="D6" s="3" t="s">
        <v>1050</v>
      </c>
      <c r="E6" s="64" t="s">
        <v>1073</v>
      </c>
      <c r="F6" s="64"/>
      <c r="G6" s="1" t="s">
        <v>270</v>
      </c>
      <c r="H6" s="1" t="s">
        <v>270</v>
      </c>
      <c r="I6" s="3"/>
    </row>
    <row r="7" spans="1:10" x14ac:dyDescent="0.3">
      <c r="A7" s="3" t="s">
        <v>1137</v>
      </c>
      <c r="B7" s="3" t="s">
        <v>1138</v>
      </c>
      <c r="C7" s="3" t="s">
        <v>1090</v>
      </c>
      <c r="D7" s="3" t="s">
        <v>1046</v>
      </c>
      <c r="E7" s="64" t="s">
        <v>1139</v>
      </c>
      <c r="F7" s="64"/>
      <c r="G7" s="3"/>
      <c r="H7" s="3"/>
      <c r="I7" s="3"/>
    </row>
    <row r="8" spans="1:10" x14ac:dyDescent="0.3">
      <c r="A8" s="176">
        <v>45576</v>
      </c>
      <c r="B8" s="3" t="s">
        <v>1140</v>
      </c>
      <c r="C8" s="3" t="s">
        <v>1141</v>
      </c>
      <c r="D8" s="3" t="s">
        <v>1142</v>
      </c>
      <c r="E8" s="64"/>
      <c r="F8" s="64"/>
      <c r="G8" s="3"/>
      <c r="H8" s="3"/>
      <c r="I8" s="3"/>
    </row>
    <row r="9" spans="1:10" x14ac:dyDescent="0.3">
      <c r="A9" s="176">
        <v>45652</v>
      </c>
      <c r="B9" s="3" t="s">
        <v>1143</v>
      </c>
      <c r="C9" s="3" t="s">
        <v>1144</v>
      </c>
      <c r="D9" s="3" t="s">
        <v>1145</v>
      </c>
      <c r="E9" s="64" t="s">
        <v>1146</v>
      </c>
      <c r="F9" s="64"/>
      <c r="G9" s="3"/>
      <c r="H9" s="3"/>
      <c r="I9" s="3"/>
    </row>
    <row r="10" spans="1:10" x14ac:dyDescent="0.3">
      <c r="A10" s="176">
        <v>45666</v>
      </c>
      <c r="B10" s="3" t="s">
        <v>1147</v>
      </c>
      <c r="C10" s="3" t="s">
        <v>1148</v>
      </c>
      <c r="D10" s="3"/>
      <c r="E10" s="64"/>
      <c r="F10" s="64"/>
      <c r="G10" s="3"/>
      <c r="H10" s="3"/>
      <c r="I10" s="3"/>
    </row>
    <row r="11" spans="1:10" x14ac:dyDescent="0.3">
      <c r="A11" s="176">
        <v>45678</v>
      </c>
      <c r="B11" s="3" t="s">
        <v>1166</v>
      </c>
      <c r="C11" s="3" t="s">
        <v>1165</v>
      </c>
      <c r="D11" s="3" t="s">
        <v>1046</v>
      </c>
      <c r="E11" s="64"/>
      <c r="F11" s="64"/>
      <c r="G11" s="3"/>
      <c r="H11" s="3"/>
      <c r="I11" s="3"/>
    </row>
    <row r="12" spans="1:10" x14ac:dyDescent="0.3">
      <c r="A12" s="176">
        <v>45693</v>
      </c>
      <c r="B12" s="3" t="s">
        <v>1167</v>
      </c>
      <c r="C12" s="3" t="s">
        <v>1168</v>
      </c>
      <c r="D12" s="3" t="s">
        <v>1046</v>
      </c>
      <c r="E12" s="64"/>
      <c r="F12" s="64"/>
      <c r="G12" s="3"/>
      <c r="H12" s="3"/>
      <c r="I12" s="3"/>
    </row>
    <row r="13" spans="1:10" x14ac:dyDescent="0.3">
      <c r="A13" s="176">
        <v>45694</v>
      </c>
      <c r="B13" s="3" t="s">
        <v>1174</v>
      </c>
      <c r="C13" s="3" t="s">
        <v>1175</v>
      </c>
      <c r="D13" s="3" t="s">
        <v>1046</v>
      </c>
      <c r="E13" s="64"/>
      <c r="F13" s="64"/>
      <c r="G13" s="3"/>
      <c r="H13" s="3"/>
      <c r="I13" s="3"/>
    </row>
    <row r="14" spans="1:10" x14ac:dyDescent="0.3">
      <c r="A14" s="176">
        <v>45695</v>
      </c>
      <c r="B14" s="3" t="s">
        <v>1179</v>
      </c>
      <c r="C14" s="3" t="s">
        <v>1178</v>
      </c>
      <c r="D14" s="3" t="s">
        <v>1046</v>
      </c>
      <c r="E14" s="64"/>
      <c r="F14" s="64"/>
      <c r="G14" s="3"/>
      <c r="H14" s="3"/>
      <c r="I14" s="3"/>
    </row>
    <row r="15" spans="1:10" x14ac:dyDescent="0.3">
      <c r="A15" s="176">
        <v>45700</v>
      </c>
      <c r="B15" s="3" t="s">
        <v>1185</v>
      </c>
      <c r="C15" s="3" t="s">
        <v>1197</v>
      </c>
      <c r="D15" s="3" t="s">
        <v>1046</v>
      </c>
      <c r="E15" s="64"/>
      <c r="F15" s="64"/>
      <c r="G15" s="3"/>
      <c r="H15" s="3"/>
      <c r="I15" s="3"/>
    </row>
    <row r="16" spans="1:10" x14ac:dyDescent="0.3">
      <c r="A16" s="176">
        <v>45701</v>
      </c>
      <c r="B16" s="3" t="s">
        <v>1214</v>
      </c>
      <c r="C16" s="3" t="s">
        <v>1202</v>
      </c>
      <c r="D16" s="3" t="s">
        <v>1046</v>
      </c>
      <c r="E16" s="64"/>
      <c r="F16" s="64"/>
      <c r="G16" s="3"/>
      <c r="H16" s="3"/>
      <c r="I16" s="3"/>
    </row>
    <row r="17" spans="1:9" x14ac:dyDescent="0.3">
      <c r="A17" s="176">
        <v>45712</v>
      </c>
      <c r="B17" s="3" t="s">
        <v>1213</v>
      </c>
      <c r="C17" s="3" t="s">
        <v>1224</v>
      </c>
      <c r="D17" s="3" t="s">
        <v>1046</v>
      </c>
      <c r="E17" s="64"/>
      <c r="F17" s="64"/>
      <c r="G17" s="3"/>
      <c r="H17" s="3"/>
      <c r="I17" s="3"/>
    </row>
    <row r="18" spans="1:9" x14ac:dyDescent="0.3">
      <c r="A18" s="3"/>
      <c r="B18" s="3"/>
      <c r="C18" s="3" t="s">
        <v>1226</v>
      </c>
      <c r="D18" s="3" t="s">
        <v>1050</v>
      </c>
      <c r="E18" s="64"/>
      <c r="F18" s="64"/>
      <c r="G18" s="3"/>
      <c r="H18" s="3"/>
      <c r="I18" s="3"/>
    </row>
    <row r="19" spans="1:9" x14ac:dyDescent="0.3">
      <c r="A19" s="176">
        <v>45712</v>
      </c>
      <c r="B19" s="3" t="s">
        <v>1232</v>
      </c>
      <c r="C19" s="3" t="s">
        <v>1227</v>
      </c>
      <c r="D19" s="3" t="s">
        <v>1228</v>
      </c>
      <c r="E19" s="64"/>
      <c r="F19" s="64"/>
      <c r="G19" s="3"/>
      <c r="H19" s="3"/>
      <c r="I19" s="3"/>
    </row>
    <row r="20" spans="1:9" ht="111" customHeight="1" x14ac:dyDescent="0.3">
      <c r="A20" s="176">
        <v>45731</v>
      </c>
      <c r="B20" s="3" t="s">
        <v>1274</v>
      </c>
      <c r="C20" s="105" t="s">
        <v>1275</v>
      </c>
      <c r="D20" s="3" t="s">
        <v>1046</v>
      </c>
      <c r="E20" s="64"/>
      <c r="F20" s="64"/>
      <c r="G20" s="3"/>
      <c r="H20" s="3"/>
      <c r="I2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2"/>
  <sheetViews>
    <sheetView topLeftCell="A1053" zoomScaleNormal="100" workbookViewId="0">
      <selection activeCell="C813" sqref="C813"/>
    </sheetView>
  </sheetViews>
  <sheetFormatPr defaultColWidth="9" defaultRowHeight="13.5" customHeight="1" x14ac:dyDescent="0.3"/>
  <cols>
    <col min="1" max="1" width="7.375" style="10" customWidth="1"/>
    <col min="2" max="2" width="30.75" style="15" customWidth="1"/>
    <col min="3" max="3" width="23.875" style="10" bestFit="1" customWidth="1"/>
    <col min="4" max="4" width="20.75" style="10" customWidth="1"/>
    <col min="5" max="5" width="8.625" style="23" customWidth="1"/>
    <col min="6" max="6" width="6.375" style="23" customWidth="1"/>
    <col min="7" max="7" width="8.625" style="23" customWidth="1"/>
    <col min="8" max="8" width="8.625" style="10" customWidth="1"/>
    <col min="9" max="9" width="12.375" style="10" customWidth="1"/>
    <col min="10" max="10" width="75.25" style="15" customWidth="1"/>
    <col min="11" max="16384" width="9" style="10"/>
  </cols>
  <sheetData>
    <row r="1" spans="1:10" ht="27.75" customHeight="1" thickBot="1" x14ac:dyDescent="0.35">
      <c r="A1" s="127" t="s">
        <v>916</v>
      </c>
      <c r="B1" s="128" t="s">
        <v>914</v>
      </c>
      <c r="C1" s="128" t="s">
        <v>915</v>
      </c>
      <c r="D1" s="128" t="s">
        <v>920</v>
      </c>
      <c r="E1" s="128" t="s">
        <v>917</v>
      </c>
      <c r="F1" s="128" t="s">
        <v>1074</v>
      </c>
      <c r="G1" s="128" t="s">
        <v>918</v>
      </c>
      <c r="H1" s="128" t="s">
        <v>919</v>
      </c>
      <c r="I1" s="129"/>
    </row>
    <row r="2" spans="1:10" ht="15.95" customHeight="1" thickBot="1" x14ac:dyDescent="0.35">
      <c r="A2" s="190" t="s">
        <v>156</v>
      </c>
      <c r="B2" s="191"/>
      <c r="C2" s="191"/>
      <c r="D2" s="191"/>
      <c r="E2" s="191"/>
      <c r="F2" s="191"/>
      <c r="G2" s="191"/>
      <c r="H2" s="192"/>
      <c r="I2" s="124" t="s">
        <v>208</v>
      </c>
    </row>
    <row r="3" spans="1:10" ht="15.95" customHeight="1" x14ac:dyDescent="0.3">
      <c r="A3" s="32">
        <v>0</v>
      </c>
      <c r="B3" s="57" t="s">
        <v>89</v>
      </c>
      <c r="C3" s="58"/>
      <c r="D3" s="58"/>
      <c r="E3" s="53" t="s">
        <v>90</v>
      </c>
      <c r="F3" s="53">
        <v>3</v>
      </c>
      <c r="G3" s="53">
        <f>IF(OR(E3="U16",E3="S16"),1,IF(E3="TS",6,IF(E3="U64",4,2)))</f>
        <v>2</v>
      </c>
      <c r="H3" s="35">
        <v>1</v>
      </c>
    </row>
    <row r="4" spans="1:10" ht="15.95" customHeight="1" x14ac:dyDescent="0.3">
      <c r="A4" s="36">
        <f>A3+(G3*H3)</f>
        <v>2</v>
      </c>
      <c r="B4" s="14" t="s">
        <v>30</v>
      </c>
      <c r="C4" s="12" t="s">
        <v>875</v>
      </c>
      <c r="D4" s="12" t="s">
        <v>921</v>
      </c>
      <c r="E4" s="22" t="s">
        <v>58</v>
      </c>
      <c r="F4" s="22">
        <v>3</v>
      </c>
      <c r="G4" s="22">
        <f t="shared" ref="G4:G67" si="0">IF(OR(E4="U16",E4="S16"),1,IF(E4="TS",6,IF(E4="U64",4,2)))</f>
        <v>2</v>
      </c>
      <c r="H4" s="37">
        <v>1</v>
      </c>
      <c r="I4" s="10" t="s">
        <v>207</v>
      </c>
    </row>
    <row r="5" spans="1:10" ht="15.95" customHeight="1" x14ac:dyDescent="0.3">
      <c r="A5" s="36">
        <f t="shared" ref="A5:A74" si="1">A4+(G4*H4)</f>
        <v>4</v>
      </c>
      <c r="B5" s="14" t="s">
        <v>175</v>
      </c>
      <c r="C5" s="12"/>
      <c r="D5" s="87" t="s">
        <v>922</v>
      </c>
      <c r="E5" s="22" t="s">
        <v>57</v>
      </c>
      <c r="F5" s="22">
        <v>3</v>
      </c>
      <c r="G5" s="22">
        <f t="shared" si="0"/>
        <v>2</v>
      </c>
      <c r="H5" s="37">
        <v>1</v>
      </c>
    </row>
    <row r="6" spans="1:10" ht="15.95" customHeight="1" x14ac:dyDescent="0.3">
      <c r="A6" s="36">
        <f t="shared" si="1"/>
        <v>6</v>
      </c>
      <c r="B6" s="14" t="s">
        <v>182</v>
      </c>
      <c r="C6" s="65" t="s">
        <v>897</v>
      </c>
      <c r="D6" s="193" t="s">
        <v>158</v>
      </c>
      <c r="E6" s="12" t="s">
        <v>58</v>
      </c>
      <c r="F6" s="22">
        <v>3</v>
      </c>
      <c r="G6" s="22">
        <f t="shared" si="0"/>
        <v>2</v>
      </c>
      <c r="H6" s="37">
        <v>1</v>
      </c>
      <c r="I6" s="10" t="s">
        <v>207</v>
      </c>
    </row>
    <row r="7" spans="1:10" ht="15.95" customHeight="1" x14ac:dyDescent="0.3">
      <c r="A7" s="36">
        <f t="shared" si="1"/>
        <v>8</v>
      </c>
      <c r="B7" s="14" t="s">
        <v>183</v>
      </c>
      <c r="C7" s="65" t="s">
        <v>898</v>
      </c>
      <c r="D7" s="194"/>
      <c r="E7" s="12" t="s">
        <v>58</v>
      </c>
      <c r="F7" s="22">
        <v>3</v>
      </c>
      <c r="G7" s="22">
        <f t="shared" si="0"/>
        <v>2</v>
      </c>
      <c r="H7" s="37">
        <v>1</v>
      </c>
      <c r="I7" s="10" t="s">
        <v>207</v>
      </c>
    </row>
    <row r="8" spans="1:10" ht="15.95" customHeight="1" x14ac:dyDescent="0.3">
      <c r="A8" s="36">
        <f t="shared" si="1"/>
        <v>10</v>
      </c>
      <c r="B8" s="14" t="s">
        <v>184</v>
      </c>
      <c r="C8" s="65" t="s">
        <v>899</v>
      </c>
      <c r="D8" s="194"/>
      <c r="E8" s="12" t="s">
        <v>58</v>
      </c>
      <c r="F8" s="22">
        <v>3</v>
      </c>
      <c r="G8" s="22">
        <f t="shared" si="0"/>
        <v>2</v>
      </c>
      <c r="H8" s="37">
        <v>1</v>
      </c>
      <c r="I8" s="10" t="s">
        <v>207</v>
      </c>
    </row>
    <row r="9" spans="1:10" ht="15.95" customHeight="1" x14ac:dyDescent="0.3">
      <c r="A9" s="36">
        <f t="shared" si="1"/>
        <v>12</v>
      </c>
      <c r="B9" s="14" t="s">
        <v>190</v>
      </c>
      <c r="C9" s="65" t="s">
        <v>900</v>
      </c>
      <c r="D9" s="194"/>
      <c r="E9" s="12" t="s">
        <v>58</v>
      </c>
      <c r="F9" s="22">
        <v>3</v>
      </c>
      <c r="G9" s="22">
        <f t="shared" si="0"/>
        <v>2</v>
      </c>
      <c r="H9" s="37">
        <v>1</v>
      </c>
      <c r="I9" s="10" t="s">
        <v>207</v>
      </c>
    </row>
    <row r="10" spans="1:10" ht="15.95" customHeight="1" x14ac:dyDescent="0.3">
      <c r="A10" s="36">
        <f t="shared" si="1"/>
        <v>14</v>
      </c>
      <c r="B10" s="14" t="s">
        <v>186</v>
      </c>
      <c r="C10" s="14" t="s">
        <v>876</v>
      </c>
      <c r="D10" s="194"/>
      <c r="E10" s="12" t="s">
        <v>58</v>
      </c>
      <c r="F10" s="22">
        <v>3</v>
      </c>
      <c r="G10" s="22">
        <f t="shared" si="0"/>
        <v>2</v>
      </c>
      <c r="H10" s="37">
        <v>1</v>
      </c>
      <c r="I10" s="10" t="s">
        <v>207</v>
      </c>
    </row>
    <row r="11" spans="1:10" ht="15.95" customHeight="1" x14ac:dyDescent="0.3">
      <c r="A11" s="36">
        <f t="shared" si="1"/>
        <v>16</v>
      </c>
      <c r="B11" s="14" t="s">
        <v>187</v>
      </c>
      <c r="C11" s="14" t="s">
        <v>877</v>
      </c>
      <c r="D11" s="194"/>
      <c r="E11" s="12" t="s">
        <v>58</v>
      </c>
      <c r="F11" s="22">
        <v>3</v>
      </c>
      <c r="G11" s="22">
        <f t="shared" si="0"/>
        <v>2</v>
      </c>
      <c r="H11" s="37">
        <v>1</v>
      </c>
      <c r="I11" s="10" t="s">
        <v>207</v>
      </c>
    </row>
    <row r="12" spans="1:10" ht="15.95" customHeight="1" x14ac:dyDescent="0.3">
      <c r="A12" s="36">
        <f t="shared" si="1"/>
        <v>18</v>
      </c>
      <c r="B12" s="14" t="s">
        <v>188</v>
      </c>
      <c r="C12" s="14" t="s">
        <v>878</v>
      </c>
      <c r="D12" s="194"/>
      <c r="E12" s="12" t="s">
        <v>58</v>
      </c>
      <c r="F12" s="22">
        <v>3</v>
      </c>
      <c r="G12" s="22">
        <f t="shared" si="0"/>
        <v>2</v>
      </c>
      <c r="H12" s="37">
        <v>1</v>
      </c>
      <c r="I12" s="10" t="s">
        <v>207</v>
      </c>
    </row>
    <row r="13" spans="1:10" ht="15.95" customHeight="1" x14ac:dyDescent="0.3">
      <c r="A13" s="36">
        <f t="shared" si="1"/>
        <v>20</v>
      </c>
      <c r="B13" s="14" t="s">
        <v>189</v>
      </c>
      <c r="C13" s="14" t="s">
        <v>901</v>
      </c>
      <c r="D13" s="194"/>
      <c r="E13" s="12" t="s">
        <v>58</v>
      </c>
      <c r="F13" s="22">
        <v>3</v>
      </c>
      <c r="G13" s="22">
        <f t="shared" si="0"/>
        <v>2</v>
      </c>
      <c r="H13" s="37">
        <v>1</v>
      </c>
      <c r="I13" s="10" t="s">
        <v>207</v>
      </c>
    </row>
    <row r="14" spans="1:10" ht="15.95" customHeight="1" x14ac:dyDescent="0.3">
      <c r="A14" s="36">
        <f t="shared" si="1"/>
        <v>22</v>
      </c>
      <c r="B14" s="14" t="s">
        <v>229</v>
      </c>
      <c r="C14" s="65"/>
      <c r="D14" s="193" t="s">
        <v>162</v>
      </c>
      <c r="E14" s="22" t="s">
        <v>58</v>
      </c>
      <c r="F14" s="22">
        <v>3</v>
      </c>
      <c r="G14" s="22">
        <f t="shared" si="0"/>
        <v>2</v>
      </c>
      <c r="H14" s="37">
        <v>1</v>
      </c>
      <c r="I14" s="10" t="s">
        <v>207</v>
      </c>
      <c r="J14" s="15" t="s">
        <v>220</v>
      </c>
    </row>
    <row r="15" spans="1:10" ht="15.95" customHeight="1" x14ac:dyDescent="0.3">
      <c r="A15" s="36">
        <f t="shared" si="1"/>
        <v>24</v>
      </c>
      <c r="B15" s="14" t="s">
        <v>230</v>
      </c>
      <c r="C15" s="12"/>
      <c r="D15" s="195"/>
      <c r="E15" s="22" t="s">
        <v>57</v>
      </c>
      <c r="F15" s="22">
        <v>3</v>
      </c>
      <c r="G15" s="22">
        <f t="shared" si="0"/>
        <v>2</v>
      </c>
      <c r="H15" s="37">
        <v>1</v>
      </c>
      <c r="I15" s="10" t="s">
        <v>207</v>
      </c>
      <c r="J15" s="15" t="s">
        <v>221</v>
      </c>
    </row>
    <row r="16" spans="1:10" ht="15.95" customHeight="1" x14ac:dyDescent="0.3">
      <c r="A16" s="36">
        <f t="shared" si="1"/>
        <v>26</v>
      </c>
      <c r="B16" s="14" t="s">
        <v>197</v>
      </c>
      <c r="C16" s="193"/>
      <c r="D16" s="65"/>
      <c r="E16" s="22" t="s">
        <v>58</v>
      </c>
      <c r="F16" s="22">
        <v>3</v>
      </c>
      <c r="G16" s="22">
        <f t="shared" si="0"/>
        <v>2</v>
      </c>
      <c r="H16" s="37">
        <v>1</v>
      </c>
    </row>
    <row r="17" spans="1:9" ht="15.95" customHeight="1" x14ac:dyDescent="0.3">
      <c r="A17" s="36">
        <f t="shared" si="1"/>
        <v>28</v>
      </c>
      <c r="B17" s="14" t="s">
        <v>198</v>
      </c>
      <c r="C17" s="194"/>
      <c r="D17" s="65"/>
      <c r="E17" s="22" t="s">
        <v>58</v>
      </c>
      <c r="F17" s="22">
        <v>3</v>
      </c>
      <c r="G17" s="22">
        <f t="shared" si="0"/>
        <v>2</v>
      </c>
      <c r="H17" s="37">
        <v>1</v>
      </c>
    </row>
    <row r="18" spans="1:9" ht="15.95" customHeight="1" x14ac:dyDescent="0.3">
      <c r="A18" s="36">
        <f t="shared" si="1"/>
        <v>30</v>
      </c>
      <c r="B18" s="14" t="s">
        <v>199</v>
      </c>
      <c r="C18" s="195"/>
      <c r="D18" s="65"/>
      <c r="E18" s="22" t="s">
        <v>58</v>
      </c>
      <c r="F18" s="22">
        <v>3</v>
      </c>
      <c r="G18" s="22">
        <f t="shared" si="0"/>
        <v>2</v>
      </c>
      <c r="H18" s="37">
        <v>1</v>
      </c>
    </row>
    <row r="19" spans="1:9" ht="15.95" customHeight="1" x14ac:dyDescent="0.3">
      <c r="A19" s="36">
        <f t="shared" si="1"/>
        <v>32</v>
      </c>
      <c r="B19" s="14" t="s">
        <v>200</v>
      </c>
      <c r="C19" s="193"/>
      <c r="D19" s="65"/>
      <c r="E19" s="22" t="s">
        <v>58</v>
      </c>
      <c r="F19" s="22">
        <v>3</v>
      </c>
      <c r="G19" s="22">
        <f t="shared" si="0"/>
        <v>2</v>
      </c>
      <c r="H19" s="37">
        <v>1</v>
      </c>
    </row>
    <row r="20" spans="1:9" ht="15.95" customHeight="1" x14ac:dyDescent="0.3">
      <c r="A20" s="36">
        <f t="shared" si="1"/>
        <v>34</v>
      </c>
      <c r="B20" s="14" t="s">
        <v>201</v>
      </c>
      <c r="C20" s="194"/>
      <c r="D20" s="65"/>
      <c r="E20" s="22" t="s">
        <v>58</v>
      </c>
      <c r="F20" s="22">
        <v>3</v>
      </c>
      <c r="G20" s="22">
        <f t="shared" si="0"/>
        <v>2</v>
      </c>
      <c r="H20" s="37">
        <v>1</v>
      </c>
    </row>
    <row r="21" spans="1:9" ht="15.95" customHeight="1" x14ac:dyDescent="0.3">
      <c r="A21" s="36">
        <f t="shared" si="1"/>
        <v>36</v>
      </c>
      <c r="B21" s="14" t="s">
        <v>205</v>
      </c>
      <c r="C21" s="195"/>
      <c r="D21" s="65"/>
      <c r="E21" s="22" t="s">
        <v>58</v>
      </c>
      <c r="F21" s="22">
        <v>3</v>
      </c>
      <c r="G21" s="22">
        <f t="shared" si="0"/>
        <v>2</v>
      </c>
      <c r="H21" s="37">
        <v>1</v>
      </c>
    </row>
    <row r="22" spans="1:9" ht="15.95" customHeight="1" x14ac:dyDescent="0.3">
      <c r="A22" s="36">
        <f t="shared" si="1"/>
        <v>38</v>
      </c>
      <c r="B22" s="14" t="s">
        <v>202</v>
      </c>
      <c r="C22" s="193"/>
      <c r="D22" s="65"/>
      <c r="E22" s="22" t="s">
        <v>58</v>
      </c>
      <c r="F22" s="22">
        <v>3</v>
      </c>
      <c r="G22" s="22">
        <f t="shared" si="0"/>
        <v>2</v>
      </c>
      <c r="H22" s="37">
        <v>1</v>
      </c>
    </row>
    <row r="23" spans="1:9" ht="15.95" customHeight="1" x14ac:dyDescent="0.3">
      <c r="A23" s="36">
        <f t="shared" si="1"/>
        <v>40</v>
      </c>
      <c r="B23" s="14" t="s">
        <v>203</v>
      </c>
      <c r="C23" s="194"/>
      <c r="D23" s="65"/>
      <c r="E23" s="22" t="s">
        <v>58</v>
      </c>
      <c r="F23" s="22">
        <v>3</v>
      </c>
      <c r="G23" s="22">
        <f t="shared" si="0"/>
        <v>2</v>
      </c>
      <c r="H23" s="37">
        <v>1</v>
      </c>
    </row>
    <row r="24" spans="1:9" ht="15.95" customHeight="1" x14ac:dyDescent="0.3">
      <c r="A24" s="36">
        <f t="shared" si="1"/>
        <v>42</v>
      </c>
      <c r="B24" s="14" t="s">
        <v>204</v>
      </c>
      <c r="C24" s="193"/>
      <c r="D24" s="65"/>
      <c r="E24" s="22" t="s">
        <v>58</v>
      </c>
      <c r="F24" s="22">
        <v>3</v>
      </c>
      <c r="G24" s="22">
        <f t="shared" si="0"/>
        <v>2</v>
      </c>
      <c r="H24" s="37">
        <v>1</v>
      </c>
    </row>
    <row r="25" spans="1:9" ht="15.95" customHeight="1" x14ac:dyDescent="0.3">
      <c r="A25" s="36">
        <f t="shared" si="1"/>
        <v>44</v>
      </c>
      <c r="B25" s="14" t="s">
        <v>191</v>
      </c>
      <c r="C25" s="194"/>
      <c r="D25" s="12" t="s">
        <v>162</v>
      </c>
      <c r="E25" s="22" t="s">
        <v>58</v>
      </c>
      <c r="F25" s="22">
        <v>3</v>
      </c>
      <c r="G25" s="22">
        <f t="shared" si="0"/>
        <v>2</v>
      </c>
      <c r="H25" s="37">
        <v>1</v>
      </c>
    </row>
    <row r="26" spans="1:9" ht="15.95" customHeight="1" x14ac:dyDescent="0.3">
      <c r="A26" s="36">
        <f t="shared" si="1"/>
        <v>46</v>
      </c>
      <c r="B26" s="14" t="s">
        <v>192</v>
      </c>
      <c r="C26" s="193"/>
      <c r="D26" s="12" t="s">
        <v>162</v>
      </c>
      <c r="E26" s="22" t="s">
        <v>58</v>
      </c>
      <c r="F26" s="22">
        <v>3</v>
      </c>
      <c r="G26" s="22">
        <f t="shared" si="0"/>
        <v>2</v>
      </c>
      <c r="H26" s="37">
        <v>1</v>
      </c>
    </row>
    <row r="27" spans="1:9" ht="15.95" customHeight="1" x14ac:dyDescent="0.3">
      <c r="A27" s="36">
        <f t="shared" si="1"/>
        <v>48</v>
      </c>
      <c r="B27" s="14" t="s">
        <v>193</v>
      </c>
      <c r="C27" s="194"/>
      <c r="D27" s="12" t="s">
        <v>162</v>
      </c>
      <c r="E27" s="22" t="s">
        <v>58</v>
      </c>
      <c r="F27" s="22">
        <v>3</v>
      </c>
      <c r="G27" s="22">
        <f t="shared" si="0"/>
        <v>2</v>
      </c>
      <c r="H27" s="37">
        <v>1</v>
      </c>
    </row>
    <row r="28" spans="1:9" ht="15.95" customHeight="1" x14ac:dyDescent="0.3">
      <c r="A28" s="36">
        <f t="shared" si="1"/>
        <v>50</v>
      </c>
      <c r="B28" s="14" t="s">
        <v>194</v>
      </c>
      <c r="C28" s="12"/>
      <c r="D28" s="12" t="s">
        <v>162</v>
      </c>
      <c r="E28" s="22" t="s">
        <v>58</v>
      </c>
      <c r="F28" s="22">
        <v>3</v>
      </c>
      <c r="G28" s="22">
        <f t="shared" si="0"/>
        <v>2</v>
      </c>
      <c r="H28" s="37">
        <v>1</v>
      </c>
      <c r="I28" s="10" t="s">
        <v>207</v>
      </c>
    </row>
    <row r="29" spans="1:9" ht="15.95" customHeight="1" x14ac:dyDescent="0.3">
      <c r="A29" s="36">
        <f t="shared" si="1"/>
        <v>52</v>
      </c>
      <c r="B29" s="14" t="s">
        <v>195</v>
      </c>
      <c r="C29" s="12"/>
      <c r="D29" s="12" t="s">
        <v>162</v>
      </c>
      <c r="E29" s="22" t="s">
        <v>58</v>
      </c>
      <c r="F29" s="22">
        <v>3</v>
      </c>
      <c r="G29" s="22">
        <f t="shared" si="0"/>
        <v>2</v>
      </c>
      <c r="H29" s="37">
        <v>1</v>
      </c>
      <c r="I29" s="10" t="s">
        <v>207</v>
      </c>
    </row>
    <row r="30" spans="1:9" ht="15.95" customHeight="1" x14ac:dyDescent="0.3">
      <c r="A30" s="36">
        <f t="shared" si="1"/>
        <v>54</v>
      </c>
      <c r="B30" s="14" t="s">
        <v>196</v>
      </c>
      <c r="C30" s="12"/>
      <c r="D30" s="12" t="s">
        <v>162</v>
      </c>
      <c r="E30" s="12" t="s">
        <v>58</v>
      </c>
      <c r="F30" s="22">
        <v>3</v>
      </c>
      <c r="G30" s="12">
        <f t="shared" si="0"/>
        <v>2</v>
      </c>
      <c r="H30" s="37">
        <v>1</v>
      </c>
      <c r="I30" s="10" t="s">
        <v>207</v>
      </c>
    </row>
    <row r="31" spans="1:9" ht="15.95" customHeight="1" x14ac:dyDescent="0.3">
      <c r="A31" s="36">
        <f t="shared" si="1"/>
        <v>56</v>
      </c>
      <c r="B31" s="14"/>
      <c r="C31" s="119"/>
      <c r="D31" s="119"/>
      <c r="E31" s="12" t="s">
        <v>58</v>
      </c>
      <c r="F31" s="22">
        <v>3</v>
      </c>
      <c r="G31" s="12">
        <f t="shared" si="0"/>
        <v>2</v>
      </c>
      <c r="H31" s="37">
        <v>1</v>
      </c>
    </row>
    <row r="32" spans="1:9" ht="15.95" customHeight="1" x14ac:dyDescent="0.3">
      <c r="A32" s="36">
        <f t="shared" si="1"/>
        <v>58</v>
      </c>
      <c r="B32" s="14"/>
      <c r="C32" s="119"/>
      <c r="D32" s="119"/>
      <c r="E32" s="12" t="s">
        <v>58</v>
      </c>
      <c r="F32" s="22">
        <v>3</v>
      </c>
      <c r="G32" s="12">
        <f t="shared" si="0"/>
        <v>2</v>
      </c>
      <c r="H32" s="37">
        <v>1</v>
      </c>
    </row>
    <row r="33" spans="1:10" ht="15.95" customHeight="1" x14ac:dyDescent="0.3">
      <c r="A33" s="36">
        <f t="shared" si="1"/>
        <v>60</v>
      </c>
      <c r="B33" s="14" t="s">
        <v>0</v>
      </c>
      <c r="C33" s="65" t="s">
        <v>902</v>
      </c>
      <c r="D33" s="193" t="s">
        <v>923</v>
      </c>
      <c r="E33" s="12" t="s">
        <v>58</v>
      </c>
      <c r="F33" s="22">
        <v>3</v>
      </c>
      <c r="G33" s="12">
        <f t="shared" si="0"/>
        <v>2</v>
      </c>
      <c r="H33" s="37">
        <v>1</v>
      </c>
      <c r="I33" s="10" t="s">
        <v>207</v>
      </c>
    </row>
    <row r="34" spans="1:10" ht="15.95" customHeight="1" x14ac:dyDescent="0.3">
      <c r="A34" s="36">
        <f t="shared" si="1"/>
        <v>62</v>
      </c>
      <c r="B34" s="14" t="s">
        <v>1</v>
      </c>
      <c r="C34" s="65" t="s">
        <v>903</v>
      </c>
      <c r="D34" s="194"/>
      <c r="E34" s="12" t="s">
        <v>58</v>
      </c>
      <c r="F34" s="22">
        <v>3</v>
      </c>
      <c r="G34" s="12">
        <f t="shared" si="0"/>
        <v>2</v>
      </c>
      <c r="H34" s="37">
        <v>1</v>
      </c>
      <c r="I34" s="10" t="s">
        <v>207</v>
      </c>
    </row>
    <row r="35" spans="1:10" ht="15.95" customHeight="1" x14ac:dyDescent="0.3">
      <c r="A35" s="36">
        <f t="shared" si="1"/>
        <v>64</v>
      </c>
      <c r="B35" s="14" t="s">
        <v>2</v>
      </c>
      <c r="C35" s="65" t="s">
        <v>904</v>
      </c>
      <c r="D35" s="194"/>
      <c r="E35" s="12" t="s">
        <v>58</v>
      </c>
      <c r="F35" s="22">
        <v>3</v>
      </c>
      <c r="G35" s="12">
        <f t="shared" si="0"/>
        <v>2</v>
      </c>
      <c r="H35" s="37">
        <v>1</v>
      </c>
      <c r="I35" s="10" t="s">
        <v>207</v>
      </c>
    </row>
    <row r="36" spans="1:10" ht="15.95" customHeight="1" x14ac:dyDescent="0.3">
      <c r="A36" s="36">
        <f t="shared" si="1"/>
        <v>66</v>
      </c>
      <c r="B36" s="14" t="s">
        <v>177</v>
      </c>
      <c r="C36" s="12"/>
      <c r="D36" s="194"/>
      <c r="E36" s="12" t="s">
        <v>58</v>
      </c>
      <c r="F36" s="22">
        <v>3</v>
      </c>
      <c r="G36" s="12">
        <f t="shared" si="0"/>
        <v>2</v>
      </c>
      <c r="H36" s="37">
        <v>1</v>
      </c>
      <c r="I36" s="10" t="s">
        <v>207</v>
      </c>
    </row>
    <row r="37" spans="1:10" ht="15.95" customHeight="1" x14ac:dyDescent="0.3">
      <c r="A37" s="36">
        <f t="shared" si="1"/>
        <v>68</v>
      </c>
      <c r="B37" s="14" t="s">
        <v>5</v>
      </c>
      <c r="C37" s="12"/>
      <c r="D37" s="195"/>
      <c r="E37" s="12" t="s">
        <v>58</v>
      </c>
      <c r="F37" s="22">
        <v>3</v>
      </c>
      <c r="G37" s="12">
        <f t="shared" si="0"/>
        <v>2</v>
      </c>
      <c r="H37" s="37">
        <v>1</v>
      </c>
      <c r="I37" s="10" t="s">
        <v>207</v>
      </c>
    </row>
    <row r="38" spans="1:10" ht="15.95" customHeight="1" x14ac:dyDescent="0.3">
      <c r="A38" s="36">
        <f t="shared" si="1"/>
        <v>70</v>
      </c>
      <c r="B38" s="14" t="s">
        <v>40</v>
      </c>
      <c r="E38" s="12" t="s">
        <v>58</v>
      </c>
      <c r="F38" s="22">
        <v>3</v>
      </c>
      <c r="G38" s="12">
        <f t="shared" si="0"/>
        <v>2</v>
      </c>
      <c r="H38" s="37">
        <v>1</v>
      </c>
      <c r="I38" s="10" t="s">
        <v>207</v>
      </c>
      <c r="J38" s="14" t="s">
        <v>844</v>
      </c>
    </row>
    <row r="39" spans="1:10" ht="15.95" customHeight="1" x14ac:dyDescent="0.3">
      <c r="A39" s="36">
        <f t="shared" si="1"/>
        <v>72</v>
      </c>
      <c r="B39" s="14" t="s">
        <v>1115</v>
      </c>
      <c r="C39" s="12" t="s">
        <v>843</v>
      </c>
      <c r="D39" s="12"/>
      <c r="E39" s="12" t="s">
        <v>58</v>
      </c>
      <c r="F39" s="22">
        <v>3</v>
      </c>
      <c r="G39" s="12">
        <f t="shared" si="0"/>
        <v>2</v>
      </c>
      <c r="H39" s="37">
        <v>1</v>
      </c>
      <c r="I39" s="10" t="s">
        <v>207</v>
      </c>
      <c r="J39" s="15" t="s">
        <v>845</v>
      </c>
    </row>
    <row r="40" spans="1:10" ht="15.95" customHeight="1" x14ac:dyDescent="0.3">
      <c r="A40" s="36">
        <f t="shared" si="1"/>
        <v>74</v>
      </c>
      <c r="B40" s="14" t="s">
        <v>119</v>
      </c>
      <c r="C40" s="12"/>
      <c r="D40" s="12"/>
      <c r="E40" s="22" t="s">
        <v>58</v>
      </c>
      <c r="F40" s="22">
        <v>3</v>
      </c>
      <c r="G40" s="22">
        <f t="shared" si="0"/>
        <v>2</v>
      </c>
      <c r="H40" s="37">
        <v>1</v>
      </c>
      <c r="I40" s="10" t="s">
        <v>207</v>
      </c>
    </row>
    <row r="41" spans="1:10" ht="15.95" customHeight="1" x14ac:dyDescent="0.3">
      <c r="A41" s="36">
        <f t="shared" si="1"/>
        <v>76</v>
      </c>
      <c r="B41" s="14" t="s">
        <v>222</v>
      </c>
      <c r="C41" s="193"/>
      <c r="D41" s="119"/>
      <c r="E41" s="22" t="s">
        <v>58</v>
      </c>
      <c r="F41" s="22">
        <v>3</v>
      </c>
      <c r="G41" s="22">
        <f t="shared" si="0"/>
        <v>2</v>
      </c>
      <c r="H41" s="37">
        <v>1</v>
      </c>
    </row>
    <row r="42" spans="1:10" ht="15.95" customHeight="1" x14ac:dyDescent="0.3">
      <c r="A42" s="36">
        <f t="shared" si="1"/>
        <v>78</v>
      </c>
      <c r="B42" s="14" t="s">
        <v>223</v>
      </c>
      <c r="C42" s="195"/>
      <c r="D42" s="11"/>
      <c r="E42" s="22" t="s">
        <v>58</v>
      </c>
      <c r="F42" s="22">
        <v>3</v>
      </c>
      <c r="G42" s="22">
        <f t="shared" si="0"/>
        <v>2</v>
      </c>
      <c r="H42" s="37">
        <v>1</v>
      </c>
    </row>
    <row r="43" spans="1:10" ht="15.95" customHeight="1" x14ac:dyDescent="0.3">
      <c r="A43" s="36">
        <f t="shared" si="1"/>
        <v>80</v>
      </c>
      <c r="B43" s="14" t="s">
        <v>224</v>
      </c>
      <c r="C43" s="193"/>
      <c r="D43" s="119"/>
      <c r="E43" s="22" t="s">
        <v>58</v>
      </c>
      <c r="F43" s="22">
        <v>3</v>
      </c>
      <c r="G43" s="22">
        <f t="shared" si="0"/>
        <v>2</v>
      </c>
      <c r="H43" s="37">
        <v>1</v>
      </c>
    </row>
    <row r="44" spans="1:10" ht="15.95" customHeight="1" x14ac:dyDescent="0.3">
      <c r="A44" s="36">
        <f t="shared" si="1"/>
        <v>82</v>
      </c>
      <c r="B44" s="14" t="s">
        <v>225</v>
      </c>
      <c r="C44" s="195"/>
      <c r="D44" s="11"/>
      <c r="E44" s="22" t="s">
        <v>58</v>
      </c>
      <c r="F44" s="22">
        <v>3</v>
      </c>
      <c r="G44" s="22">
        <f t="shared" si="0"/>
        <v>2</v>
      </c>
      <c r="H44" s="37">
        <v>1</v>
      </c>
    </row>
    <row r="45" spans="1:10" ht="15.95" customHeight="1" x14ac:dyDescent="0.3">
      <c r="A45" s="36">
        <f t="shared" si="1"/>
        <v>84</v>
      </c>
      <c r="B45" s="14" t="s">
        <v>226</v>
      </c>
      <c r="C45" s="193"/>
      <c r="D45" s="119"/>
      <c r="E45" s="22" t="s">
        <v>58</v>
      </c>
      <c r="F45" s="22">
        <v>3</v>
      </c>
      <c r="G45" s="22">
        <f t="shared" si="0"/>
        <v>2</v>
      </c>
      <c r="H45" s="37">
        <v>1</v>
      </c>
    </row>
    <row r="46" spans="1:10" ht="15.95" customHeight="1" x14ac:dyDescent="0.3">
      <c r="A46" s="36">
        <f t="shared" si="1"/>
        <v>86</v>
      </c>
      <c r="B46" s="14" t="s">
        <v>227</v>
      </c>
      <c r="C46" s="195"/>
      <c r="D46" s="11"/>
      <c r="E46" s="22" t="s">
        <v>58</v>
      </c>
      <c r="F46" s="22">
        <v>3</v>
      </c>
      <c r="G46" s="22">
        <f t="shared" si="0"/>
        <v>2</v>
      </c>
      <c r="H46" s="37">
        <v>1</v>
      </c>
    </row>
    <row r="47" spans="1:10" ht="15.95" customHeight="1" x14ac:dyDescent="0.3">
      <c r="A47" s="36">
        <f t="shared" si="1"/>
        <v>88</v>
      </c>
      <c r="B47" s="14" t="s">
        <v>231</v>
      </c>
      <c r="C47" s="193"/>
      <c r="D47" s="119"/>
      <c r="E47" s="22" t="s">
        <v>58</v>
      </c>
      <c r="F47" s="22">
        <v>3</v>
      </c>
      <c r="G47" s="22">
        <f t="shared" si="0"/>
        <v>2</v>
      </c>
      <c r="H47" s="37">
        <v>1</v>
      </c>
      <c r="I47" s="10" t="s">
        <v>207</v>
      </c>
    </row>
    <row r="48" spans="1:10" ht="15.95" customHeight="1" x14ac:dyDescent="0.3">
      <c r="A48" s="36">
        <f t="shared" si="1"/>
        <v>90</v>
      </c>
      <c r="B48" s="14" t="s">
        <v>232</v>
      </c>
      <c r="C48" s="194"/>
      <c r="D48" s="120"/>
      <c r="E48" s="22" t="s">
        <v>58</v>
      </c>
      <c r="F48" s="22">
        <v>3</v>
      </c>
      <c r="G48" s="22">
        <f t="shared" si="0"/>
        <v>2</v>
      </c>
      <c r="H48" s="37">
        <v>1</v>
      </c>
      <c r="I48" s="10" t="s">
        <v>207</v>
      </c>
    </row>
    <row r="49" spans="1:9" ht="15.95" customHeight="1" x14ac:dyDescent="0.3">
      <c r="A49" s="36">
        <f t="shared" si="1"/>
        <v>92</v>
      </c>
      <c r="B49" s="14" t="s">
        <v>233</v>
      </c>
      <c r="C49" s="195"/>
      <c r="D49" s="11"/>
      <c r="E49" s="22" t="s">
        <v>58</v>
      </c>
      <c r="F49" s="22">
        <v>3</v>
      </c>
      <c r="G49" s="22">
        <f t="shared" si="0"/>
        <v>2</v>
      </c>
      <c r="H49" s="37">
        <v>1</v>
      </c>
      <c r="I49" s="10" t="s">
        <v>207</v>
      </c>
    </row>
    <row r="50" spans="1:9" ht="15.95" customHeight="1" x14ac:dyDescent="0.3">
      <c r="A50" s="36">
        <f t="shared" si="1"/>
        <v>94</v>
      </c>
      <c r="B50" s="14" t="s">
        <v>234</v>
      </c>
      <c r="C50" s="119"/>
      <c r="D50" s="193" t="s">
        <v>162</v>
      </c>
      <c r="E50" s="22" t="s">
        <v>58</v>
      </c>
      <c r="F50" s="22">
        <v>3</v>
      </c>
      <c r="G50" s="22">
        <f t="shared" si="0"/>
        <v>2</v>
      </c>
      <c r="H50" s="37">
        <v>1</v>
      </c>
    </row>
    <row r="51" spans="1:9" ht="15.95" customHeight="1" x14ac:dyDescent="0.3">
      <c r="A51" s="36">
        <f t="shared" si="1"/>
        <v>96</v>
      </c>
      <c r="B51" s="14" t="s">
        <v>228</v>
      </c>
      <c r="C51" s="119"/>
      <c r="D51" s="195"/>
      <c r="E51" s="22" t="s">
        <v>58</v>
      </c>
      <c r="F51" s="22">
        <v>3</v>
      </c>
      <c r="G51" s="22">
        <f t="shared" si="0"/>
        <v>2</v>
      </c>
      <c r="H51" s="37">
        <v>1</v>
      </c>
    </row>
    <row r="52" spans="1:9" ht="15.95" customHeight="1" x14ac:dyDescent="0.3">
      <c r="A52" s="36">
        <f t="shared" si="1"/>
        <v>98</v>
      </c>
      <c r="B52" s="14"/>
      <c r="C52" s="119"/>
      <c r="D52" s="119"/>
      <c r="E52" s="22" t="s">
        <v>58</v>
      </c>
      <c r="F52" s="22">
        <v>3</v>
      </c>
      <c r="G52" s="22">
        <f t="shared" si="0"/>
        <v>2</v>
      </c>
      <c r="H52" s="37">
        <v>1</v>
      </c>
    </row>
    <row r="53" spans="1:9" ht="15.95" customHeight="1" x14ac:dyDescent="0.3">
      <c r="A53" s="36">
        <f t="shared" si="1"/>
        <v>100</v>
      </c>
      <c r="B53" s="14" t="s">
        <v>59</v>
      </c>
      <c r="C53" s="65" t="s">
        <v>879</v>
      </c>
      <c r="D53" s="193" t="s">
        <v>869</v>
      </c>
      <c r="E53" s="22" t="s">
        <v>58</v>
      </c>
      <c r="F53" s="22">
        <v>3</v>
      </c>
      <c r="G53" s="22">
        <f t="shared" si="0"/>
        <v>2</v>
      </c>
      <c r="H53" s="37">
        <v>1</v>
      </c>
      <c r="I53" s="10" t="s">
        <v>207</v>
      </c>
    </row>
    <row r="54" spans="1:9" ht="15.95" customHeight="1" x14ac:dyDescent="0.3">
      <c r="A54" s="36">
        <f t="shared" si="1"/>
        <v>102</v>
      </c>
      <c r="B54" s="14" t="s">
        <v>176</v>
      </c>
      <c r="C54" s="65" t="s">
        <v>880</v>
      </c>
      <c r="D54" s="194"/>
      <c r="E54" s="22" t="s">
        <v>58</v>
      </c>
      <c r="F54" s="22">
        <v>3</v>
      </c>
      <c r="G54" s="22">
        <f t="shared" si="0"/>
        <v>2</v>
      </c>
      <c r="H54" s="37">
        <v>1</v>
      </c>
      <c r="I54" s="10" t="s">
        <v>207</v>
      </c>
    </row>
    <row r="55" spans="1:9" ht="15.95" customHeight="1" x14ac:dyDescent="0.3">
      <c r="A55" s="36">
        <f t="shared" si="1"/>
        <v>104</v>
      </c>
      <c r="B55" s="14" t="s">
        <v>4</v>
      </c>
      <c r="C55" s="65" t="s">
        <v>881</v>
      </c>
      <c r="D55" s="194"/>
      <c r="E55" s="22" t="s">
        <v>58</v>
      </c>
      <c r="F55" s="22">
        <v>3</v>
      </c>
      <c r="G55" s="22">
        <f t="shared" si="0"/>
        <v>2</v>
      </c>
      <c r="H55" s="37">
        <v>1</v>
      </c>
      <c r="I55" s="10" t="s">
        <v>207</v>
      </c>
    </row>
    <row r="56" spans="1:9" ht="15.95" customHeight="1" x14ac:dyDescent="0.3">
      <c r="A56" s="36">
        <f t="shared" si="1"/>
        <v>106</v>
      </c>
      <c r="B56" s="14" t="s">
        <v>60</v>
      </c>
      <c r="C56" s="65" t="s">
        <v>882</v>
      </c>
      <c r="D56" s="194"/>
      <c r="E56" s="12" t="s">
        <v>58</v>
      </c>
      <c r="F56" s="22">
        <v>3</v>
      </c>
      <c r="G56" s="12">
        <f t="shared" si="0"/>
        <v>2</v>
      </c>
      <c r="H56" s="37">
        <v>1</v>
      </c>
      <c r="I56" s="10" t="s">
        <v>207</v>
      </c>
    </row>
    <row r="57" spans="1:9" ht="15.95" customHeight="1" x14ac:dyDescent="0.3">
      <c r="A57" s="36">
        <f t="shared" si="1"/>
        <v>108</v>
      </c>
      <c r="B57" s="14" t="s">
        <v>67</v>
      </c>
      <c r="C57" s="65"/>
      <c r="D57" s="194"/>
      <c r="E57" s="22" t="s">
        <v>58</v>
      </c>
      <c r="F57" s="22">
        <v>3</v>
      </c>
      <c r="G57" s="22">
        <f t="shared" si="0"/>
        <v>2</v>
      </c>
      <c r="H57" s="37">
        <v>1</v>
      </c>
      <c r="I57" s="10" t="s">
        <v>207</v>
      </c>
    </row>
    <row r="58" spans="1:9" ht="15.95" customHeight="1" x14ac:dyDescent="0.3">
      <c r="A58" s="36">
        <f t="shared" si="1"/>
        <v>110</v>
      </c>
      <c r="B58" s="14" t="s">
        <v>68</v>
      </c>
      <c r="C58" s="65"/>
      <c r="D58" s="194"/>
      <c r="E58" s="22" t="s">
        <v>58</v>
      </c>
      <c r="F58" s="22">
        <v>3</v>
      </c>
      <c r="G58" s="22">
        <f t="shared" si="0"/>
        <v>2</v>
      </c>
      <c r="H58" s="37">
        <v>1</v>
      </c>
      <c r="I58" s="10" t="s">
        <v>207</v>
      </c>
    </row>
    <row r="59" spans="1:9" ht="15.95" customHeight="1" x14ac:dyDescent="0.3">
      <c r="A59" s="36">
        <f t="shared" si="1"/>
        <v>112</v>
      </c>
      <c r="B59" s="14" t="s">
        <v>69</v>
      </c>
      <c r="C59" s="65"/>
      <c r="D59" s="194"/>
      <c r="E59" s="22" t="s">
        <v>58</v>
      </c>
      <c r="F59" s="22">
        <v>3</v>
      </c>
      <c r="G59" s="22">
        <f t="shared" si="0"/>
        <v>2</v>
      </c>
      <c r="H59" s="37">
        <v>1</v>
      </c>
      <c r="I59" s="10" t="s">
        <v>207</v>
      </c>
    </row>
    <row r="60" spans="1:9" ht="15.95" customHeight="1" x14ac:dyDescent="0.3">
      <c r="A60" s="36">
        <f t="shared" si="1"/>
        <v>114</v>
      </c>
      <c r="B60" s="14" t="s">
        <v>70</v>
      </c>
      <c r="C60" s="65"/>
      <c r="D60" s="195"/>
      <c r="E60" s="22" t="s">
        <v>58</v>
      </c>
      <c r="F60" s="22">
        <v>3</v>
      </c>
      <c r="G60" s="22">
        <f t="shared" si="0"/>
        <v>2</v>
      </c>
      <c r="H60" s="37">
        <v>1</v>
      </c>
      <c r="I60" s="10" t="s">
        <v>207</v>
      </c>
    </row>
    <row r="61" spans="1:9" ht="15.95" customHeight="1" x14ac:dyDescent="0.3">
      <c r="A61" s="36">
        <f t="shared" si="1"/>
        <v>116</v>
      </c>
      <c r="B61" s="14" t="s">
        <v>61</v>
      </c>
      <c r="C61" s="65" t="s">
        <v>883</v>
      </c>
      <c r="D61" s="193" t="s">
        <v>870</v>
      </c>
      <c r="E61" s="22" t="s">
        <v>58</v>
      </c>
      <c r="F61" s="22">
        <v>3</v>
      </c>
      <c r="G61" s="22">
        <f t="shared" si="0"/>
        <v>2</v>
      </c>
      <c r="H61" s="37">
        <v>1</v>
      </c>
      <c r="I61" s="10" t="s">
        <v>207</v>
      </c>
    </row>
    <row r="62" spans="1:9" ht="15.95" customHeight="1" x14ac:dyDescent="0.3">
      <c r="A62" s="36">
        <f t="shared" si="1"/>
        <v>118</v>
      </c>
      <c r="B62" s="14" t="s">
        <v>62</v>
      </c>
      <c r="C62" s="65" t="s">
        <v>884</v>
      </c>
      <c r="D62" s="194"/>
      <c r="E62" s="22" t="s">
        <v>58</v>
      </c>
      <c r="F62" s="22">
        <v>3</v>
      </c>
      <c r="G62" s="22">
        <f t="shared" si="0"/>
        <v>2</v>
      </c>
      <c r="H62" s="37">
        <v>1</v>
      </c>
      <c r="I62" s="10" t="s">
        <v>207</v>
      </c>
    </row>
    <row r="63" spans="1:9" ht="15.95" customHeight="1" x14ac:dyDescent="0.3">
      <c r="A63" s="36">
        <f t="shared" si="1"/>
        <v>120</v>
      </c>
      <c r="B63" s="14" t="s">
        <v>63</v>
      </c>
      <c r="C63" s="65" t="s">
        <v>885</v>
      </c>
      <c r="D63" s="194"/>
      <c r="E63" s="22" t="s">
        <v>58</v>
      </c>
      <c r="F63" s="22">
        <v>3</v>
      </c>
      <c r="G63" s="22">
        <f t="shared" si="0"/>
        <v>2</v>
      </c>
      <c r="H63" s="37">
        <v>1</v>
      </c>
      <c r="I63" s="10" t="s">
        <v>207</v>
      </c>
    </row>
    <row r="64" spans="1:9" ht="15.95" customHeight="1" x14ac:dyDescent="0.3">
      <c r="A64" s="36">
        <f t="shared" si="1"/>
        <v>122</v>
      </c>
      <c r="B64" s="14" t="s">
        <v>64</v>
      </c>
      <c r="C64" s="65" t="s">
        <v>886</v>
      </c>
      <c r="D64" s="194"/>
      <c r="E64" s="12" t="s">
        <v>58</v>
      </c>
      <c r="F64" s="22">
        <v>3</v>
      </c>
      <c r="G64" s="12">
        <f t="shared" si="0"/>
        <v>2</v>
      </c>
      <c r="H64" s="37">
        <v>1</v>
      </c>
      <c r="I64" s="10" t="s">
        <v>207</v>
      </c>
    </row>
    <row r="65" spans="1:10" ht="15.95" customHeight="1" x14ac:dyDescent="0.3">
      <c r="A65" s="36">
        <f t="shared" si="1"/>
        <v>124</v>
      </c>
      <c r="B65" s="14" t="s">
        <v>71</v>
      </c>
      <c r="C65" s="196"/>
      <c r="D65" s="194"/>
      <c r="E65" s="22" t="s">
        <v>58</v>
      </c>
      <c r="F65" s="22">
        <v>3</v>
      </c>
      <c r="G65" s="22">
        <f t="shared" si="0"/>
        <v>2</v>
      </c>
      <c r="H65" s="37">
        <v>1</v>
      </c>
      <c r="I65" s="10" t="s">
        <v>207</v>
      </c>
    </row>
    <row r="66" spans="1:10" ht="15.95" customHeight="1" x14ac:dyDescent="0.3">
      <c r="A66" s="36">
        <f t="shared" si="1"/>
        <v>126</v>
      </c>
      <c r="B66" s="14" t="s">
        <v>72</v>
      </c>
      <c r="C66" s="196"/>
      <c r="D66" s="194"/>
      <c r="E66" s="22" t="s">
        <v>58</v>
      </c>
      <c r="F66" s="22">
        <v>3</v>
      </c>
      <c r="G66" s="22">
        <f t="shared" si="0"/>
        <v>2</v>
      </c>
      <c r="H66" s="37">
        <v>1</v>
      </c>
      <c r="I66" s="10" t="s">
        <v>207</v>
      </c>
    </row>
    <row r="67" spans="1:10" ht="15.95" customHeight="1" x14ac:dyDescent="0.3">
      <c r="A67" s="36">
        <f t="shared" si="1"/>
        <v>128</v>
      </c>
      <c r="B67" s="14" t="s">
        <v>73</v>
      </c>
      <c r="C67" s="196"/>
      <c r="D67" s="194"/>
      <c r="E67" s="22" t="s">
        <v>58</v>
      </c>
      <c r="F67" s="22">
        <v>3</v>
      </c>
      <c r="G67" s="22">
        <f t="shared" si="0"/>
        <v>2</v>
      </c>
      <c r="H67" s="37">
        <v>1</v>
      </c>
      <c r="I67" s="10" t="s">
        <v>207</v>
      </c>
    </row>
    <row r="68" spans="1:10" ht="15.95" customHeight="1" x14ac:dyDescent="0.3">
      <c r="A68" s="36">
        <f t="shared" si="1"/>
        <v>130</v>
      </c>
      <c r="B68" s="14" t="s">
        <v>74</v>
      </c>
      <c r="C68" s="196"/>
      <c r="D68" s="195"/>
      <c r="E68" s="22" t="s">
        <v>58</v>
      </c>
      <c r="F68" s="22">
        <v>3</v>
      </c>
      <c r="G68" s="22">
        <f t="shared" ref="G68:G92" si="2">IF(OR(E68="U16",E68="S16"),1,IF(E68="TS",6,IF(E68="U64",4,2)))</f>
        <v>2</v>
      </c>
      <c r="H68" s="37">
        <v>1</v>
      </c>
      <c r="I68" s="10" t="s">
        <v>207</v>
      </c>
    </row>
    <row r="69" spans="1:10" ht="15.95" customHeight="1" x14ac:dyDescent="0.3">
      <c r="A69" s="36">
        <f t="shared" si="1"/>
        <v>132</v>
      </c>
      <c r="B69" s="14" t="s">
        <v>65</v>
      </c>
      <c r="C69" s="65" t="s">
        <v>887</v>
      </c>
      <c r="D69" s="193" t="s">
        <v>871</v>
      </c>
      <c r="E69" s="22" t="s">
        <v>58</v>
      </c>
      <c r="F69" s="22">
        <v>3</v>
      </c>
      <c r="G69" s="22">
        <f t="shared" si="2"/>
        <v>2</v>
      </c>
      <c r="H69" s="37">
        <v>1</v>
      </c>
      <c r="I69" s="10" t="s">
        <v>207</v>
      </c>
    </row>
    <row r="70" spans="1:10" ht="15.95" customHeight="1" x14ac:dyDescent="0.3">
      <c r="A70" s="36">
        <f t="shared" si="1"/>
        <v>134</v>
      </c>
      <c r="B70" s="14" t="s">
        <v>6</v>
      </c>
      <c r="C70" s="65" t="s">
        <v>888</v>
      </c>
      <c r="D70" s="194"/>
      <c r="E70" s="22" t="s">
        <v>58</v>
      </c>
      <c r="F70" s="22">
        <v>3</v>
      </c>
      <c r="G70" s="22">
        <f t="shared" si="2"/>
        <v>2</v>
      </c>
      <c r="H70" s="37">
        <v>1</v>
      </c>
      <c r="I70" s="10" t="s">
        <v>207</v>
      </c>
    </row>
    <row r="71" spans="1:10" ht="15.95" customHeight="1" x14ac:dyDescent="0.3">
      <c r="A71" s="36">
        <f t="shared" si="1"/>
        <v>136</v>
      </c>
      <c r="B71" s="14" t="s">
        <v>7</v>
      </c>
      <c r="C71" s="65" t="s">
        <v>889</v>
      </c>
      <c r="D71" s="194"/>
      <c r="E71" s="22" t="s">
        <v>58</v>
      </c>
      <c r="F71" s="22">
        <v>3</v>
      </c>
      <c r="G71" s="22">
        <f t="shared" si="2"/>
        <v>2</v>
      </c>
      <c r="H71" s="37">
        <v>1</v>
      </c>
      <c r="I71" s="10" t="s">
        <v>207</v>
      </c>
      <c r="J71" s="48"/>
    </row>
    <row r="72" spans="1:10" ht="15.95" customHeight="1" x14ac:dyDescent="0.3">
      <c r="A72" s="36">
        <f t="shared" si="1"/>
        <v>138</v>
      </c>
      <c r="B72" s="14" t="s">
        <v>66</v>
      </c>
      <c r="C72" s="65" t="s">
        <v>890</v>
      </c>
      <c r="D72" s="194"/>
      <c r="E72" s="22" t="s">
        <v>58</v>
      </c>
      <c r="F72" s="22">
        <v>3</v>
      </c>
      <c r="G72" s="22">
        <f t="shared" si="2"/>
        <v>2</v>
      </c>
      <c r="H72" s="37">
        <v>1</v>
      </c>
      <c r="I72" s="10" t="s">
        <v>207</v>
      </c>
    </row>
    <row r="73" spans="1:10" ht="15.95" customHeight="1" x14ac:dyDescent="0.3">
      <c r="A73" s="36">
        <f t="shared" si="1"/>
        <v>140</v>
      </c>
      <c r="B73" s="14" t="s">
        <v>75</v>
      </c>
      <c r="C73" s="196"/>
      <c r="D73" s="194"/>
      <c r="E73" s="22" t="s">
        <v>58</v>
      </c>
      <c r="F73" s="22">
        <v>3</v>
      </c>
      <c r="G73" s="22">
        <f t="shared" si="2"/>
        <v>2</v>
      </c>
      <c r="H73" s="37">
        <v>1</v>
      </c>
      <c r="I73" s="10" t="s">
        <v>207</v>
      </c>
    </row>
    <row r="74" spans="1:10" ht="15.95" customHeight="1" x14ac:dyDescent="0.3">
      <c r="A74" s="36">
        <f t="shared" si="1"/>
        <v>142</v>
      </c>
      <c r="B74" s="14" t="s">
        <v>76</v>
      </c>
      <c r="C74" s="196"/>
      <c r="D74" s="194"/>
      <c r="E74" s="22" t="s">
        <v>58</v>
      </c>
      <c r="F74" s="22">
        <v>3</v>
      </c>
      <c r="G74" s="22">
        <f t="shared" si="2"/>
        <v>2</v>
      </c>
      <c r="H74" s="37">
        <v>1</v>
      </c>
      <c r="I74" s="10" t="s">
        <v>207</v>
      </c>
    </row>
    <row r="75" spans="1:10" ht="15.95" customHeight="1" x14ac:dyDescent="0.3">
      <c r="A75" s="36">
        <f t="shared" ref="A75:A92" si="3">A74+(G74*H74)</f>
        <v>144</v>
      </c>
      <c r="B75" s="14" t="s">
        <v>77</v>
      </c>
      <c r="C75" s="196"/>
      <c r="D75" s="194"/>
      <c r="E75" s="22" t="s">
        <v>58</v>
      </c>
      <c r="F75" s="22">
        <v>3</v>
      </c>
      <c r="G75" s="22">
        <f t="shared" si="2"/>
        <v>2</v>
      </c>
      <c r="H75" s="37">
        <v>1</v>
      </c>
      <c r="I75" s="10" t="s">
        <v>207</v>
      </c>
    </row>
    <row r="76" spans="1:10" ht="15.95" customHeight="1" x14ac:dyDescent="0.3">
      <c r="A76" s="36">
        <f t="shared" si="3"/>
        <v>146</v>
      </c>
      <c r="B76" s="14" t="s">
        <v>78</v>
      </c>
      <c r="C76" s="196"/>
      <c r="D76" s="195"/>
      <c r="E76" s="22" t="s">
        <v>58</v>
      </c>
      <c r="F76" s="22">
        <v>3</v>
      </c>
      <c r="G76" s="22">
        <f t="shared" si="2"/>
        <v>2</v>
      </c>
      <c r="H76" s="37">
        <v>1</v>
      </c>
      <c r="I76" s="10" t="s">
        <v>207</v>
      </c>
    </row>
    <row r="77" spans="1:10" ht="15.95" customHeight="1" x14ac:dyDescent="0.3">
      <c r="A77" s="36">
        <f t="shared" si="3"/>
        <v>148</v>
      </c>
      <c r="B77" s="14" t="s">
        <v>79</v>
      </c>
      <c r="C77" s="65" t="s">
        <v>892</v>
      </c>
      <c r="D77" s="193" t="s">
        <v>162</v>
      </c>
      <c r="E77" s="12" t="s">
        <v>58</v>
      </c>
      <c r="F77" s="22">
        <v>3</v>
      </c>
      <c r="G77" s="22">
        <f t="shared" si="2"/>
        <v>2</v>
      </c>
      <c r="H77" s="37">
        <v>1</v>
      </c>
      <c r="I77" s="10" t="s">
        <v>207</v>
      </c>
    </row>
    <row r="78" spans="1:10" ht="15.95" customHeight="1" x14ac:dyDescent="0.3">
      <c r="A78" s="36">
        <f t="shared" si="3"/>
        <v>150</v>
      </c>
      <c r="B78" s="14" t="s">
        <v>8</v>
      </c>
      <c r="C78" s="65" t="s">
        <v>893</v>
      </c>
      <c r="D78" s="194"/>
      <c r="E78" s="12" t="s">
        <v>58</v>
      </c>
      <c r="F78" s="22">
        <v>3</v>
      </c>
      <c r="G78" s="22">
        <f t="shared" si="2"/>
        <v>2</v>
      </c>
      <c r="H78" s="37">
        <v>1</v>
      </c>
      <c r="I78" s="10" t="s">
        <v>207</v>
      </c>
    </row>
    <row r="79" spans="1:10" ht="15.95" customHeight="1" x14ac:dyDescent="0.3">
      <c r="A79" s="36">
        <f t="shared" si="3"/>
        <v>152</v>
      </c>
      <c r="B79" s="14" t="s">
        <v>9</v>
      </c>
      <c r="C79" s="65" t="s">
        <v>894</v>
      </c>
      <c r="D79" s="194"/>
      <c r="E79" s="12" t="s">
        <v>58</v>
      </c>
      <c r="F79" s="22">
        <v>3</v>
      </c>
      <c r="G79" s="22">
        <f t="shared" si="2"/>
        <v>2</v>
      </c>
      <c r="H79" s="37">
        <v>1</v>
      </c>
      <c r="I79" s="10" t="s">
        <v>207</v>
      </c>
    </row>
    <row r="80" spans="1:10" ht="15.95" customHeight="1" x14ac:dyDescent="0.3">
      <c r="A80" s="36">
        <f t="shared" si="3"/>
        <v>154</v>
      </c>
      <c r="B80" s="14" t="s">
        <v>80</v>
      </c>
      <c r="C80" s="65" t="s">
        <v>891</v>
      </c>
      <c r="D80" s="195"/>
      <c r="E80" s="12" t="s">
        <v>58</v>
      </c>
      <c r="F80" s="22">
        <v>3</v>
      </c>
      <c r="G80" s="22">
        <f t="shared" si="2"/>
        <v>2</v>
      </c>
      <c r="H80" s="37">
        <v>1</v>
      </c>
      <c r="I80" s="10" t="s">
        <v>207</v>
      </c>
    </row>
    <row r="81" spans="1:10" ht="15.95" customHeight="1" x14ac:dyDescent="0.3">
      <c r="A81" s="36">
        <f t="shared" si="3"/>
        <v>156</v>
      </c>
      <c r="B81" s="14" t="s">
        <v>81</v>
      </c>
      <c r="C81" s="193"/>
      <c r="D81" s="193" t="s">
        <v>162</v>
      </c>
      <c r="E81" s="22" t="s">
        <v>58</v>
      </c>
      <c r="F81" s="22">
        <v>3</v>
      </c>
      <c r="G81" s="22">
        <f t="shared" si="2"/>
        <v>2</v>
      </c>
      <c r="H81" s="37">
        <v>1</v>
      </c>
    </row>
    <row r="82" spans="1:10" ht="15.95" customHeight="1" x14ac:dyDescent="0.3">
      <c r="A82" s="36">
        <f t="shared" si="3"/>
        <v>158</v>
      </c>
      <c r="B82" s="14" t="s">
        <v>82</v>
      </c>
      <c r="C82" s="194"/>
      <c r="D82" s="194"/>
      <c r="E82" s="22" t="s">
        <v>58</v>
      </c>
      <c r="F82" s="22">
        <v>3</v>
      </c>
      <c r="G82" s="22">
        <f t="shared" si="2"/>
        <v>2</v>
      </c>
      <c r="H82" s="37">
        <v>1</v>
      </c>
    </row>
    <row r="83" spans="1:10" ht="15.95" customHeight="1" x14ac:dyDescent="0.3">
      <c r="A83" s="36">
        <f t="shared" si="3"/>
        <v>160</v>
      </c>
      <c r="B83" s="14" t="s">
        <v>83</v>
      </c>
      <c r="C83" s="194"/>
      <c r="D83" s="194"/>
      <c r="E83" s="22" t="s">
        <v>58</v>
      </c>
      <c r="F83" s="22">
        <v>3</v>
      </c>
      <c r="G83" s="22">
        <f t="shared" si="2"/>
        <v>2</v>
      </c>
      <c r="H83" s="37">
        <v>1</v>
      </c>
    </row>
    <row r="84" spans="1:10" ht="15.95" customHeight="1" x14ac:dyDescent="0.3">
      <c r="A84" s="36">
        <f t="shared" si="3"/>
        <v>162</v>
      </c>
      <c r="B84" s="14" t="s">
        <v>84</v>
      </c>
      <c r="C84" s="195"/>
      <c r="D84" s="195"/>
      <c r="E84" s="22" t="s">
        <v>58</v>
      </c>
      <c r="F84" s="22">
        <v>3</v>
      </c>
      <c r="G84" s="22">
        <f t="shared" si="2"/>
        <v>2</v>
      </c>
      <c r="H84" s="37">
        <v>1</v>
      </c>
    </row>
    <row r="85" spans="1:10" ht="15.95" customHeight="1" x14ac:dyDescent="0.3">
      <c r="A85" s="36">
        <f t="shared" si="3"/>
        <v>164</v>
      </c>
      <c r="B85" s="14" t="s">
        <v>123</v>
      </c>
      <c r="C85" s="193"/>
      <c r="D85" s="193" t="s">
        <v>869</v>
      </c>
      <c r="E85" s="22" t="s">
        <v>58</v>
      </c>
      <c r="F85" s="22">
        <v>3</v>
      </c>
      <c r="G85" s="22">
        <f t="shared" si="2"/>
        <v>2</v>
      </c>
      <c r="H85" s="37">
        <v>1</v>
      </c>
      <c r="J85" s="224" t="s">
        <v>127</v>
      </c>
    </row>
    <row r="86" spans="1:10" ht="15.95" customHeight="1" x14ac:dyDescent="0.3">
      <c r="A86" s="36">
        <f t="shared" si="3"/>
        <v>166</v>
      </c>
      <c r="B86" s="14" t="s">
        <v>124</v>
      </c>
      <c r="C86" s="194"/>
      <c r="D86" s="194"/>
      <c r="E86" s="22" t="s">
        <v>58</v>
      </c>
      <c r="F86" s="22">
        <v>3</v>
      </c>
      <c r="G86" s="22">
        <f t="shared" si="2"/>
        <v>2</v>
      </c>
      <c r="H86" s="37">
        <v>1</v>
      </c>
      <c r="J86" s="224"/>
    </row>
    <row r="87" spans="1:10" ht="15.95" customHeight="1" x14ac:dyDescent="0.3">
      <c r="A87" s="36">
        <f t="shared" si="3"/>
        <v>168</v>
      </c>
      <c r="B87" s="14" t="s">
        <v>125</v>
      </c>
      <c r="C87" s="194"/>
      <c r="D87" s="194"/>
      <c r="E87" s="22" t="s">
        <v>58</v>
      </c>
      <c r="F87" s="22">
        <v>3</v>
      </c>
      <c r="G87" s="22">
        <f t="shared" si="2"/>
        <v>2</v>
      </c>
      <c r="H87" s="37">
        <v>1</v>
      </c>
      <c r="J87" s="224"/>
    </row>
    <row r="88" spans="1:10" ht="15.95" customHeight="1" x14ac:dyDescent="0.3">
      <c r="A88" s="36">
        <f t="shared" si="3"/>
        <v>170</v>
      </c>
      <c r="B88" s="14" t="s">
        <v>126</v>
      </c>
      <c r="C88" s="195"/>
      <c r="D88" s="195"/>
      <c r="E88" s="22" t="s">
        <v>58</v>
      </c>
      <c r="F88" s="22">
        <v>3</v>
      </c>
      <c r="G88" s="22">
        <f t="shared" si="2"/>
        <v>2</v>
      </c>
      <c r="H88" s="37">
        <v>1</v>
      </c>
      <c r="J88" s="224"/>
    </row>
    <row r="89" spans="1:10" ht="15.95" customHeight="1" x14ac:dyDescent="0.3">
      <c r="A89" s="36">
        <f t="shared" si="3"/>
        <v>172</v>
      </c>
      <c r="B89" s="14" t="s">
        <v>120</v>
      </c>
      <c r="C89" s="193"/>
      <c r="D89" s="193" t="s">
        <v>924</v>
      </c>
      <c r="E89" s="22" t="s">
        <v>58</v>
      </c>
      <c r="F89" s="22">
        <v>3</v>
      </c>
      <c r="G89" s="22">
        <f t="shared" si="2"/>
        <v>2</v>
      </c>
      <c r="H89" s="37">
        <v>1</v>
      </c>
      <c r="J89" s="224" t="s">
        <v>490</v>
      </c>
    </row>
    <row r="90" spans="1:10" ht="15.95" customHeight="1" x14ac:dyDescent="0.3">
      <c r="A90" s="36">
        <f t="shared" si="3"/>
        <v>174</v>
      </c>
      <c r="B90" s="14" t="s">
        <v>121</v>
      </c>
      <c r="C90" s="194"/>
      <c r="D90" s="194"/>
      <c r="E90" s="22" t="s">
        <v>58</v>
      </c>
      <c r="F90" s="22">
        <v>3</v>
      </c>
      <c r="G90" s="22">
        <f t="shared" si="2"/>
        <v>2</v>
      </c>
      <c r="H90" s="37">
        <v>1</v>
      </c>
      <c r="J90" s="224"/>
    </row>
    <row r="91" spans="1:10" ht="15.95" customHeight="1" x14ac:dyDescent="0.3">
      <c r="A91" s="36">
        <f t="shared" si="3"/>
        <v>176</v>
      </c>
      <c r="B91" s="14" t="s">
        <v>122</v>
      </c>
      <c r="C91" s="194"/>
      <c r="D91" s="194"/>
      <c r="E91" s="22" t="s">
        <v>58</v>
      </c>
      <c r="F91" s="22">
        <v>3</v>
      </c>
      <c r="G91" s="22">
        <f t="shared" si="2"/>
        <v>2</v>
      </c>
      <c r="H91" s="37">
        <v>1</v>
      </c>
      <c r="J91" s="224"/>
    </row>
    <row r="92" spans="1:10" ht="15.95" customHeight="1" thickBot="1" x14ac:dyDescent="0.35">
      <c r="A92" s="38">
        <f t="shared" si="3"/>
        <v>178</v>
      </c>
      <c r="B92" s="60" t="s">
        <v>477</v>
      </c>
      <c r="C92" s="207"/>
      <c r="D92" s="130"/>
      <c r="E92" s="62" t="s">
        <v>57</v>
      </c>
      <c r="F92" s="62">
        <v>3</v>
      </c>
      <c r="G92" s="62">
        <f t="shared" si="2"/>
        <v>2</v>
      </c>
      <c r="H92" s="41">
        <v>1</v>
      </c>
      <c r="J92" s="85" t="s">
        <v>491</v>
      </c>
    </row>
    <row r="93" spans="1:10" ht="15.95" customHeight="1" thickBot="1" x14ac:dyDescent="0.35">
      <c r="A93" s="190" t="s">
        <v>155</v>
      </c>
      <c r="B93" s="191"/>
      <c r="C93" s="191"/>
      <c r="D93" s="191"/>
      <c r="E93" s="191"/>
      <c r="F93" s="191"/>
      <c r="G93" s="191"/>
      <c r="H93" s="192"/>
    </row>
    <row r="94" spans="1:10" ht="15.95" customHeight="1" x14ac:dyDescent="0.3">
      <c r="A94" s="32">
        <f>A92+(G92*H92)</f>
        <v>180</v>
      </c>
      <c r="B94" s="57" t="s">
        <v>18</v>
      </c>
      <c r="C94" s="208"/>
      <c r="D94" s="208" t="s">
        <v>162</v>
      </c>
      <c r="E94" s="53" t="s">
        <v>58</v>
      </c>
      <c r="F94" s="53">
        <v>3</v>
      </c>
      <c r="G94" s="53">
        <f t="shared" ref="G94:G120" si="4">IF(OR(E94="U16", E94="S16"),1,IF(E94="TS",6,2))</f>
        <v>2</v>
      </c>
      <c r="H94" s="35">
        <v>1</v>
      </c>
    </row>
    <row r="95" spans="1:10" ht="15.95" customHeight="1" x14ac:dyDescent="0.3">
      <c r="A95" s="36">
        <f t="shared" ref="A95:A195" si="5">A94+(G94*H94)</f>
        <v>182</v>
      </c>
      <c r="B95" s="14" t="s">
        <v>19</v>
      </c>
      <c r="C95" s="194"/>
      <c r="D95" s="194"/>
      <c r="E95" s="22" t="s">
        <v>58</v>
      </c>
      <c r="F95" s="22">
        <v>3</v>
      </c>
      <c r="G95" s="22">
        <f t="shared" si="4"/>
        <v>2</v>
      </c>
      <c r="H95" s="37">
        <v>1</v>
      </c>
      <c r="I95" s="10" t="s">
        <v>207</v>
      </c>
      <c r="J95" s="15" t="s">
        <v>209</v>
      </c>
    </row>
    <row r="96" spans="1:10" ht="15.95" customHeight="1" x14ac:dyDescent="0.3">
      <c r="A96" s="36">
        <f t="shared" si="5"/>
        <v>184</v>
      </c>
      <c r="B96" s="14" t="s">
        <v>20</v>
      </c>
      <c r="C96" s="195"/>
      <c r="D96" s="194"/>
      <c r="E96" s="22" t="s">
        <v>58</v>
      </c>
      <c r="F96" s="22">
        <v>3</v>
      </c>
      <c r="G96" s="22">
        <f t="shared" si="4"/>
        <v>2</v>
      </c>
      <c r="H96" s="37">
        <v>1</v>
      </c>
      <c r="I96" s="10" t="s">
        <v>207</v>
      </c>
    </row>
    <row r="97" spans="1:9" ht="15.95" customHeight="1" x14ac:dyDescent="0.3">
      <c r="A97" s="36">
        <f t="shared" si="5"/>
        <v>186</v>
      </c>
      <c r="B97" s="14" t="s">
        <v>21</v>
      </c>
      <c r="C97" s="193"/>
      <c r="D97" s="194"/>
      <c r="E97" s="22" t="s">
        <v>58</v>
      </c>
      <c r="F97" s="22">
        <v>3</v>
      </c>
      <c r="G97" s="22">
        <f t="shared" si="4"/>
        <v>2</v>
      </c>
      <c r="H97" s="37">
        <v>1</v>
      </c>
      <c r="I97" s="10" t="s">
        <v>207</v>
      </c>
    </row>
    <row r="98" spans="1:9" ht="15.95" customHeight="1" x14ac:dyDescent="0.3">
      <c r="A98" s="36">
        <f t="shared" si="5"/>
        <v>188</v>
      </c>
      <c r="B98" s="14" t="s">
        <v>22</v>
      </c>
      <c r="C98" s="194"/>
      <c r="D98" s="194"/>
      <c r="E98" s="22" t="s">
        <v>58</v>
      </c>
      <c r="F98" s="22">
        <v>3</v>
      </c>
      <c r="G98" s="22">
        <f t="shared" si="4"/>
        <v>2</v>
      </c>
      <c r="H98" s="37">
        <v>1</v>
      </c>
      <c r="I98" s="10" t="s">
        <v>207</v>
      </c>
    </row>
    <row r="99" spans="1:9" ht="15.95" customHeight="1" x14ac:dyDescent="0.3">
      <c r="A99" s="36">
        <f t="shared" si="5"/>
        <v>190</v>
      </c>
      <c r="B99" s="14" t="s">
        <v>23</v>
      </c>
      <c r="C99" s="195"/>
      <c r="D99" s="194"/>
      <c r="E99" s="22" t="s">
        <v>58</v>
      </c>
      <c r="F99" s="22">
        <v>3</v>
      </c>
      <c r="G99" s="22">
        <f t="shared" si="4"/>
        <v>2</v>
      </c>
      <c r="H99" s="37">
        <v>1</v>
      </c>
      <c r="I99" s="10" t="s">
        <v>207</v>
      </c>
    </row>
    <row r="100" spans="1:9" ht="15.95" customHeight="1" x14ac:dyDescent="0.3">
      <c r="A100" s="36">
        <f t="shared" si="5"/>
        <v>192</v>
      </c>
      <c r="B100" s="14" t="s">
        <v>85</v>
      </c>
      <c r="C100" s="119" t="s">
        <v>925</v>
      </c>
      <c r="D100" s="194"/>
      <c r="E100" s="22" t="s">
        <v>58</v>
      </c>
      <c r="F100" s="22">
        <v>3</v>
      </c>
      <c r="G100" s="22">
        <f t="shared" si="4"/>
        <v>2</v>
      </c>
      <c r="H100" s="37">
        <v>1</v>
      </c>
      <c r="I100" s="10" t="s">
        <v>207</v>
      </c>
    </row>
    <row r="101" spans="1:9" ht="15.95" customHeight="1" x14ac:dyDescent="0.3">
      <c r="A101" s="36">
        <f t="shared" si="5"/>
        <v>194</v>
      </c>
      <c r="B101" s="14" t="s">
        <v>16</v>
      </c>
      <c r="C101" s="120"/>
      <c r="D101" s="194"/>
      <c r="E101" s="22" t="s">
        <v>58</v>
      </c>
      <c r="F101" s="22">
        <v>3</v>
      </c>
      <c r="G101" s="22">
        <f t="shared" si="4"/>
        <v>2</v>
      </c>
      <c r="H101" s="37">
        <v>1</v>
      </c>
    </row>
    <row r="102" spans="1:9" ht="15.95" customHeight="1" x14ac:dyDescent="0.3">
      <c r="A102" s="36">
        <f t="shared" si="5"/>
        <v>196</v>
      </c>
      <c r="B102" s="14" t="s">
        <v>17</v>
      </c>
      <c r="C102" s="11"/>
      <c r="D102" s="194"/>
      <c r="E102" s="22" t="s">
        <v>58</v>
      </c>
      <c r="F102" s="22">
        <v>3</v>
      </c>
      <c r="G102" s="22">
        <f t="shared" si="4"/>
        <v>2</v>
      </c>
      <c r="H102" s="37">
        <v>1</v>
      </c>
    </row>
    <row r="103" spans="1:9" ht="15.95" customHeight="1" x14ac:dyDescent="0.3">
      <c r="A103" s="36">
        <f t="shared" si="5"/>
        <v>198</v>
      </c>
      <c r="B103" s="14" t="s">
        <v>86</v>
      </c>
      <c r="C103" s="119"/>
      <c r="D103" s="194"/>
      <c r="E103" s="22" t="s">
        <v>58</v>
      </c>
      <c r="F103" s="22">
        <v>3</v>
      </c>
      <c r="G103" s="22">
        <f t="shared" si="4"/>
        <v>2</v>
      </c>
      <c r="H103" s="37">
        <v>1</v>
      </c>
    </row>
    <row r="104" spans="1:9" ht="15.95" customHeight="1" x14ac:dyDescent="0.3">
      <c r="A104" s="36">
        <f t="shared" si="5"/>
        <v>200</v>
      </c>
      <c r="B104" s="14" t="s">
        <v>87</v>
      </c>
      <c r="C104" s="120"/>
      <c r="D104" s="194"/>
      <c r="E104" s="22" t="s">
        <v>58</v>
      </c>
      <c r="F104" s="22">
        <v>3</v>
      </c>
      <c r="G104" s="22">
        <f t="shared" si="4"/>
        <v>2</v>
      </c>
      <c r="H104" s="37">
        <v>1</v>
      </c>
    </row>
    <row r="105" spans="1:9" ht="15.95" customHeight="1" x14ac:dyDescent="0.3">
      <c r="A105" s="36">
        <f t="shared" si="5"/>
        <v>202</v>
      </c>
      <c r="B105" s="14" t="s">
        <v>88</v>
      </c>
      <c r="C105" s="11"/>
      <c r="D105" s="194"/>
      <c r="E105" s="22" t="s">
        <v>58</v>
      </c>
      <c r="F105" s="22">
        <v>3</v>
      </c>
      <c r="G105" s="22">
        <f t="shared" si="4"/>
        <v>2</v>
      </c>
      <c r="H105" s="37">
        <v>1</v>
      </c>
    </row>
    <row r="106" spans="1:9" ht="15.95" customHeight="1" x14ac:dyDescent="0.3">
      <c r="A106" s="36">
        <f t="shared" si="5"/>
        <v>204</v>
      </c>
      <c r="B106" s="14" t="s">
        <v>24</v>
      </c>
      <c r="C106" s="119"/>
      <c r="D106" s="194"/>
      <c r="E106" s="22" t="s">
        <v>58</v>
      </c>
      <c r="F106" s="22">
        <v>3</v>
      </c>
      <c r="G106" s="22">
        <f t="shared" si="4"/>
        <v>2</v>
      </c>
      <c r="H106" s="37">
        <v>1</v>
      </c>
    </row>
    <row r="107" spans="1:9" ht="15.95" customHeight="1" x14ac:dyDescent="0.3">
      <c r="A107" s="36">
        <f t="shared" si="5"/>
        <v>206</v>
      </c>
      <c r="B107" s="14" t="s">
        <v>25</v>
      </c>
      <c r="C107" s="120"/>
      <c r="D107" s="194"/>
      <c r="E107" s="22" t="s">
        <v>58</v>
      </c>
      <c r="F107" s="22">
        <v>3</v>
      </c>
      <c r="G107" s="22">
        <f t="shared" si="4"/>
        <v>2</v>
      </c>
      <c r="H107" s="37">
        <v>1</v>
      </c>
    </row>
    <row r="108" spans="1:9" ht="15.95" customHeight="1" x14ac:dyDescent="0.3">
      <c r="A108" s="36">
        <f t="shared" si="5"/>
        <v>208</v>
      </c>
      <c r="B108" s="14" t="s">
        <v>26</v>
      </c>
      <c r="C108" s="11"/>
      <c r="D108" s="194"/>
      <c r="E108" s="22" t="s">
        <v>58</v>
      </c>
      <c r="F108" s="22">
        <v>3</v>
      </c>
      <c r="G108" s="22">
        <f t="shared" si="4"/>
        <v>2</v>
      </c>
      <c r="H108" s="37">
        <v>1</v>
      </c>
    </row>
    <row r="109" spans="1:9" ht="15.95" customHeight="1" x14ac:dyDescent="0.3">
      <c r="A109" s="36">
        <f t="shared" si="5"/>
        <v>210</v>
      </c>
      <c r="B109" s="14" t="s">
        <v>27</v>
      </c>
      <c r="C109" s="119"/>
      <c r="D109" s="194"/>
      <c r="E109" s="22" t="s">
        <v>58</v>
      </c>
      <c r="F109" s="22">
        <v>3</v>
      </c>
      <c r="G109" s="22">
        <f t="shared" si="4"/>
        <v>2</v>
      </c>
      <c r="H109" s="37">
        <v>1</v>
      </c>
    </row>
    <row r="110" spans="1:9" ht="15.95" customHeight="1" x14ac:dyDescent="0.3">
      <c r="A110" s="36">
        <f t="shared" si="5"/>
        <v>212</v>
      </c>
      <c r="B110" s="14" t="s">
        <v>28</v>
      </c>
      <c r="C110" s="120"/>
      <c r="D110" s="194"/>
      <c r="E110" s="22" t="s">
        <v>58</v>
      </c>
      <c r="F110" s="22">
        <v>3</v>
      </c>
      <c r="G110" s="22">
        <f t="shared" si="4"/>
        <v>2</v>
      </c>
      <c r="H110" s="37">
        <v>1</v>
      </c>
    </row>
    <row r="111" spans="1:9" ht="15.95" customHeight="1" x14ac:dyDescent="0.3">
      <c r="A111" s="36">
        <f t="shared" si="5"/>
        <v>214</v>
      </c>
      <c r="B111" s="14" t="s">
        <v>29</v>
      </c>
      <c r="C111" s="11"/>
      <c r="D111" s="194"/>
      <c r="E111" s="22" t="s">
        <v>58</v>
      </c>
      <c r="F111" s="22">
        <v>3</v>
      </c>
      <c r="G111" s="22">
        <f t="shared" si="4"/>
        <v>2</v>
      </c>
      <c r="H111" s="37">
        <v>1</v>
      </c>
    </row>
    <row r="112" spans="1:9" ht="15.95" customHeight="1" x14ac:dyDescent="0.3">
      <c r="A112" s="36">
        <f t="shared" si="5"/>
        <v>216</v>
      </c>
      <c r="B112" s="14" t="s">
        <v>10</v>
      </c>
      <c r="C112" s="119" t="s">
        <v>926</v>
      </c>
      <c r="D112" s="194"/>
      <c r="E112" s="22" t="s">
        <v>58</v>
      </c>
      <c r="F112" s="22">
        <v>3</v>
      </c>
      <c r="G112" s="22">
        <f t="shared" si="4"/>
        <v>2</v>
      </c>
      <c r="H112" s="37">
        <v>1</v>
      </c>
    </row>
    <row r="113" spans="1:9" ht="15.95" customHeight="1" x14ac:dyDescent="0.3">
      <c r="A113" s="36">
        <f t="shared" si="5"/>
        <v>218</v>
      </c>
      <c r="B113" s="14" t="s">
        <v>11</v>
      </c>
      <c r="C113" s="120"/>
      <c r="D113" s="194"/>
      <c r="E113" s="22" t="s">
        <v>58</v>
      </c>
      <c r="F113" s="22">
        <v>3</v>
      </c>
      <c r="G113" s="22">
        <f t="shared" si="4"/>
        <v>2</v>
      </c>
      <c r="H113" s="37">
        <v>1</v>
      </c>
    </row>
    <row r="114" spans="1:9" ht="15.95" customHeight="1" x14ac:dyDescent="0.3">
      <c r="A114" s="36">
        <f t="shared" si="5"/>
        <v>220</v>
      </c>
      <c r="B114" s="14" t="s">
        <v>12</v>
      </c>
      <c r="C114" s="11"/>
      <c r="D114" s="194"/>
      <c r="E114" s="22" t="s">
        <v>58</v>
      </c>
      <c r="F114" s="22">
        <v>3</v>
      </c>
      <c r="G114" s="22">
        <f t="shared" si="4"/>
        <v>2</v>
      </c>
      <c r="H114" s="37">
        <v>1</v>
      </c>
    </row>
    <row r="115" spans="1:9" ht="15.95" customHeight="1" x14ac:dyDescent="0.3">
      <c r="A115" s="36">
        <f t="shared" si="5"/>
        <v>222</v>
      </c>
      <c r="B115" s="14" t="s">
        <v>13</v>
      </c>
      <c r="C115" s="119" t="s">
        <v>925</v>
      </c>
      <c r="D115" s="194"/>
      <c r="E115" s="22" t="s">
        <v>58</v>
      </c>
      <c r="F115" s="22">
        <v>3</v>
      </c>
      <c r="G115" s="22">
        <f t="shared" si="4"/>
        <v>2</v>
      </c>
      <c r="H115" s="37">
        <v>1</v>
      </c>
    </row>
    <row r="116" spans="1:9" ht="15.95" customHeight="1" x14ac:dyDescent="0.3">
      <c r="A116" s="36">
        <f t="shared" si="5"/>
        <v>224</v>
      </c>
      <c r="B116" s="14" t="s">
        <v>14</v>
      </c>
      <c r="C116" s="120"/>
      <c r="D116" s="194"/>
      <c r="E116" s="22" t="s">
        <v>58</v>
      </c>
      <c r="F116" s="22">
        <v>3</v>
      </c>
      <c r="G116" s="22">
        <f t="shared" si="4"/>
        <v>2</v>
      </c>
      <c r="H116" s="37">
        <v>1</v>
      </c>
    </row>
    <row r="117" spans="1:9" ht="15.95" customHeight="1" x14ac:dyDescent="0.3">
      <c r="A117" s="36">
        <f t="shared" si="5"/>
        <v>226</v>
      </c>
      <c r="B117" s="14" t="s">
        <v>15</v>
      </c>
      <c r="C117" s="11"/>
      <c r="D117" s="195"/>
      <c r="E117" s="22" t="s">
        <v>58</v>
      </c>
      <c r="F117" s="22">
        <v>3</v>
      </c>
      <c r="G117" s="22">
        <f t="shared" si="4"/>
        <v>2</v>
      </c>
      <c r="H117" s="37">
        <v>1</v>
      </c>
    </row>
    <row r="118" spans="1:9" ht="15.95" customHeight="1" x14ac:dyDescent="0.3">
      <c r="A118" s="170">
        <f t="shared" si="5"/>
        <v>228</v>
      </c>
      <c r="B118" s="171" t="s">
        <v>1149</v>
      </c>
      <c r="C118" s="172" t="s">
        <v>1157</v>
      </c>
      <c r="D118" s="173"/>
      <c r="E118" s="173" t="s">
        <v>58</v>
      </c>
      <c r="F118" s="174">
        <v>3</v>
      </c>
      <c r="G118" s="173">
        <f t="shared" si="4"/>
        <v>2</v>
      </c>
      <c r="H118" s="175">
        <v>1</v>
      </c>
      <c r="I118" s="10" t="s">
        <v>1180</v>
      </c>
    </row>
    <row r="119" spans="1:9" ht="15.95" customHeight="1" x14ac:dyDescent="0.3">
      <c r="A119" s="170">
        <f t="shared" si="5"/>
        <v>230</v>
      </c>
      <c r="B119" s="171" t="s">
        <v>1150</v>
      </c>
      <c r="C119" s="172" t="s">
        <v>1158</v>
      </c>
      <c r="D119" s="173"/>
      <c r="E119" s="173" t="s">
        <v>58</v>
      </c>
      <c r="F119" s="174">
        <v>3</v>
      </c>
      <c r="G119" s="173">
        <f t="shared" si="4"/>
        <v>2</v>
      </c>
      <c r="H119" s="175">
        <v>1</v>
      </c>
    </row>
    <row r="120" spans="1:9" ht="15.95" customHeight="1" x14ac:dyDescent="0.3">
      <c r="A120" s="170">
        <f t="shared" si="5"/>
        <v>232</v>
      </c>
      <c r="B120" s="171" t="s">
        <v>1151</v>
      </c>
      <c r="C120" s="172" t="s">
        <v>1159</v>
      </c>
      <c r="D120" s="173"/>
      <c r="E120" s="173" t="s">
        <v>58</v>
      </c>
      <c r="F120" s="174">
        <v>3</v>
      </c>
      <c r="G120" s="173">
        <f t="shared" si="4"/>
        <v>2</v>
      </c>
      <c r="H120" s="175">
        <v>1</v>
      </c>
    </row>
    <row r="121" spans="1:9" ht="15.95" customHeight="1" x14ac:dyDescent="0.3">
      <c r="A121" s="170">
        <f t="shared" si="5"/>
        <v>234</v>
      </c>
      <c r="B121" s="171" t="s">
        <v>1152</v>
      </c>
      <c r="C121" s="172" t="s">
        <v>1160</v>
      </c>
      <c r="D121" s="173"/>
      <c r="E121" s="173" t="s">
        <v>58</v>
      </c>
      <c r="F121" s="174">
        <v>3</v>
      </c>
      <c r="G121" s="173">
        <f t="shared" ref="G121:G131" si="6">IF(OR(E121="U16", E121="S16"),1,IF(E121="TS",6,2))</f>
        <v>2</v>
      </c>
      <c r="H121" s="175">
        <v>1</v>
      </c>
    </row>
    <row r="122" spans="1:9" ht="15.95" customHeight="1" x14ac:dyDescent="0.3">
      <c r="A122" s="170">
        <f t="shared" si="5"/>
        <v>236</v>
      </c>
      <c r="B122" s="171" t="s">
        <v>1153</v>
      </c>
      <c r="C122" s="172" t="s">
        <v>1161</v>
      </c>
      <c r="D122" s="173"/>
      <c r="E122" s="173" t="s">
        <v>58</v>
      </c>
      <c r="F122" s="174">
        <v>3</v>
      </c>
      <c r="G122" s="173">
        <f t="shared" si="6"/>
        <v>2</v>
      </c>
      <c r="H122" s="175">
        <v>1</v>
      </c>
    </row>
    <row r="123" spans="1:9" ht="15.95" customHeight="1" x14ac:dyDescent="0.3">
      <c r="A123" s="170">
        <f t="shared" si="5"/>
        <v>238</v>
      </c>
      <c r="B123" s="171" t="s">
        <v>1154</v>
      </c>
      <c r="C123" s="172" t="s">
        <v>1162</v>
      </c>
      <c r="D123" s="173"/>
      <c r="E123" s="173" t="s">
        <v>58</v>
      </c>
      <c r="F123" s="174">
        <v>3</v>
      </c>
      <c r="G123" s="173">
        <f t="shared" si="6"/>
        <v>2</v>
      </c>
      <c r="H123" s="175">
        <v>1</v>
      </c>
    </row>
    <row r="124" spans="1:9" ht="15.95" customHeight="1" x14ac:dyDescent="0.3">
      <c r="A124" s="170">
        <f t="shared" si="5"/>
        <v>240</v>
      </c>
      <c r="B124" s="171" t="s">
        <v>1155</v>
      </c>
      <c r="C124" s="172" t="s">
        <v>1163</v>
      </c>
      <c r="D124" s="173"/>
      <c r="E124" s="173" t="s">
        <v>58</v>
      </c>
      <c r="F124" s="174">
        <v>3</v>
      </c>
      <c r="G124" s="173">
        <f t="shared" si="6"/>
        <v>2</v>
      </c>
      <c r="H124" s="175">
        <v>1</v>
      </c>
    </row>
    <row r="125" spans="1:9" ht="15.95" customHeight="1" x14ac:dyDescent="0.3">
      <c r="A125" s="170">
        <f t="shared" si="5"/>
        <v>242</v>
      </c>
      <c r="B125" s="171" t="s">
        <v>1156</v>
      </c>
      <c r="C125" s="172" t="s">
        <v>1164</v>
      </c>
      <c r="D125" s="173"/>
      <c r="E125" s="173" t="s">
        <v>58</v>
      </c>
      <c r="F125" s="174">
        <v>3</v>
      </c>
      <c r="G125" s="173">
        <f t="shared" si="6"/>
        <v>2</v>
      </c>
      <c r="H125" s="175">
        <v>1</v>
      </c>
    </row>
    <row r="126" spans="1:9" ht="15.95" customHeight="1" thickBot="1" x14ac:dyDescent="0.35">
      <c r="A126" s="36">
        <f t="shared" si="5"/>
        <v>244</v>
      </c>
      <c r="B126" s="131" t="s">
        <v>128</v>
      </c>
      <c r="C126" s="132"/>
      <c r="D126" s="132"/>
      <c r="E126" s="24" t="s">
        <v>58</v>
      </c>
      <c r="F126" s="24">
        <v>3</v>
      </c>
      <c r="G126" s="24">
        <f t="shared" si="6"/>
        <v>2</v>
      </c>
      <c r="H126" s="54">
        <v>3</v>
      </c>
    </row>
    <row r="127" spans="1:9" ht="15.95" customHeight="1" thickBot="1" x14ac:dyDescent="0.35">
      <c r="A127" s="190" t="s">
        <v>1067</v>
      </c>
      <c r="B127" s="191"/>
      <c r="C127" s="191"/>
      <c r="D127" s="191"/>
      <c r="E127" s="191"/>
      <c r="F127" s="191"/>
      <c r="G127" s="191"/>
      <c r="H127" s="192"/>
    </row>
    <row r="128" spans="1:9" ht="15.95" customHeight="1" x14ac:dyDescent="0.3">
      <c r="A128" s="32">
        <f>A126+(G126*H126)</f>
        <v>250</v>
      </c>
      <c r="B128" s="57" t="s">
        <v>1060</v>
      </c>
      <c r="C128" s="67" t="s">
        <v>846</v>
      </c>
      <c r="D128" s="67"/>
      <c r="E128" s="58" t="s">
        <v>140</v>
      </c>
      <c r="F128" s="58">
        <v>3</v>
      </c>
      <c r="G128" s="58">
        <f t="shared" si="6"/>
        <v>1</v>
      </c>
      <c r="H128" s="35">
        <v>24</v>
      </c>
    </row>
    <row r="129" spans="1:10" ht="15.95" customHeight="1" x14ac:dyDescent="0.3">
      <c r="A129" s="36">
        <f>A128+(G128*H128)</f>
        <v>274</v>
      </c>
      <c r="B129" s="14" t="s">
        <v>1061</v>
      </c>
      <c r="C129" s="12"/>
      <c r="D129" s="12"/>
      <c r="E129" s="12" t="s">
        <v>140</v>
      </c>
      <c r="F129" s="12">
        <v>3</v>
      </c>
      <c r="G129" s="12">
        <f t="shared" si="6"/>
        <v>1</v>
      </c>
      <c r="H129" s="37">
        <v>4</v>
      </c>
    </row>
    <row r="130" spans="1:10" ht="15.95" customHeight="1" x14ac:dyDescent="0.3">
      <c r="A130" s="36">
        <f>A129+(G129*H129)</f>
        <v>278</v>
      </c>
      <c r="B130" s="14" t="s">
        <v>1062</v>
      </c>
      <c r="C130" s="65"/>
      <c r="D130" s="65"/>
      <c r="E130" s="12" t="s">
        <v>1063</v>
      </c>
      <c r="F130" s="12">
        <v>3</v>
      </c>
      <c r="G130" s="12">
        <f t="shared" si="6"/>
        <v>2</v>
      </c>
      <c r="H130" s="37">
        <v>8</v>
      </c>
    </row>
    <row r="131" spans="1:10" ht="15.95" customHeight="1" thickBot="1" x14ac:dyDescent="0.35">
      <c r="A131" s="38">
        <f>A130+(G130*H130)</f>
        <v>294</v>
      </c>
      <c r="B131" s="60" t="s">
        <v>1064</v>
      </c>
      <c r="C131" s="61"/>
      <c r="D131" s="61"/>
      <c r="E131" s="61" t="s">
        <v>1065</v>
      </c>
      <c r="F131" s="61">
        <v>3</v>
      </c>
      <c r="G131" s="61">
        <f t="shared" si="6"/>
        <v>2</v>
      </c>
      <c r="H131" s="41">
        <v>3</v>
      </c>
    </row>
    <row r="132" spans="1:10" ht="15.95" customHeight="1" thickBot="1" x14ac:dyDescent="0.35">
      <c r="A132" s="190" t="s">
        <v>153</v>
      </c>
      <c r="B132" s="191"/>
      <c r="C132" s="191"/>
      <c r="D132" s="191"/>
      <c r="E132" s="191"/>
      <c r="F132" s="191"/>
      <c r="G132" s="191"/>
      <c r="H132" s="192"/>
    </row>
    <row r="133" spans="1:10" ht="15.95" customHeight="1" x14ac:dyDescent="0.3">
      <c r="A133" s="32">
        <f>A131+G131*H131</f>
        <v>300</v>
      </c>
      <c r="B133" s="57" t="s">
        <v>895</v>
      </c>
      <c r="C133" s="58" t="s">
        <v>896</v>
      </c>
      <c r="D133" s="58"/>
      <c r="E133" s="58" t="s">
        <v>741</v>
      </c>
      <c r="F133" s="58">
        <v>3</v>
      </c>
      <c r="G133" s="58">
        <f>IF(OR(E133="U16",E133="S16"),1,IF(E133="TS",6,IF(E133="U64",4,2)))</f>
        <v>2</v>
      </c>
      <c r="H133" s="35">
        <v>1</v>
      </c>
      <c r="I133" s="10">
        <v>300</v>
      </c>
    </row>
    <row r="134" spans="1:10" ht="15.95" customHeight="1" x14ac:dyDescent="0.3">
      <c r="A134" s="36">
        <f t="shared" ref="A134:A157" si="7">A133+(G133*H133)</f>
        <v>302</v>
      </c>
      <c r="B134" s="14" t="s">
        <v>688</v>
      </c>
      <c r="C134" s="12"/>
      <c r="D134" s="12"/>
      <c r="E134" s="22" t="s">
        <v>741</v>
      </c>
      <c r="F134" s="22">
        <v>3</v>
      </c>
      <c r="G134" s="22">
        <f t="shared" ref="G134:G156" si="8">IF(OR(E134="U16",E134="S16"),1,IF(E134="TS",6,IF(E134="U64",4,2)))</f>
        <v>2</v>
      </c>
      <c r="H134" s="37">
        <v>1</v>
      </c>
    </row>
    <row r="135" spans="1:10" ht="15.95" customHeight="1" x14ac:dyDescent="0.3">
      <c r="A135" s="36">
        <f t="shared" si="7"/>
        <v>304</v>
      </c>
      <c r="B135" s="14" t="s">
        <v>157</v>
      </c>
      <c r="C135" s="12"/>
      <c r="D135" s="12"/>
      <c r="E135" s="22" t="s">
        <v>741</v>
      </c>
      <c r="F135" s="12">
        <v>3</v>
      </c>
      <c r="G135" s="22">
        <f t="shared" si="8"/>
        <v>2</v>
      </c>
      <c r="H135" s="37">
        <v>1</v>
      </c>
    </row>
    <row r="136" spans="1:10" ht="15.95" customHeight="1" x14ac:dyDescent="0.3">
      <c r="A136" s="36">
        <f t="shared" si="7"/>
        <v>306</v>
      </c>
      <c r="B136" s="14" t="s">
        <v>689</v>
      </c>
      <c r="C136" s="12"/>
      <c r="D136" s="12"/>
      <c r="E136" s="22" t="s">
        <v>741</v>
      </c>
      <c r="F136" s="22">
        <v>3</v>
      </c>
      <c r="G136" s="22">
        <f t="shared" si="8"/>
        <v>2</v>
      </c>
      <c r="H136" s="37">
        <v>1</v>
      </c>
    </row>
    <row r="137" spans="1:10" ht="15.95" customHeight="1" x14ac:dyDescent="0.3">
      <c r="A137" s="36">
        <f t="shared" si="7"/>
        <v>308</v>
      </c>
      <c r="B137" s="14" t="s">
        <v>690</v>
      </c>
      <c r="C137" s="12"/>
      <c r="D137" s="12"/>
      <c r="E137" s="22" t="s">
        <v>741</v>
      </c>
      <c r="F137" s="12">
        <v>3</v>
      </c>
      <c r="G137" s="22">
        <f t="shared" si="8"/>
        <v>2</v>
      </c>
      <c r="H137" s="37">
        <v>1</v>
      </c>
    </row>
    <row r="138" spans="1:10" ht="15.95" customHeight="1" x14ac:dyDescent="0.3">
      <c r="A138" s="36">
        <f t="shared" si="7"/>
        <v>310</v>
      </c>
      <c r="B138" s="14"/>
      <c r="C138" s="12"/>
      <c r="D138" s="12"/>
      <c r="E138" s="22" t="s">
        <v>741</v>
      </c>
      <c r="F138" s="22">
        <v>3</v>
      </c>
      <c r="G138" s="22">
        <f t="shared" si="8"/>
        <v>2</v>
      </c>
      <c r="H138" s="37">
        <v>1</v>
      </c>
    </row>
    <row r="139" spans="1:10" ht="15.95" customHeight="1" x14ac:dyDescent="0.3">
      <c r="A139" s="36">
        <f t="shared" si="7"/>
        <v>312</v>
      </c>
      <c r="B139" s="14" t="s">
        <v>691</v>
      </c>
      <c r="C139" s="12"/>
      <c r="D139" s="12"/>
      <c r="E139" s="22" t="s">
        <v>741</v>
      </c>
      <c r="F139" s="12">
        <v>3</v>
      </c>
      <c r="G139" s="22">
        <f t="shared" si="8"/>
        <v>2</v>
      </c>
      <c r="H139" s="37">
        <v>1</v>
      </c>
    </row>
    <row r="140" spans="1:10" ht="15.95" customHeight="1" x14ac:dyDescent="0.3">
      <c r="A140" s="36">
        <f t="shared" si="7"/>
        <v>314</v>
      </c>
      <c r="B140" s="14" t="s">
        <v>692</v>
      </c>
      <c r="C140" s="12"/>
      <c r="D140" s="12"/>
      <c r="E140" s="22" t="s">
        <v>741</v>
      </c>
      <c r="F140" s="22">
        <v>3</v>
      </c>
      <c r="G140" s="22">
        <f t="shared" si="8"/>
        <v>2</v>
      </c>
      <c r="H140" s="37">
        <v>1</v>
      </c>
    </row>
    <row r="141" spans="1:10" ht="15.95" customHeight="1" x14ac:dyDescent="0.3">
      <c r="A141" s="36">
        <f t="shared" si="7"/>
        <v>316</v>
      </c>
      <c r="B141" s="14" t="s">
        <v>693</v>
      </c>
      <c r="C141" s="12"/>
      <c r="D141" s="12"/>
      <c r="E141" s="22" t="s">
        <v>741</v>
      </c>
      <c r="F141" s="12">
        <v>3</v>
      </c>
      <c r="G141" s="22">
        <f t="shared" si="8"/>
        <v>2</v>
      </c>
      <c r="H141" s="37">
        <v>1</v>
      </c>
    </row>
    <row r="142" spans="1:10" ht="15.95" customHeight="1" x14ac:dyDescent="0.3">
      <c r="A142" s="36">
        <f t="shared" si="7"/>
        <v>318</v>
      </c>
      <c r="B142" s="14" t="s">
        <v>694</v>
      </c>
      <c r="C142" s="12"/>
      <c r="D142" s="12"/>
      <c r="E142" s="22" t="s">
        <v>741</v>
      </c>
      <c r="F142" s="22">
        <v>3</v>
      </c>
      <c r="G142" s="22">
        <f t="shared" si="8"/>
        <v>2</v>
      </c>
      <c r="H142" s="37">
        <v>1</v>
      </c>
      <c r="J142" s="10"/>
    </row>
    <row r="143" spans="1:10" ht="15.95" customHeight="1" x14ac:dyDescent="0.3">
      <c r="A143" s="36">
        <f t="shared" si="7"/>
        <v>320</v>
      </c>
      <c r="B143" s="14" t="s">
        <v>695</v>
      </c>
      <c r="C143" s="12"/>
      <c r="D143" s="12"/>
      <c r="E143" s="22" t="s">
        <v>741</v>
      </c>
      <c r="F143" s="12">
        <v>3</v>
      </c>
      <c r="G143" s="22">
        <f t="shared" si="8"/>
        <v>2</v>
      </c>
      <c r="H143" s="37">
        <v>1</v>
      </c>
      <c r="J143" s="10"/>
    </row>
    <row r="144" spans="1:10" ht="15.95" customHeight="1" x14ac:dyDescent="0.3">
      <c r="A144" s="36">
        <f t="shared" si="7"/>
        <v>322</v>
      </c>
      <c r="B144" s="14"/>
      <c r="C144" s="12"/>
      <c r="D144" s="12"/>
      <c r="E144" s="22" t="s">
        <v>741</v>
      </c>
      <c r="F144" s="22">
        <v>3</v>
      </c>
      <c r="G144" s="22">
        <f t="shared" si="8"/>
        <v>2</v>
      </c>
      <c r="H144" s="37">
        <v>1</v>
      </c>
      <c r="J144" s="10"/>
    </row>
    <row r="145" spans="1:10" ht="15.95" customHeight="1" x14ac:dyDescent="0.3">
      <c r="A145" s="36">
        <f t="shared" si="7"/>
        <v>324</v>
      </c>
      <c r="B145" s="14" t="s">
        <v>696</v>
      </c>
      <c r="C145" s="12"/>
      <c r="D145" s="12"/>
      <c r="E145" s="22" t="s">
        <v>741</v>
      </c>
      <c r="F145" s="12">
        <v>3</v>
      </c>
      <c r="G145" s="22">
        <f t="shared" si="8"/>
        <v>2</v>
      </c>
      <c r="H145" s="37">
        <v>1</v>
      </c>
      <c r="J145" s="10"/>
    </row>
    <row r="146" spans="1:10" ht="15.95" customHeight="1" x14ac:dyDescent="0.3">
      <c r="A146" s="36">
        <f t="shared" si="7"/>
        <v>326</v>
      </c>
      <c r="B146" s="14" t="s">
        <v>697</v>
      </c>
      <c r="C146" s="12"/>
      <c r="D146" s="12"/>
      <c r="E146" s="22" t="s">
        <v>741</v>
      </c>
      <c r="F146" s="22">
        <v>3</v>
      </c>
      <c r="G146" s="22">
        <f t="shared" si="8"/>
        <v>2</v>
      </c>
      <c r="H146" s="37">
        <v>1</v>
      </c>
      <c r="J146" s="10"/>
    </row>
    <row r="147" spans="1:10" ht="15.95" customHeight="1" x14ac:dyDescent="0.3">
      <c r="A147" s="36">
        <f t="shared" si="7"/>
        <v>328</v>
      </c>
      <c r="B147" s="14" t="s">
        <v>698</v>
      </c>
      <c r="C147" s="12"/>
      <c r="D147" s="12"/>
      <c r="E147" s="22" t="s">
        <v>741</v>
      </c>
      <c r="F147" s="12">
        <v>3</v>
      </c>
      <c r="G147" s="22">
        <f t="shared" si="8"/>
        <v>2</v>
      </c>
      <c r="H147" s="37">
        <v>1</v>
      </c>
      <c r="J147" s="10"/>
    </row>
    <row r="148" spans="1:10" ht="15.95" customHeight="1" x14ac:dyDescent="0.3">
      <c r="A148" s="36">
        <f t="shared" si="7"/>
        <v>330</v>
      </c>
      <c r="B148" s="14" t="s">
        <v>699</v>
      </c>
      <c r="C148" s="12"/>
      <c r="D148" s="12"/>
      <c r="E148" s="22" t="s">
        <v>741</v>
      </c>
      <c r="F148" s="22">
        <v>3</v>
      </c>
      <c r="G148" s="22">
        <f t="shared" si="8"/>
        <v>2</v>
      </c>
      <c r="H148" s="37">
        <v>1</v>
      </c>
      <c r="J148" s="10"/>
    </row>
    <row r="149" spans="1:10" ht="15.95" customHeight="1" x14ac:dyDescent="0.3">
      <c r="A149" s="36">
        <f t="shared" si="7"/>
        <v>332</v>
      </c>
      <c r="B149" s="14" t="s">
        <v>31</v>
      </c>
      <c r="C149" s="12"/>
      <c r="D149" s="12"/>
      <c r="E149" s="22" t="s">
        <v>741</v>
      </c>
      <c r="F149" s="12">
        <v>3</v>
      </c>
      <c r="G149" s="22">
        <f t="shared" si="8"/>
        <v>2</v>
      </c>
      <c r="H149" s="37">
        <v>1</v>
      </c>
      <c r="J149" s="10"/>
    </row>
    <row r="150" spans="1:10" ht="15.95" customHeight="1" x14ac:dyDescent="0.3">
      <c r="A150" s="36">
        <f t="shared" si="7"/>
        <v>334</v>
      </c>
      <c r="B150" s="14"/>
      <c r="C150" s="12"/>
      <c r="D150" s="12"/>
      <c r="E150" s="22" t="s">
        <v>741</v>
      </c>
      <c r="F150" s="22">
        <v>3</v>
      </c>
      <c r="G150" s="22">
        <f t="shared" si="8"/>
        <v>2</v>
      </c>
      <c r="H150" s="37">
        <v>1</v>
      </c>
      <c r="J150" s="10"/>
    </row>
    <row r="151" spans="1:10" ht="15.95" customHeight="1" x14ac:dyDescent="0.3">
      <c r="A151" s="36">
        <f t="shared" si="7"/>
        <v>336</v>
      </c>
      <c r="B151" s="14" t="s">
        <v>1117</v>
      </c>
      <c r="C151" s="193" t="s">
        <v>1116</v>
      </c>
      <c r="D151" s="119"/>
      <c r="E151" s="12" t="s">
        <v>742</v>
      </c>
      <c r="F151" s="12">
        <v>3</v>
      </c>
      <c r="G151" s="12">
        <f t="shared" si="8"/>
        <v>4</v>
      </c>
      <c r="H151" s="37">
        <v>1</v>
      </c>
      <c r="J151" s="10"/>
    </row>
    <row r="152" spans="1:10" ht="15.95" customHeight="1" x14ac:dyDescent="0.3">
      <c r="A152" s="36">
        <f t="shared" si="7"/>
        <v>340</v>
      </c>
      <c r="B152" s="14" t="s">
        <v>1118</v>
      </c>
      <c r="C152" s="194"/>
      <c r="D152" s="120"/>
      <c r="E152" s="12" t="s">
        <v>742</v>
      </c>
      <c r="F152" s="22">
        <v>3</v>
      </c>
      <c r="G152" s="12">
        <f t="shared" si="8"/>
        <v>4</v>
      </c>
      <c r="H152" s="37">
        <v>1</v>
      </c>
      <c r="J152" s="10"/>
    </row>
    <row r="153" spans="1:10" ht="15.95" customHeight="1" x14ac:dyDescent="0.3">
      <c r="A153" s="36">
        <f t="shared" si="7"/>
        <v>344</v>
      </c>
      <c r="B153" s="14" t="s">
        <v>1119</v>
      </c>
      <c r="C153" s="194"/>
      <c r="D153" s="120"/>
      <c r="E153" s="12" t="s">
        <v>742</v>
      </c>
      <c r="F153" s="12">
        <v>3</v>
      </c>
      <c r="G153" s="12">
        <f t="shared" si="8"/>
        <v>4</v>
      </c>
      <c r="H153" s="37">
        <v>1</v>
      </c>
      <c r="J153" s="10"/>
    </row>
    <row r="154" spans="1:10" ht="15.95" customHeight="1" x14ac:dyDescent="0.3">
      <c r="A154" s="36">
        <f t="shared" si="7"/>
        <v>348</v>
      </c>
      <c r="B154" s="14" t="s">
        <v>1120</v>
      </c>
      <c r="C154" s="194"/>
      <c r="D154" s="120"/>
      <c r="E154" s="12" t="s">
        <v>742</v>
      </c>
      <c r="F154" s="22">
        <v>3</v>
      </c>
      <c r="G154" s="12">
        <f t="shared" si="8"/>
        <v>4</v>
      </c>
      <c r="H154" s="37">
        <v>1</v>
      </c>
      <c r="J154" s="10"/>
    </row>
    <row r="155" spans="1:10" ht="15.95" customHeight="1" x14ac:dyDescent="0.3">
      <c r="A155" s="36">
        <f t="shared" si="7"/>
        <v>352</v>
      </c>
      <c r="B155" s="14" t="s">
        <v>1121</v>
      </c>
      <c r="C155" s="194"/>
      <c r="D155" s="120"/>
      <c r="E155" s="12" t="s">
        <v>742</v>
      </c>
      <c r="F155" s="12">
        <v>3</v>
      </c>
      <c r="G155" s="12">
        <f t="shared" si="8"/>
        <v>4</v>
      </c>
      <c r="H155" s="37">
        <v>1</v>
      </c>
      <c r="J155" s="10"/>
    </row>
    <row r="156" spans="1:10" ht="15.95" customHeight="1" x14ac:dyDescent="0.3">
      <c r="A156" s="36">
        <f t="shared" si="7"/>
        <v>356</v>
      </c>
      <c r="B156" s="14"/>
      <c r="C156" s="195"/>
      <c r="D156" s="11"/>
      <c r="E156" s="12" t="s">
        <v>742</v>
      </c>
      <c r="F156" s="22">
        <v>3</v>
      </c>
      <c r="G156" s="12">
        <f t="shared" si="8"/>
        <v>4</v>
      </c>
      <c r="H156" s="37">
        <v>1</v>
      </c>
      <c r="J156" s="10"/>
    </row>
    <row r="157" spans="1:10" ht="15.95" customHeight="1" thickBot="1" x14ac:dyDescent="0.35">
      <c r="A157" s="38">
        <f t="shared" si="7"/>
        <v>360</v>
      </c>
      <c r="B157" s="60"/>
      <c r="C157" s="61"/>
      <c r="D157" s="61"/>
      <c r="E157" s="62" t="s">
        <v>161</v>
      </c>
      <c r="F157" s="61"/>
      <c r="G157" s="62">
        <f>IF(OR(E157="U16",E157="S16"),1,IF(E157="TS",6,IF(E157="U64",4,2)))</f>
        <v>2</v>
      </c>
      <c r="H157" s="41">
        <v>20</v>
      </c>
      <c r="J157" s="10"/>
    </row>
    <row r="158" spans="1:10" ht="15.95" customHeight="1" thickBot="1" x14ac:dyDescent="0.35">
      <c r="A158" s="190" t="s">
        <v>154</v>
      </c>
      <c r="B158" s="191"/>
      <c r="C158" s="191"/>
      <c r="D158" s="191"/>
      <c r="E158" s="191"/>
      <c r="F158" s="191"/>
      <c r="G158" s="191"/>
      <c r="H158" s="192"/>
    </row>
    <row r="159" spans="1:10" ht="15.95" customHeight="1" x14ac:dyDescent="0.3">
      <c r="A159" s="32">
        <f>A157+(G157*H157)</f>
        <v>400</v>
      </c>
      <c r="B159" s="57" t="s">
        <v>89</v>
      </c>
      <c r="C159" s="208"/>
      <c r="D159" s="133"/>
      <c r="E159" s="53" t="s">
        <v>91</v>
      </c>
      <c r="F159" s="53">
        <v>3</v>
      </c>
      <c r="G159" s="53">
        <f t="shared" ref="G159:G176" si="9">IF(OR(E159="U16", E159="S16"),1,IF(E159="TS",6,2))</f>
        <v>2</v>
      </c>
      <c r="H159" s="35">
        <v>1</v>
      </c>
      <c r="I159" s="10">
        <v>400</v>
      </c>
    </row>
    <row r="160" spans="1:10" ht="15.95" customHeight="1" x14ac:dyDescent="0.3">
      <c r="A160" s="36">
        <f t="shared" si="5"/>
        <v>402</v>
      </c>
      <c r="B160" s="14" t="s">
        <v>42</v>
      </c>
      <c r="C160" s="195"/>
      <c r="D160" s="11"/>
      <c r="E160" s="22" t="s">
        <v>744</v>
      </c>
      <c r="F160" s="22">
        <v>3</v>
      </c>
      <c r="G160" s="22">
        <f t="shared" si="9"/>
        <v>2</v>
      </c>
      <c r="H160" s="37">
        <v>1</v>
      </c>
    </row>
    <row r="161" spans="1:8" ht="15.95" customHeight="1" x14ac:dyDescent="0.3">
      <c r="A161" s="36">
        <f t="shared" si="5"/>
        <v>404</v>
      </c>
      <c r="B161" s="14" t="s">
        <v>89</v>
      </c>
      <c r="C161" s="193"/>
      <c r="D161" s="119"/>
      <c r="E161" s="22" t="s">
        <v>91</v>
      </c>
      <c r="F161" s="22">
        <v>3</v>
      </c>
      <c r="G161" s="22">
        <f t="shared" si="9"/>
        <v>2</v>
      </c>
      <c r="H161" s="37">
        <v>1</v>
      </c>
    </row>
    <row r="162" spans="1:8" ht="15.95" customHeight="1" x14ac:dyDescent="0.3">
      <c r="A162" s="36">
        <f t="shared" si="5"/>
        <v>406</v>
      </c>
      <c r="B162" s="14" t="s">
        <v>43</v>
      </c>
      <c r="C162" s="195"/>
      <c r="D162" s="11"/>
      <c r="E162" s="22" t="s">
        <v>744</v>
      </c>
      <c r="F162" s="22">
        <v>3</v>
      </c>
      <c r="G162" s="22">
        <f t="shared" si="9"/>
        <v>2</v>
      </c>
      <c r="H162" s="37">
        <v>1</v>
      </c>
    </row>
    <row r="163" spans="1:8" ht="15.95" customHeight="1" x14ac:dyDescent="0.3">
      <c r="A163" s="36">
        <f t="shared" si="5"/>
        <v>408</v>
      </c>
      <c r="B163" s="14" t="s">
        <v>89</v>
      </c>
      <c r="C163" s="193"/>
      <c r="D163" s="119"/>
      <c r="E163" s="22" t="s">
        <v>91</v>
      </c>
      <c r="F163" s="22">
        <v>3</v>
      </c>
      <c r="G163" s="22">
        <f t="shared" si="9"/>
        <v>2</v>
      </c>
      <c r="H163" s="37">
        <v>1</v>
      </c>
    </row>
    <row r="164" spans="1:8" ht="15.95" customHeight="1" x14ac:dyDescent="0.3">
      <c r="A164" s="36">
        <f t="shared" si="5"/>
        <v>410</v>
      </c>
      <c r="B164" s="14" t="s">
        <v>44</v>
      </c>
      <c r="C164" s="195"/>
      <c r="D164" s="11"/>
      <c r="E164" s="22" t="s">
        <v>744</v>
      </c>
      <c r="F164" s="22">
        <v>3</v>
      </c>
      <c r="G164" s="22">
        <f t="shared" si="9"/>
        <v>2</v>
      </c>
      <c r="H164" s="37">
        <v>1</v>
      </c>
    </row>
    <row r="165" spans="1:8" ht="15.95" customHeight="1" x14ac:dyDescent="0.3">
      <c r="A165" s="36">
        <f t="shared" si="5"/>
        <v>412</v>
      </c>
      <c r="B165" s="14" t="s">
        <v>89</v>
      </c>
      <c r="C165" s="193"/>
      <c r="D165" s="119"/>
      <c r="E165" s="22" t="s">
        <v>91</v>
      </c>
      <c r="F165" s="22">
        <v>3</v>
      </c>
      <c r="G165" s="22">
        <f t="shared" si="9"/>
        <v>2</v>
      </c>
      <c r="H165" s="37">
        <v>1</v>
      </c>
    </row>
    <row r="166" spans="1:8" ht="15.95" customHeight="1" x14ac:dyDescent="0.3">
      <c r="A166" s="36">
        <f t="shared" si="5"/>
        <v>414</v>
      </c>
      <c r="B166" s="14" t="s">
        <v>45</v>
      </c>
      <c r="C166" s="195"/>
      <c r="D166" s="11"/>
      <c r="E166" s="22" t="s">
        <v>744</v>
      </c>
      <c r="F166" s="22">
        <v>3</v>
      </c>
      <c r="G166" s="22">
        <f t="shared" si="9"/>
        <v>2</v>
      </c>
      <c r="H166" s="37">
        <v>1</v>
      </c>
    </row>
    <row r="167" spans="1:8" ht="15.95" customHeight="1" x14ac:dyDescent="0.3">
      <c r="A167" s="36">
        <f t="shared" si="5"/>
        <v>416</v>
      </c>
      <c r="B167" s="14" t="s">
        <v>89</v>
      </c>
      <c r="C167" s="193"/>
      <c r="D167" s="119"/>
      <c r="E167" s="22" t="s">
        <v>91</v>
      </c>
      <c r="F167" s="22">
        <v>3</v>
      </c>
      <c r="G167" s="22">
        <f t="shared" si="9"/>
        <v>2</v>
      </c>
      <c r="H167" s="37">
        <v>1</v>
      </c>
    </row>
    <row r="168" spans="1:8" ht="15.95" customHeight="1" x14ac:dyDescent="0.3">
      <c r="A168" s="36">
        <f t="shared" si="5"/>
        <v>418</v>
      </c>
      <c r="B168" s="14" t="s">
        <v>149</v>
      </c>
      <c r="C168" s="195"/>
      <c r="D168" s="11"/>
      <c r="E168" s="22" t="s">
        <v>744</v>
      </c>
      <c r="F168" s="22">
        <v>3</v>
      </c>
      <c r="G168" s="22">
        <f t="shared" si="9"/>
        <v>2</v>
      </c>
      <c r="H168" s="37">
        <v>1</v>
      </c>
    </row>
    <row r="169" spans="1:8" ht="15.95" customHeight="1" x14ac:dyDescent="0.3">
      <c r="A169" s="36">
        <f t="shared" si="5"/>
        <v>420</v>
      </c>
      <c r="B169" s="14" t="s">
        <v>89</v>
      </c>
      <c r="C169" s="193"/>
      <c r="D169" s="119"/>
      <c r="E169" s="22" t="s">
        <v>91</v>
      </c>
      <c r="F169" s="22">
        <v>3</v>
      </c>
      <c r="G169" s="22">
        <f t="shared" si="9"/>
        <v>2</v>
      </c>
      <c r="H169" s="37">
        <v>1</v>
      </c>
    </row>
    <row r="170" spans="1:8" ht="15.95" customHeight="1" x14ac:dyDescent="0.3">
      <c r="A170" s="36">
        <f t="shared" si="5"/>
        <v>422</v>
      </c>
      <c r="B170" s="14" t="s">
        <v>46</v>
      </c>
      <c r="C170" s="195"/>
      <c r="D170" s="11"/>
      <c r="E170" s="22" t="s">
        <v>744</v>
      </c>
      <c r="F170" s="22">
        <v>3</v>
      </c>
      <c r="G170" s="22">
        <f t="shared" si="9"/>
        <v>2</v>
      </c>
      <c r="H170" s="37">
        <v>1</v>
      </c>
    </row>
    <row r="171" spans="1:8" ht="15.95" customHeight="1" x14ac:dyDescent="0.3">
      <c r="A171" s="36">
        <f t="shared" si="5"/>
        <v>424</v>
      </c>
      <c r="B171" s="14" t="s">
        <v>89</v>
      </c>
      <c r="C171" s="193"/>
      <c r="D171" s="119"/>
      <c r="E171" s="22" t="s">
        <v>91</v>
      </c>
      <c r="F171" s="22">
        <v>3</v>
      </c>
      <c r="G171" s="22">
        <f t="shared" si="9"/>
        <v>2</v>
      </c>
      <c r="H171" s="37">
        <v>1</v>
      </c>
    </row>
    <row r="172" spans="1:8" ht="15.95" customHeight="1" x14ac:dyDescent="0.3">
      <c r="A172" s="36">
        <f t="shared" si="5"/>
        <v>426</v>
      </c>
      <c r="B172" s="14" t="s">
        <v>47</v>
      </c>
      <c r="C172" s="195"/>
      <c r="D172" s="11"/>
      <c r="E172" s="22" t="s">
        <v>744</v>
      </c>
      <c r="F172" s="22">
        <v>3</v>
      </c>
      <c r="G172" s="22">
        <f t="shared" si="9"/>
        <v>2</v>
      </c>
      <c r="H172" s="37">
        <v>1</v>
      </c>
    </row>
    <row r="173" spans="1:8" ht="15.95" customHeight="1" x14ac:dyDescent="0.3">
      <c r="A173" s="36">
        <f t="shared" si="5"/>
        <v>428</v>
      </c>
      <c r="B173" s="14" t="s">
        <v>89</v>
      </c>
      <c r="C173" s="193"/>
      <c r="D173" s="119"/>
      <c r="E173" s="22" t="s">
        <v>91</v>
      </c>
      <c r="F173" s="22">
        <v>3</v>
      </c>
      <c r="G173" s="22">
        <f t="shared" si="9"/>
        <v>2</v>
      </c>
      <c r="H173" s="37">
        <v>1</v>
      </c>
    </row>
    <row r="174" spans="1:8" ht="15.95" customHeight="1" thickBot="1" x14ac:dyDescent="0.35">
      <c r="A174" s="38">
        <f t="shared" si="5"/>
        <v>430</v>
      </c>
      <c r="B174" s="60" t="s">
        <v>48</v>
      </c>
      <c r="C174" s="207"/>
      <c r="D174" s="130"/>
      <c r="E174" s="62" t="s">
        <v>744</v>
      </c>
      <c r="F174" s="62">
        <v>3</v>
      </c>
      <c r="G174" s="62">
        <f t="shared" si="9"/>
        <v>2</v>
      </c>
      <c r="H174" s="41">
        <v>1</v>
      </c>
    </row>
    <row r="175" spans="1:8" ht="15.95" customHeight="1" x14ac:dyDescent="0.3">
      <c r="A175" s="32">
        <f t="shared" si="5"/>
        <v>432</v>
      </c>
      <c r="B175" s="57" t="s">
        <v>493</v>
      </c>
      <c r="C175" s="58"/>
      <c r="D175" s="58"/>
      <c r="E175" s="58" t="s">
        <v>91</v>
      </c>
      <c r="F175" s="58">
        <v>3</v>
      </c>
      <c r="G175" s="58">
        <f t="shared" si="9"/>
        <v>2</v>
      </c>
      <c r="H175" s="35">
        <v>1</v>
      </c>
    </row>
    <row r="176" spans="1:8" ht="15.95" customHeight="1" x14ac:dyDescent="0.3">
      <c r="A176" s="36">
        <f t="shared" si="5"/>
        <v>434</v>
      </c>
      <c r="B176" s="14" t="s">
        <v>49</v>
      </c>
      <c r="C176" s="12"/>
      <c r="D176" s="12"/>
      <c r="E176" s="12" t="s">
        <v>58</v>
      </c>
      <c r="F176" s="12">
        <v>3</v>
      </c>
      <c r="G176" s="12">
        <f t="shared" si="9"/>
        <v>2</v>
      </c>
      <c r="H176" s="37">
        <v>1</v>
      </c>
    </row>
    <row r="177" spans="1:10" ht="15.95" customHeight="1" x14ac:dyDescent="0.3">
      <c r="A177" s="36">
        <f t="shared" si="5"/>
        <v>436</v>
      </c>
      <c r="B177" s="14" t="s">
        <v>50</v>
      </c>
      <c r="C177" s="12"/>
      <c r="D177" s="12"/>
      <c r="E177" s="12" t="s">
        <v>58</v>
      </c>
      <c r="F177" s="12">
        <v>3</v>
      </c>
      <c r="G177" s="12">
        <f t="shared" ref="G177:G195" si="10">IF(OR(E177="U16", E177="S16"),1,IF(E177="TS",6,2))</f>
        <v>2</v>
      </c>
      <c r="H177" s="37">
        <v>1</v>
      </c>
      <c r="I177" s="10">
        <f>HEX2DEC("32c")</f>
        <v>812</v>
      </c>
      <c r="J177" s="15" t="s">
        <v>160</v>
      </c>
    </row>
    <row r="178" spans="1:10" ht="15.95" customHeight="1" x14ac:dyDescent="0.3">
      <c r="A178" s="36">
        <f t="shared" si="5"/>
        <v>438</v>
      </c>
      <c r="B178" s="14" t="s">
        <v>51</v>
      </c>
      <c r="C178" s="12"/>
      <c r="D178" s="12"/>
      <c r="E178" s="12" t="s">
        <v>58</v>
      </c>
      <c r="F178" s="12">
        <v>3</v>
      </c>
      <c r="G178" s="12">
        <f t="shared" si="10"/>
        <v>2</v>
      </c>
      <c r="H178" s="37">
        <v>1</v>
      </c>
    </row>
    <row r="179" spans="1:10" ht="15.95" customHeight="1" x14ac:dyDescent="0.3">
      <c r="A179" s="36">
        <f t="shared" si="5"/>
        <v>440</v>
      </c>
      <c r="B179" s="14" t="s">
        <v>52</v>
      </c>
      <c r="C179" s="12"/>
      <c r="D179" s="12"/>
      <c r="E179" s="12" t="s">
        <v>58</v>
      </c>
      <c r="F179" s="12">
        <v>3</v>
      </c>
      <c r="G179" s="12">
        <f t="shared" si="10"/>
        <v>2</v>
      </c>
      <c r="H179" s="37">
        <v>1</v>
      </c>
    </row>
    <row r="180" spans="1:10" ht="15.95" customHeight="1" x14ac:dyDescent="0.3">
      <c r="A180" s="36">
        <f t="shared" si="5"/>
        <v>442</v>
      </c>
      <c r="B180" s="14" t="s">
        <v>53</v>
      </c>
      <c r="C180" s="12"/>
      <c r="D180" s="12"/>
      <c r="E180" s="12" t="s">
        <v>58</v>
      </c>
      <c r="F180" s="12">
        <v>3</v>
      </c>
      <c r="G180" s="12">
        <f t="shared" si="10"/>
        <v>2</v>
      </c>
      <c r="H180" s="37">
        <v>1</v>
      </c>
    </row>
    <row r="181" spans="1:10" ht="15.95" customHeight="1" x14ac:dyDescent="0.3">
      <c r="A181" s="36">
        <f t="shared" si="5"/>
        <v>444</v>
      </c>
      <c r="B181" s="14" t="s">
        <v>54</v>
      </c>
      <c r="C181" s="12"/>
      <c r="D181" s="12"/>
      <c r="E181" s="12" t="s">
        <v>58</v>
      </c>
      <c r="F181" s="12">
        <v>3</v>
      </c>
      <c r="G181" s="12">
        <f t="shared" si="10"/>
        <v>2</v>
      </c>
      <c r="H181" s="37">
        <v>1</v>
      </c>
    </row>
    <row r="182" spans="1:10" ht="15.95" customHeight="1" x14ac:dyDescent="0.3">
      <c r="A182" s="36">
        <f t="shared" si="5"/>
        <v>446</v>
      </c>
      <c r="B182" s="14" t="s">
        <v>55</v>
      </c>
      <c r="C182" s="12"/>
      <c r="D182" s="12"/>
      <c r="E182" s="12" t="s">
        <v>58</v>
      </c>
      <c r="F182" s="12">
        <v>3</v>
      </c>
      <c r="G182" s="12">
        <f t="shared" si="10"/>
        <v>2</v>
      </c>
      <c r="H182" s="37">
        <v>1</v>
      </c>
    </row>
    <row r="183" spans="1:10" ht="15.95" customHeight="1" x14ac:dyDescent="0.3">
      <c r="A183" s="36">
        <f t="shared" si="5"/>
        <v>448</v>
      </c>
      <c r="B183" s="14" t="s">
        <v>56</v>
      </c>
      <c r="C183" s="12"/>
      <c r="D183" s="12"/>
      <c r="E183" s="12" t="s">
        <v>58</v>
      </c>
      <c r="F183" s="12">
        <v>3</v>
      </c>
      <c r="G183" s="12">
        <f t="shared" si="10"/>
        <v>2</v>
      </c>
      <c r="H183" s="37">
        <v>1</v>
      </c>
    </row>
    <row r="184" spans="1:10" ht="15.95" customHeight="1" x14ac:dyDescent="0.3">
      <c r="A184" s="36">
        <f t="shared" si="5"/>
        <v>450</v>
      </c>
      <c r="B184" s="14" t="s">
        <v>353</v>
      </c>
      <c r="C184" s="12"/>
      <c r="D184" s="12"/>
      <c r="E184" s="12" t="s">
        <v>58</v>
      </c>
      <c r="F184" s="12">
        <v>3</v>
      </c>
      <c r="G184" s="12">
        <f t="shared" si="10"/>
        <v>2</v>
      </c>
      <c r="H184" s="37">
        <v>1</v>
      </c>
    </row>
    <row r="185" spans="1:10" ht="15.95" customHeight="1" x14ac:dyDescent="0.3">
      <c r="A185" s="36">
        <f t="shared" si="5"/>
        <v>452</v>
      </c>
      <c r="B185" s="14" t="s">
        <v>354</v>
      </c>
      <c r="C185" s="12"/>
      <c r="D185" s="12"/>
      <c r="E185" s="12" t="s">
        <v>58</v>
      </c>
      <c r="F185" s="12">
        <v>3</v>
      </c>
      <c r="G185" s="12">
        <f t="shared" si="10"/>
        <v>2</v>
      </c>
      <c r="H185" s="37">
        <v>1</v>
      </c>
    </row>
    <row r="186" spans="1:10" ht="15.95" customHeight="1" x14ac:dyDescent="0.3">
      <c r="A186" s="36">
        <f t="shared" si="5"/>
        <v>454</v>
      </c>
      <c r="B186" s="14" t="s">
        <v>355</v>
      </c>
      <c r="C186" s="12"/>
      <c r="D186" s="12"/>
      <c r="E186" s="12" t="s">
        <v>58</v>
      </c>
      <c r="F186" s="12">
        <v>3</v>
      </c>
      <c r="G186" s="12">
        <f t="shared" si="10"/>
        <v>2</v>
      </c>
      <c r="H186" s="37">
        <v>1</v>
      </c>
    </row>
    <row r="187" spans="1:10" ht="15.95" customHeight="1" x14ac:dyDescent="0.3">
      <c r="A187" s="36">
        <f t="shared" si="5"/>
        <v>456</v>
      </c>
      <c r="B187" s="14" t="s">
        <v>356</v>
      </c>
      <c r="C187" s="12"/>
      <c r="D187" s="12"/>
      <c r="E187" s="12" t="s">
        <v>58</v>
      </c>
      <c r="F187" s="12">
        <v>3</v>
      </c>
      <c r="G187" s="12">
        <f t="shared" si="10"/>
        <v>2</v>
      </c>
      <c r="H187" s="37">
        <v>1</v>
      </c>
    </row>
    <row r="188" spans="1:10" ht="15.95" customHeight="1" x14ac:dyDescent="0.3">
      <c r="A188" s="36">
        <f t="shared" si="5"/>
        <v>458</v>
      </c>
      <c r="B188" s="14" t="s">
        <v>357</v>
      </c>
      <c r="C188" s="12"/>
      <c r="D188" s="12"/>
      <c r="E188" s="12" t="s">
        <v>58</v>
      </c>
      <c r="F188" s="12">
        <v>3</v>
      </c>
      <c r="G188" s="12">
        <f t="shared" si="10"/>
        <v>2</v>
      </c>
      <c r="H188" s="37">
        <v>1</v>
      </c>
    </row>
    <row r="189" spans="1:10" ht="15.95" customHeight="1" x14ac:dyDescent="0.3">
      <c r="A189" s="36">
        <f t="shared" si="5"/>
        <v>460</v>
      </c>
      <c r="B189" s="14" t="s">
        <v>92</v>
      </c>
      <c r="C189" s="12"/>
      <c r="D189" s="12"/>
      <c r="E189" s="12" t="s">
        <v>58</v>
      </c>
      <c r="F189" s="12">
        <v>3</v>
      </c>
      <c r="G189" s="12">
        <f t="shared" si="10"/>
        <v>2</v>
      </c>
      <c r="H189" s="37">
        <v>1</v>
      </c>
    </row>
    <row r="190" spans="1:10" ht="15.95" customHeight="1" thickBot="1" x14ac:dyDescent="0.35">
      <c r="A190" s="38">
        <f t="shared" si="5"/>
        <v>462</v>
      </c>
      <c r="B190" s="60" t="s">
        <v>359</v>
      </c>
      <c r="C190" s="61"/>
      <c r="D190" s="61"/>
      <c r="E190" s="61" t="s">
        <v>58</v>
      </c>
      <c r="F190" s="61">
        <v>3</v>
      </c>
      <c r="G190" s="61">
        <f t="shared" si="10"/>
        <v>2</v>
      </c>
      <c r="H190" s="41">
        <v>1</v>
      </c>
    </row>
    <row r="191" spans="1:10" ht="15.95" customHeight="1" x14ac:dyDescent="0.3">
      <c r="A191" s="69">
        <f t="shared" si="5"/>
        <v>464</v>
      </c>
      <c r="B191" s="49"/>
      <c r="C191" s="11"/>
      <c r="D191" s="11"/>
      <c r="E191" s="56" t="s">
        <v>58</v>
      </c>
      <c r="F191" s="56">
        <v>3</v>
      </c>
      <c r="G191" s="56">
        <f t="shared" si="10"/>
        <v>2</v>
      </c>
      <c r="H191" s="66">
        <v>1</v>
      </c>
    </row>
    <row r="192" spans="1:10" ht="15.95" customHeight="1" x14ac:dyDescent="0.3">
      <c r="A192" s="36">
        <f t="shared" si="5"/>
        <v>466</v>
      </c>
      <c r="B192" s="14"/>
      <c r="C192" s="12"/>
      <c r="D192" s="12"/>
      <c r="E192" s="22" t="s">
        <v>58</v>
      </c>
      <c r="F192" s="22">
        <v>3</v>
      </c>
      <c r="G192" s="22">
        <f t="shared" si="10"/>
        <v>2</v>
      </c>
      <c r="H192" s="37">
        <v>1</v>
      </c>
    </row>
    <row r="193" spans="1:8" ht="15.95" customHeight="1" x14ac:dyDescent="0.3">
      <c r="A193" s="36">
        <f t="shared" si="5"/>
        <v>468</v>
      </c>
      <c r="B193" s="14" t="s">
        <v>812</v>
      </c>
      <c r="C193" s="12"/>
      <c r="D193" s="12"/>
      <c r="E193" s="22" t="s">
        <v>806</v>
      </c>
      <c r="F193" s="22">
        <v>3</v>
      </c>
      <c r="G193" s="22">
        <f t="shared" si="10"/>
        <v>2</v>
      </c>
      <c r="H193" s="37">
        <v>1</v>
      </c>
    </row>
    <row r="194" spans="1:8" ht="15.95" customHeight="1" x14ac:dyDescent="0.3">
      <c r="A194" s="36">
        <f t="shared" si="5"/>
        <v>470</v>
      </c>
      <c r="B194" s="14" t="s">
        <v>358</v>
      </c>
      <c r="C194" s="12"/>
      <c r="D194" s="12"/>
      <c r="E194" s="22" t="s">
        <v>58</v>
      </c>
      <c r="F194" s="22">
        <v>3</v>
      </c>
      <c r="G194" s="22">
        <f t="shared" si="10"/>
        <v>2</v>
      </c>
      <c r="H194" s="37">
        <v>96</v>
      </c>
    </row>
    <row r="195" spans="1:8" ht="15.95" customHeight="1" thickBot="1" x14ac:dyDescent="0.35">
      <c r="A195" s="38">
        <f t="shared" si="5"/>
        <v>662</v>
      </c>
      <c r="B195" s="75"/>
      <c r="C195" s="76"/>
      <c r="D195" s="76"/>
      <c r="E195" s="62" t="s">
        <v>58</v>
      </c>
      <c r="F195" s="62">
        <v>3</v>
      </c>
      <c r="G195" s="62">
        <f t="shared" si="10"/>
        <v>2</v>
      </c>
      <c r="H195" s="41">
        <v>19</v>
      </c>
    </row>
    <row r="196" spans="1:8" ht="15.95" customHeight="1" thickBot="1" x14ac:dyDescent="0.35">
      <c r="A196" s="190" t="s">
        <v>700</v>
      </c>
      <c r="B196" s="191"/>
      <c r="C196" s="191"/>
      <c r="D196" s="191"/>
      <c r="E196" s="191"/>
      <c r="F196" s="191"/>
      <c r="G196" s="191"/>
      <c r="H196" s="192"/>
    </row>
    <row r="197" spans="1:8" ht="15.95" customHeight="1" x14ac:dyDescent="0.3">
      <c r="A197" s="165">
        <f>A195+(G195*H195)</f>
        <v>700</v>
      </c>
      <c r="B197" s="164" t="s">
        <v>211</v>
      </c>
      <c r="C197" s="166"/>
      <c r="D197" s="166"/>
      <c r="E197" s="166" t="s">
        <v>57</v>
      </c>
      <c r="F197" s="166">
        <v>3</v>
      </c>
      <c r="G197" s="166">
        <f t="shared" ref="G197:G202" si="11">IF(OR(E197="U16", E197="S16"),1,IF(E197="TS",6,2))</f>
        <v>2</v>
      </c>
      <c r="H197" s="167">
        <v>1</v>
      </c>
    </row>
    <row r="198" spans="1:8" ht="15.95" customHeight="1" x14ac:dyDescent="0.3">
      <c r="A198" s="135">
        <f>A197+(G197*H197)</f>
        <v>702</v>
      </c>
      <c r="B198" s="17" t="s">
        <v>212</v>
      </c>
      <c r="C198" s="30"/>
      <c r="D198" s="30"/>
      <c r="E198" s="30" t="s">
        <v>57</v>
      </c>
      <c r="F198" s="30">
        <v>3</v>
      </c>
      <c r="G198" s="30">
        <f t="shared" si="11"/>
        <v>2</v>
      </c>
      <c r="H198" s="136">
        <v>1</v>
      </c>
    </row>
    <row r="199" spans="1:8" ht="15.95" customHeight="1" x14ac:dyDescent="0.3">
      <c r="A199" s="135">
        <f t="shared" ref="A199:A218" si="12">A198+(G198*H198)</f>
        <v>704</v>
      </c>
      <c r="B199" s="17" t="s">
        <v>213</v>
      </c>
      <c r="C199" s="30"/>
      <c r="D199" s="30"/>
      <c r="E199" s="30" t="s">
        <v>57</v>
      </c>
      <c r="F199" s="30">
        <v>3</v>
      </c>
      <c r="G199" s="30">
        <f t="shared" si="11"/>
        <v>2</v>
      </c>
      <c r="H199" s="136">
        <v>1</v>
      </c>
    </row>
    <row r="200" spans="1:8" ht="15.95" customHeight="1" x14ac:dyDescent="0.3">
      <c r="A200" s="135">
        <f t="shared" si="12"/>
        <v>706</v>
      </c>
      <c r="B200" s="17" t="s">
        <v>214</v>
      </c>
      <c r="C200" s="30"/>
      <c r="D200" s="30"/>
      <c r="E200" s="30" t="s">
        <v>57</v>
      </c>
      <c r="F200" s="30">
        <v>3</v>
      </c>
      <c r="G200" s="30">
        <f t="shared" si="11"/>
        <v>2</v>
      </c>
      <c r="H200" s="136">
        <v>1</v>
      </c>
    </row>
    <row r="201" spans="1:8" ht="15.95" customHeight="1" x14ac:dyDescent="0.3">
      <c r="A201" s="135">
        <f t="shared" si="12"/>
        <v>708</v>
      </c>
      <c r="B201" s="17" t="s">
        <v>215</v>
      </c>
      <c r="C201" s="30"/>
      <c r="D201" s="30"/>
      <c r="E201" s="30" t="s">
        <v>57</v>
      </c>
      <c r="F201" s="30">
        <v>3</v>
      </c>
      <c r="G201" s="30">
        <f t="shared" si="11"/>
        <v>2</v>
      </c>
      <c r="H201" s="136">
        <v>1</v>
      </c>
    </row>
    <row r="202" spans="1:8" ht="15.95" customHeight="1" x14ac:dyDescent="0.3">
      <c r="A202" s="135">
        <f t="shared" si="12"/>
        <v>710</v>
      </c>
      <c r="B202" s="17" t="s">
        <v>216</v>
      </c>
      <c r="C202" s="30"/>
      <c r="D202" s="30"/>
      <c r="E202" s="30" t="s">
        <v>57</v>
      </c>
      <c r="F202" s="30">
        <v>3</v>
      </c>
      <c r="G202" s="30">
        <f t="shared" si="11"/>
        <v>2</v>
      </c>
      <c r="H202" s="136">
        <v>1</v>
      </c>
    </row>
    <row r="203" spans="1:8" ht="15.95" customHeight="1" x14ac:dyDescent="0.3">
      <c r="A203" s="135">
        <f t="shared" si="12"/>
        <v>712</v>
      </c>
      <c r="B203" s="17" t="s">
        <v>163</v>
      </c>
      <c r="C203" s="30"/>
      <c r="D203" s="30"/>
      <c r="E203" s="30" t="s">
        <v>58</v>
      </c>
      <c r="F203" s="30">
        <v>3</v>
      </c>
      <c r="G203" s="30">
        <f t="shared" ref="G203:G218" si="13">IF(OR(E203="U16", E203="S16"),1,IF(E203="TS",6,2))</f>
        <v>2</v>
      </c>
      <c r="H203" s="136">
        <v>1</v>
      </c>
    </row>
    <row r="204" spans="1:8" ht="15.95" customHeight="1" x14ac:dyDescent="0.3">
      <c r="A204" s="135">
        <f t="shared" si="12"/>
        <v>714</v>
      </c>
      <c r="B204" s="17" t="s">
        <v>164</v>
      </c>
      <c r="C204" s="30"/>
      <c r="D204" s="30"/>
      <c r="E204" s="30" t="s">
        <v>58</v>
      </c>
      <c r="F204" s="30">
        <v>3</v>
      </c>
      <c r="G204" s="30">
        <f t="shared" si="13"/>
        <v>2</v>
      </c>
      <c r="H204" s="136">
        <v>1</v>
      </c>
    </row>
    <row r="205" spans="1:8" ht="15.95" customHeight="1" x14ac:dyDescent="0.3">
      <c r="A205" s="135">
        <f t="shared" si="12"/>
        <v>716</v>
      </c>
      <c r="B205" s="17" t="s">
        <v>165</v>
      </c>
      <c r="C205" s="30"/>
      <c r="D205" s="30"/>
      <c r="E205" s="30" t="s">
        <v>58</v>
      </c>
      <c r="F205" s="30">
        <v>3</v>
      </c>
      <c r="G205" s="30">
        <f t="shared" si="13"/>
        <v>2</v>
      </c>
      <c r="H205" s="136">
        <v>1</v>
      </c>
    </row>
    <row r="206" spans="1:8" ht="15.95" customHeight="1" x14ac:dyDescent="0.3">
      <c r="A206" s="135">
        <f t="shared" si="12"/>
        <v>718</v>
      </c>
      <c r="B206" s="17" t="s">
        <v>166</v>
      </c>
      <c r="C206" s="30"/>
      <c r="D206" s="30"/>
      <c r="E206" s="30" t="s">
        <v>58</v>
      </c>
      <c r="F206" s="134">
        <v>3</v>
      </c>
      <c r="G206" s="30">
        <f t="shared" si="13"/>
        <v>2</v>
      </c>
      <c r="H206" s="136">
        <v>1</v>
      </c>
    </row>
    <row r="207" spans="1:8" ht="15.95" customHeight="1" x14ac:dyDescent="0.3">
      <c r="A207" s="135">
        <f t="shared" si="12"/>
        <v>720</v>
      </c>
      <c r="B207" s="17" t="s">
        <v>167</v>
      </c>
      <c r="C207" s="30"/>
      <c r="D207" s="30"/>
      <c r="E207" s="30" t="s">
        <v>58</v>
      </c>
      <c r="F207" s="134">
        <v>3</v>
      </c>
      <c r="G207" s="30">
        <f t="shared" si="13"/>
        <v>2</v>
      </c>
      <c r="H207" s="136">
        <v>1</v>
      </c>
    </row>
    <row r="208" spans="1:8" ht="15.95" customHeight="1" x14ac:dyDescent="0.3">
      <c r="A208" s="135">
        <f t="shared" si="12"/>
        <v>722</v>
      </c>
      <c r="B208" s="17" t="s">
        <v>168</v>
      </c>
      <c r="C208" s="30"/>
      <c r="D208" s="30"/>
      <c r="E208" s="30" t="s">
        <v>58</v>
      </c>
      <c r="F208" s="134">
        <v>3</v>
      </c>
      <c r="G208" s="30">
        <f t="shared" si="13"/>
        <v>2</v>
      </c>
      <c r="H208" s="136">
        <v>1</v>
      </c>
    </row>
    <row r="209" spans="1:10" ht="15.95" customHeight="1" x14ac:dyDescent="0.3">
      <c r="A209" s="135">
        <f t="shared" si="12"/>
        <v>724</v>
      </c>
      <c r="B209" s="17" t="s">
        <v>169</v>
      </c>
      <c r="C209" s="30"/>
      <c r="D209" s="30"/>
      <c r="E209" s="30" t="s">
        <v>58</v>
      </c>
      <c r="F209" s="134">
        <v>3</v>
      </c>
      <c r="G209" s="30">
        <f t="shared" si="13"/>
        <v>2</v>
      </c>
      <c r="H209" s="136">
        <v>1</v>
      </c>
    </row>
    <row r="210" spans="1:10" ht="15.95" customHeight="1" x14ac:dyDescent="0.3">
      <c r="A210" s="135">
        <f t="shared" si="12"/>
        <v>726</v>
      </c>
      <c r="B210" s="17" t="s">
        <v>170</v>
      </c>
      <c r="C210" s="30"/>
      <c r="D210" s="30"/>
      <c r="E210" s="30" t="s">
        <v>58</v>
      </c>
      <c r="F210" s="134">
        <v>3</v>
      </c>
      <c r="G210" s="30">
        <f t="shared" si="13"/>
        <v>2</v>
      </c>
      <c r="H210" s="136">
        <v>1</v>
      </c>
    </row>
    <row r="211" spans="1:10" ht="15.95" customHeight="1" x14ac:dyDescent="0.3">
      <c r="A211" s="135">
        <f t="shared" si="12"/>
        <v>728</v>
      </c>
      <c r="B211" s="17" t="s">
        <v>171</v>
      </c>
      <c r="C211" s="30"/>
      <c r="D211" s="30"/>
      <c r="E211" s="30" t="s">
        <v>58</v>
      </c>
      <c r="F211" s="134">
        <v>3</v>
      </c>
      <c r="G211" s="30">
        <f t="shared" si="13"/>
        <v>2</v>
      </c>
      <c r="H211" s="136">
        <v>1</v>
      </c>
    </row>
    <row r="212" spans="1:10" ht="15.95" customHeight="1" x14ac:dyDescent="0.3">
      <c r="A212" s="135">
        <f t="shared" si="12"/>
        <v>730</v>
      </c>
      <c r="B212" s="17" t="s">
        <v>172</v>
      </c>
      <c r="C212" s="30"/>
      <c r="D212" s="30"/>
      <c r="E212" s="30" t="s">
        <v>58</v>
      </c>
      <c r="F212" s="134">
        <v>3</v>
      </c>
      <c r="G212" s="30">
        <f t="shared" si="13"/>
        <v>2</v>
      </c>
      <c r="H212" s="136">
        <v>1</v>
      </c>
    </row>
    <row r="213" spans="1:10" ht="15.95" customHeight="1" x14ac:dyDescent="0.3">
      <c r="A213" s="135">
        <f t="shared" si="12"/>
        <v>732</v>
      </c>
      <c r="B213" s="17" t="s">
        <v>173</v>
      </c>
      <c r="C213" s="30"/>
      <c r="D213" s="30"/>
      <c r="E213" s="30" t="s">
        <v>58</v>
      </c>
      <c r="F213" s="134">
        <v>3</v>
      </c>
      <c r="G213" s="30">
        <f t="shared" si="13"/>
        <v>2</v>
      </c>
      <c r="H213" s="136">
        <v>1</v>
      </c>
    </row>
    <row r="214" spans="1:10" ht="15.95" customHeight="1" x14ac:dyDescent="0.3">
      <c r="A214" s="135">
        <f t="shared" si="12"/>
        <v>734</v>
      </c>
      <c r="B214" s="17" t="s">
        <v>174</v>
      </c>
      <c r="C214" s="30"/>
      <c r="D214" s="30"/>
      <c r="E214" s="30" t="s">
        <v>58</v>
      </c>
      <c r="F214" s="134">
        <v>3</v>
      </c>
      <c r="G214" s="30">
        <f>IF(OR(E214="U16", E214="S16"),1,IF(E214="TS",6,2))</f>
        <v>2</v>
      </c>
      <c r="H214" s="136">
        <v>1</v>
      </c>
    </row>
    <row r="215" spans="1:10" ht="15.95" customHeight="1" x14ac:dyDescent="0.3">
      <c r="A215" s="135">
        <f t="shared" si="12"/>
        <v>736</v>
      </c>
      <c r="B215" s="17" t="s">
        <v>217</v>
      </c>
      <c r="C215" s="30"/>
      <c r="D215" s="30"/>
      <c r="E215" s="30" t="s">
        <v>57</v>
      </c>
      <c r="F215" s="134">
        <v>3</v>
      </c>
      <c r="G215" s="30">
        <f>IF(OR(E215="U16", E215="S16"),1,IF(E215="TS",6,2))</f>
        <v>2</v>
      </c>
      <c r="H215" s="136">
        <v>1</v>
      </c>
    </row>
    <row r="216" spans="1:10" ht="15.95" customHeight="1" x14ac:dyDescent="0.3">
      <c r="A216" s="135">
        <f t="shared" si="12"/>
        <v>738</v>
      </c>
      <c r="B216" s="17" t="s">
        <v>218</v>
      </c>
      <c r="C216" s="30"/>
      <c r="D216" s="30"/>
      <c r="E216" s="30" t="s">
        <v>57</v>
      </c>
      <c r="F216" s="134">
        <v>3</v>
      </c>
      <c r="G216" s="30">
        <f>IF(OR(E216="U16", E216="S16"),1,IF(E216="TS",6,2))</f>
        <v>2</v>
      </c>
      <c r="H216" s="136">
        <v>1</v>
      </c>
    </row>
    <row r="217" spans="1:10" ht="15.95" customHeight="1" x14ac:dyDescent="0.3">
      <c r="A217" s="135">
        <f t="shared" si="12"/>
        <v>740</v>
      </c>
      <c r="B217" s="17" t="s">
        <v>219</v>
      </c>
      <c r="C217" s="30"/>
      <c r="D217" s="30"/>
      <c r="E217" s="30" t="s">
        <v>57</v>
      </c>
      <c r="F217" s="134">
        <v>3</v>
      </c>
      <c r="G217" s="30">
        <f>IF(OR(E217="U16", E217="S16"),1,IF(E217="TS",6,2))</f>
        <v>2</v>
      </c>
      <c r="H217" s="136">
        <v>1</v>
      </c>
    </row>
    <row r="218" spans="1:10" ht="15.95" customHeight="1" thickBot="1" x14ac:dyDescent="0.35">
      <c r="A218" s="38">
        <f t="shared" si="12"/>
        <v>742</v>
      </c>
      <c r="B218" s="60" t="s">
        <v>119</v>
      </c>
      <c r="C218" s="61"/>
      <c r="D218" s="61"/>
      <c r="E218" s="62" t="s">
        <v>58</v>
      </c>
      <c r="F218" s="62"/>
      <c r="G218" s="62">
        <f t="shared" si="13"/>
        <v>2</v>
      </c>
      <c r="H218" s="41">
        <v>29</v>
      </c>
    </row>
    <row r="219" spans="1:10" ht="15.95" customHeight="1" thickBot="1" x14ac:dyDescent="0.35">
      <c r="A219" s="190" t="s">
        <v>928</v>
      </c>
      <c r="B219" s="191"/>
      <c r="C219" s="191"/>
      <c r="D219" s="191"/>
      <c r="E219" s="191"/>
      <c r="F219" s="191"/>
      <c r="G219" s="191"/>
      <c r="H219" s="192"/>
    </row>
    <row r="220" spans="1:10" ht="15.95" customHeight="1" x14ac:dyDescent="0.3">
      <c r="A220" s="32">
        <f>A218+(G218*H218)</f>
        <v>800</v>
      </c>
      <c r="B220" s="57" t="s">
        <v>117</v>
      </c>
      <c r="C220" s="58"/>
      <c r="D220" s="58"/>
      <c r="E220" s="53" t="s">
        <v>90</v>
      </c>
      <c r="F220" s="53">
        <v>3</v>
      </c>
      <c r="G220" s="53">
        <f>IF(OR(E220="U16", E220="S16"),1,IF(E220="TS",6,2))</f>
        <v>2</v>
      </c>
      <c r="H220" s="35">
        <v>1</v>
      </c>
    </row>
    <row r="221" spans="1:10" ht="15.95" customHeight="1" x14ac:dyDescent="0.3">
      <c r="A221" s="36">
        <f t="shared" ref="A221:A238" si="14">A220+(G220*H220)</f>
        <v>802</v>
      </c>
      <c r="B221" s="14" t="s">
        <v>118</v>
      </c>
      <c r="C221" s="12"/>
      <c r="D221" s="12"/>
      <c r="E221" s="22" t="s">
        <v>90</v>
      </c>
      <c r="F221" s="22">
        <v>3</v>
      </c>
      <c r="G221" s="22">
        <f>IF(OR(E221="U16", E221="S16"),1,IF(E221="TS",6,2))</f>
        <v>2</v>
      </c>
      <c r="H221" s="37">
        <v>1</v>
      </c>
    </row>
    <row r="222" spans="1:10" ht="408" customHeight="1" x14ac:dyDescent="0.3">
      <c r="A222" s="36">
        <f t="shared" si="14"/>
        <v>804</v>
      </c>
      <c r="B222" s="14" t="s">
        <v>745</v>
      </c>
      <c r="C222" s="65" t="s">
        <v>746</v>
      </c>
      <c r="D222" s="65"/>
      <c r="E222" s="22" t="s">
        <v>161</v>
      </c>
      <c r="F222" s="22">
        <v>3</v>
      </c>
      <c r="G222" s="22">
        <f>IF(OR(E222="U16", E222="S16"),1,IF(E222="TS",6,2))</f>
        <v>2</v>
      </c>
      <c r="H222" s="37">
        <v>1</v>
      </c>
    </row>
    <row r="223" spans="1:10" ht="15.95" customHeight="1" x14ac:dyDescent="0.3">
      <c r="A223" s="36">
        <f t="shared" si="14"/>
        <v>806</v>
      </c>
      <c r="B223" s="14" t="s">
        <v>660</v>
      </c>
      <c r="C223" s="119">
        <v>0</v>
      </c>
      <c r="D223" s="119"/>
      <c r="E223" s="22" t="s">
        <v>140</v>
      </c>
      <c r="F223" s="22">
        <v>3</v>
      </c>
      <c r="G223" s="22">
        <f>IF(OR(E223="U16", E223="S16"),1,IF(E223="TS",6,2))</f>
        <v>1</v>
      </c>
      <c r="H223" s="37">
        <v>1</v>
      </c>
      <c r="J223" s="15" t="s">
        <v>142</v>
      </c>
    </row>
    <row r="224" spans="1:10" ht="15.95" customHeight="1" x14ac:dyDescent="0.3">
      <c r="A224" s="36">
        <f t="shared" si="14"/>
        <v>807</v>
      </c>
      <c r="B224" s="14" t="s">
        <v>661</v>
      </c>
      <c r="C224" s="11">
        <v>1</v>
      </c>
      <c r="D224" s="11"/>
      <c r="E224" s="22" t="s">
        <v>140</v>
      </c>
      <c r="F224" s="22">
        <v>3</v>
      </c>
      <c r="G224" s="22">
        <f>IF(OR(E224="U16", E224="S16"),1,IF(E224="TS",6,2))</f>
        <v>1</v>
      </c>
      <c r="H224" s="37">
        <v>1</v>
      </c>
      <c r="J224" s="15" t="s">
        <v>143</v>
      </c>
    </row>
    <row r="225" spans="1:10" ht="15.95" customHeight="1" x14ac:dyDescent="0.3">
      <c r="A225" s="36">
        <f t="shared" si="14"/>
        <v>808</v>
      </c>
      <c r="B225" s="14" t="s">
        <v>662</v>
      </c>
      <c r="C225" s="193">
        <v>2</v>
      </c>
      <c r="D225" s="119"/>
      <c r="E225" s="22" t="s">
        <v>140</v>
      </c>
      <c r="F225" s="22">
        <v>3</v>
      </c>
      <c r="G225" s="22">
        <f t="shared" ref="G225:G237" si="15">IF(OR(E225="U16", E225="S16"),1,IF(E225="TS",6,2))</f>
        <v>1</v>
      </c>
      <c r="H225" s="37">
        <v>1</v>
      </c>
    </row>
    <row r="226" spans="1:10" ht="15.95" customHeight="1" x14ac:dyDescent="0.3">
      <c r="A226" s="36">
        <f t="shared" si="14"/>
        <v>809</v>
      </c>
      <c r="B226" s="14" t="s">
        <v>663</v>
      </c>
      <c r="C226" s="194"/>
      <c r="D226" s="120"/>
      <c r="E226" s="22" t="s">
        <v>140</v>
      </c>
      <c r="F226" s="22">
        <v>3</v>
      </c>
      <c r="G226" s="22">
        <f t="shared" si="15"/>
        <v>1</v>
      </c>
      <c r="H226" s="37">
        <v>1</v>
      </c>
    </row>
    <row r="227" spans="1:10" ht="15.95" customHeight="1" x14ac:dyDescent="0.3">
      <c r="A227" s="36">
        <f t="shared" si="14"/>
        <v>810</v>
      </c>
      <c r="B227" s="14" t="s">
        <v>664</v>
      </c>
      <c r="C227" s="195"/>
      <c r="D227" s="11"/>
      <c r="E227" s="22" t="s">
        <v>140</v>
      </c>
      <c r="F227" s="22">
        <v>3</v>
      </c>
      <c r="G227" s="22">
        <f t="shared" si="15"/>
        <v>1</v>
      </c>
      <c r="H227" s="37">
        <v>1</v>
      </c>
      <c r="J227" s="15" t="s">
        <v>142</v>
      </c>
    </row>
    <row r="228" spans="1:10" ht="15.95" customHeight="1" x14ac:dyDescent="0.3">
      <c r="A228" s="36">
        <f t="shared" si="14"/>
        <v>811</v>
      </c>
      <c r="B228" s="14" t="s">
        <v>665</v>
      </c>
      <c r="C228" s="193">
        <v>3</v>
      </c>
      <c r="D228" s="119"/>
      <c r="E228" s="22" t="s">
        <v>140</v>
      </c>
      <c r="F228" s="22">
        <v>3</v>
      </c>
      <c r="G228" s="22">
        <f t="shared" si="15"/>
        <v>1</v>
      </c>
      <c r="H228" s="37">
        <v>1</v>
      </c>
    </row>
    <row r="229" spans="1:10" ht="15.95" customHeight="1" x14ac:dyDescent="0.3">
      <c r="A229" s="36">
        <f t="shared" si="14"/>
        <v>812</v>
      </c>
      <c r="B229" s="14" t="s">
        <v>666</v>
      </c>
      <c r="C229" s="194"/>
      <c r="D229" s="120"/>
      <c r="E229" s="22" t="s">
        <v>140</v>
      </c>
      <c r="F229" s="22">
        <v>3</v>
      </c>
      <c r="G229" s="22">
        <f t="shared" si="15"/>
        <v>1</v>
      </c>
      <c r="H229" s="37">
        <v>1</v>
      </c>
    </row>
    <row r="230" spans="1:10" ht="15.95" customHeight="1" x14ac:dyDescent="0.3">
      <c r="A230" s="36">
        <f t="shared" si="14"/>
        <v>813</v>
      </c>
      <c r="B230" s="14" t="s">
        <v>667</v>
      </c>
      <c r="C230" s="195"/>
      <c r="D230" s="11"/>
      <c r="E230" s="22" t="s">
        <v>140</v>
      </c>
      <c r="F230" s="22">
        <v>3</v>
      </c>
      <c r="G230" s="22">
        <f t="shared" si="15"/>
        <v>1</v>
      </c>
      <c r="H230" s="37">
        <v>1</v>
      </c>
      <c r="J230" s="15" t="s">
        <v>143</v>
      </c>
    </row>
    <row r="231" spans="1:10" ht="15.95" customHeight="1" x14ac:dyDescent="0.3">
      <c r="A231" s="36">
        <f t="shared" si="14"/>
        <v>814</v>
      </c>
      <c r="B231" s="14" t="s">
        <v>668</v>
      </c>
      <c r="C231" s="12">
        <v>4</v>
      </c>
      <c r="D231" s="12"/>
      <c r="E231" s="22" t="s">
        <v>140</v>
      </c>
      <c r="F231" s="22">
        <v>3</v>
      </c>
      <c r="G231" s="22">
        <f t="shared" si="15"/>
        <v>1</v>
      </c>
      <c r="H231" s="37">
        <v>1</v>
      </c>
    </row>
    <row r="232" spans="1:10" ht="15.95" customHeight="1" x14ac:dyDescent="0.3">
      <c r="A232" s="50">
        <f t="shared" si="14"/>
        <v>815</v>
      </c>
      <c r="B232" s="14" t="s">
        <v>669</v>
      </c>
      <c r="C232" s="196">
        <v>5</v>
      </c>
      <c r="D232" s="12"/>
      <c r="E232" s="22" t="s">
        <v>140</v>
      </c>
      <c r="F232" s="22">
        <v>3</v>
      </c>
      <c r="G232" s="22">
        <f t="shared" si="15"/>
        <v>1</v>
      </c>
      <c r="H232" s="37">
        <v>1</v>
      </c>
    </row>
    <row r="233" spans="1:10" ht="15.95" customHeight="1" x14ac:dyDescent="0.3">
      <c r="A233" s="50">
        <f t="shared" si="14"/>
        <v>816</v>
      </c>
      <c r="B233" s="14" t="s">
        <v>670</v>
      </c>
      <c r="C233" s="196"/>
      <c r="D233" s="12"/>
      <c r="E233" s="22" t="s">
        <v>140</v>
      </c>
      <c r="F233" s="22">
        <v>3</v>
      </c>
      <c r="G233" s="22">
        <f t="shared" si="15"/>
        <v>1</v>
      </c>
      <c r="H233" s="37">
        <v>1</v>
      </c>
      <c r="J233" s="15" t="s">
        <v>143</v>
      </c>
    </row>
    <row r="234" spans="1:10" ht="15.95" customHeight="1" x14ac:dyDescent="0.3">
      <c r="A234" s="50">
        <f t="shared" si="14"/>
        <v>817</v>
      </c>
      <c r="B234" s="14" t="s">
        <v>671</v>
      </c>
      <c r="C234" s="196"/>
      <c r="D234" s="12"/>
      <c r="E234" s="22" t="s">
        <v>140</v>
      </c>
      <c r="F234" s="22">
        <v>3</v>
      </c>
      <c r="G234" s="22">
        <f t="shared" si="15"/>
        <v>1</v>
      </c>
      <c r="H234" s="37">
        <v>1</v>
      </c>
    </row>
    <row r="235" spans="1:10" ht="15.95" customHeight="1" x14ac:dyDescent="0.3">
      <c r="A235" s="50">
        <f t="shared" si="14"/>
        <v>818</v>
      </c>
      <c r="B235" s="14" t="s">
        <v>672</v>
      </c>
      <c r="C235" s="196">
        <v>6</v>
      </c>
      <c r="D235" s="12"/>
      <c r="E235" s="22" t="s">
        <v>140</v>
      </c>
      <c r="F235" s="22">
        <v>3</v>
      </c>
      <c r="G235" s="22">
        <f t="shared" si="15"/>
        <v>1</v>
      </c>
      <c r="H235" s="37">
        <v>1</v>
      </c>
    </row>
    <row r="236" spans="1:10" ht="15.95" customHeight="1" x14ac:dyDescent="0.3">
      <c r="A236" s="50">
        <f t="shared" si="14"/>
        <v>819</v>
      </c>
      <c r="B236" s="14" t="s">
        <v>673</v>
      </c>
      <c r="C236" s="196"/>
      <c r="D236" s="12"/>
      <c r="E236" s="22" t="s">
        <v>140</v>
      </c>
      <c r="F236" s="22">
        <v>3</v>
      </c>
      <c r="G236" s="22">
        <f t="shared" si="15"/>
        <v>1</v>
      </c>
      <c r="H236" s="37">
        <v>1</v>
      </c>
      <c r="J236" s="15" t="s">
        <v>143</v>
      </c>
    </row>
    <row r="237" spans="1:10" ht="15.95" customHeight="1" x14ac:dyDescent="0.3">
      <c r="A237" s="50">
        <f t="shared" si="14"/>
        <v>820</v>
      </c>
      <c r="B237" s="14" t="s">
        <v>674</v>
      </c>
      <c r="C237" s="196"/>
      <c r="D237" s="12"/>
      <c r="E237" s="22" t="s">
        <v>140</v>
      </c>
      <c r="F237" s="22">
        <v>3</v>
      </c>
      <c r="G237" s="22">
        <f t="shared" si="15"/>
        <v>1</v>
      </c>
      <c r="H237" s="37">
        <v>1</v>
      </c>
    </row>
    <row r="238" spans="1:10" ht="15.95" customHeight="1" x14ac:dyDescent="0.3">
      <c r="A238" s="36">
        <f t="shared" si="14"/>
        <v>821</v>
      </c>
      <c r="B238" s="17" t="s">
        <v>675</v>
      </c>
      <c r="C238" s="216">
        <v>7</v>
      </c>
      <c r="D238" s="121"/>
      <c r="E238" s="30" t="s">
        <v>140</v>
      </c>
      <c r="F238" s="134">
        <v>3</v>
      </c>
      <c r="G238" s="30">
        <f t="shared" ref="G238:G243" si="16">IF(OR(E238="U16", E238="S16"),1,IF(E238="TS",6,2))</f>
        <v>1</v>
      </c>
      <c r="H238" s="136">
        <v>1</v>
      </c>
    </row>
    <row r="239" spans="1:10" ht="15.95" customHeight="1" x14ac:dyDescent="0.3">
      <c r="A239" s="36">
        <f>A238+(G238*H238)</f>
        <v>822</v>
      </c>
      <c r="B239" s="17" t="s">
        <v>676</v>
      </c>
      <c r="C239" s="217"/>
      <c r="D239" s="122"/>
      <c r="E239" s="30" t="s">
        <v>140</v>
      </c>
      <c r="F239" s="134">
        <v>3</v>
      </c>
      <c r="G239" s="30">
        <f t="shared" si="16"/>
        <v>1</v>
      </c>
      <c r="H239" s="136">
        <v>1</v>
      </c>
      <c r="J239" s="15" t="s">
        <v>143</v>
      </c>
    </row>
    <row r="240" spans="1:10" ht="15.95" customHeight="1" x14ac:dyDescent="0.3">
      <c r="A240" s="36">
        <f>A239+(G239*H239)</f>
        <v>823</v>
      </c>
      <c r="B240" s="17" t="s">
        <v>677</v>
      </c>
      <c r="C240" s="218"/>
      <c r="D240" s="123"/>
      <c r="E240" s="30" t="s">
        <v>140</v>
      </c>
      <c r="F240" s="134">
        <v>3</v>
      </c>
      <c r="G240" s="30">
        <f t="shared" si="16"/>
        <v>1</v>
      </c>
      <c r="H240" s="136">
        <v>1</v>
      </c>
    </row>
    <row r="241" spans="1:10" ht="15.95" customHeight="1" x14ac:dyDescent="0.3">
      <c r="A241" s="36">
        <f>A240+(G240*H240)</f>
        <v>824</v>
      </c>
      <c r="B241" s="17" t="s">
        <v>678</v>
      </c>
      <c r="C241" s="216">
        <v>8</v>
      </c>
      <c r="D241" s="121"/>
      <c r="E241" s="30" t="s">
        <v>140</v>
      </c>
      <c r="F241" s="134">
        <v>3</v>
      </c>
      <c r="G241" s="30">
        <f t="shared" si="16"/>
        <v>1</v>
      </c>
      <c r="H241" s="136">
        <v>1</v>
      </c>
    </row>
    <row r="242" spans="1:10" ht="15.95" customHeight="1" x14ac:dyDescent="0.3">
      <c r="A242" s="36">
        <f>A241+(G241*H241)</f>
        <v>825</v>
      </c>
      <c r="B242" s="17" t="s">
        <v>679</v>
      </c>
      <c r="C242" s="217"/>
      <c r="D242" s="122"/>
      <c r="E242" s="30" t="s">
        <v>140</v>
      </c>
      <c r="F242" s="134">
        <v>3</v>
      </c>
      <c r="G242" s="30">
        <f t="shared" si="16"/>
        <v>1</v>
      </c>
      <c r="H242" s="136">
        <v>1</v>
      </c>
      <c r="J242" s="15" t="s">
        <v>142</v>
      </c>
    </row>
    <row r="243" spans="1:10" ht="15.95" customHeight="1" x14ac:dyDescent="0.3">
      <c r="A243" s="36">
        <f>A242+(G242*H242)</f>
        <v>826</v>
      </c>
      <c r="B243" s="17" t="s">
        <v>680</v>
      </c>
      <c r="C243" s="218"/>
      <c r="D243" s="123"/>
      <c r="E243" s="30" t="s">
        <v>140</v>
      </c>
      <c r="F243" s="134">
        <v>3</v>
      </c>
      <c r="G243" s="30">
        <f t="shared" si="16"/>
        <v>1</v>
      </c>
      <c r="H243" s="136">
        <v>1</v>
      </c>
    </row>
    <row r="244" spans="1:10" ht="15.95" customHeight="1" x14ac:dyDescent="0.3">
      <c r="A244" s="36">
        <f t="shared" ref="A244:A266" si="17">A243+(G243*H243)</f>
        <v>827</v>
      </c>
      <c r="B244" s="17" t="s">
        <v>681</v>
      </c>
      <c r="C244" s="216">
        <v>9</v>
      </c>
      <c r="D244" s="121"/>
      <c r="E244" s="30" t="s">
        <v>140</v>
      </c>
      <c r="F244" s="134">
        <v>3</v>
      </c>
      <c r="G244" s="30">
        <f t="shared" ref="G244:G265" si="18">IF(OR(E244="U16", E244="S16"),1,IF(E244="TS",6,2))</f>
        <v>1</v>
      </c>
      <c r="H244" s="136">
        <v>1</v>
      </c>
    </row>
    <row r="245" spans="1:10" ht="15.95" customHeight="1" x14ac:dyDescent="0.3">
      <c r="A245" s="36">
        <f t="shared" si="17"/>
        <v>828</v>
      </c>
      <c r="B245" s="17" t="s">
        <v>682</v>
      </c>
      <c r="C245" s="217"/>
      <c r="D245" s="122"/>
      <c r="E245" s="30" t="s">
        <v>140</v>
      </c>
      <c r="F245" s="134">
        <v>3</v>
      </c>
      <c r="G245" s="30">
        <f t="shared" si="18"/>
        <v>1</v>
      </c>
      <c r="H245" s="136">
        <v>1</v>
      </c>
      <c r="J245" s="15" t="s">
        <v>142</v>
      </c>
    </row>
    <row r="246" spans="1:10" ht="15.95" customHeight="1" x14ac:dyDescent="0.3">
      <c r="A246" s="36">
        <f t="shared" si="17"/>
        <v>829</v>
      </c>
      <c r="B246" s="17" t="s">
        <v>683</v>
      </c>
      <c r="C246" s="218"/>
      <c r="D246" s="123"/>
      <c r="E246" s="30" t="s">
        <v>140</v>
      </c>
      <c r="F246" s="134">
        <v>3</v>
      </c>
      <c r="G246" s="30">
        <f t="shared" si="18"/>
        <v>1</v>
      </c>
      <c r="H246" s="136">
        <v>1</v>
      </c>
    </row>
    <row r="247" spans="1:10" ht="15.95" customHeight="1" x14ac:dyDescent="0.3">
      <c r="A247" s="36">
        <f t="shared" si="17"/>
        <v>830</v>
      </c>
      <c r="B247" s="14" t="s">
        <v>106</v>
      </c>
      <c r="C247" s="193"/>
      <c r="D247" s="119"/>
      <c r="E247" s="22" t="s">
        <v>140</v>
      </c>
      <c r="F247" s="22">
        <v>3</v>
      </c>
      <c r="G247" s="22">
        <f t="shared" si="18"/>
        <v>1</v>
      </c>
      <c r="H247" s="37">
        <v>1</v>
      </c>
    </row>
    <row r="248" spans="1:10" ht="15.95" customHeight="1" x14ac:dyDescent="0.3">
      <c r="A248" s="36">
        <f t="shared" si="17"/>
        <v>831</v>
      </c>
      <c r="B248" s="14" t="s">
        <v>107</v>
      </c>
      <c r="C248" s="194"/>
      <c r="D248" s="120"/>
      <c r="E248" s="22" t="s">
        <v>140</v>
      </c>
      <c r="F248" s="22">
        <v>3</v>
      </c>
      <c r="G248" s="22">
        <f t="shared" si="18"/>
        <v>1</v>
      </c>
      <c r="H248" s="37">
        <v>1</v>
      </c>
      <c r="J248" s="15" t="s">
        <v>144</v>
      </c>
    </row>
    <row r="249" spans="1:10" ht="15.95" customHeight="1" x14ac:dyDescent="0.3">
      <c r="A249" s="36">
        <f t="shared" si="17"/>
        <v>832</v>
      </c>
      <c r="B249" s="14" t="s">
        <v>654</v>
      </c>
      <c r="C249" s="194"/>
      <c r="D249" s="120"/>
      <c r="E249" s="22" t="s">
        <v>140</v>
      </c>
      <c r="F249" s="22">
        <v>3</v>
      </c>
      <c r="G249" s="22">
        <f t="shared" si="18"/>
        <v>1</v>
      </c>
      <c r="H249" s="37">
        <v>1</v>
      </c>
    </row>
    <row r="250" spans="1:10" ht="15.95" customHeight="1" x14ac:dyDescent="0.3">
      <c r="A250" s="36">
        <f t="shared" si="17"/>
        <v>833</v>
      </c>
      <c r="B250" s="15" t="s">
        <v>655</v>
      </c>
      <c r="C250" s="194"/>
      <c r="D250" s="120"/>
      <c r="E250" s="22" t="s">
        <v>140</v>
      </c>
      <c r="F250" s="22">
        <v>3</v>
      </c>
      <c r="G250" s="22">
        <f t="shared" si="18"/>
        <v>1</v>
      </c>
      <c r="H250" s="37">
        <v>1</v>
      </c>
    </row>
    <row r="251" spans="1:10" ht="15.95" customHeight="1" x14ac:dyDescent="0.3">
      <c r="A251" s="36">
        <f t="shared" si="17"/>
        <v>834</v>
      </c>
      <c r="B251" s="14" t="s">
        <v>108</v>
      </c>
      <c r="C251" s="193"/>
      <c r="D251" s="119"/>
      <c r="E251" s="22" t="s">
        <v>140</v>
      </c>
      <c r="F251" s="22">
        <v>3</v>
      </c>
      <c r="G251" s="22">
        <f t="shared" si="18"/>
        <v>1</v>
      </c>
      <c r="H251" s="37">
        <v>1</v>
      </c>
    </row>
    <row r="252" spans="1:10" ht="15.95" customHeight="1" x14ac:dyDescent="0.3">
      <c r="A252" s="36">
        <f t="shared" si="17"/>
        <v>835</v>
      </c>
      <c r="B252" s="14" t="s">
        <v>109</v>
      </c>
      <c r="C252" s="194"/>
      <c r="D252" s="120"/>
      <c r="E252" s="22" t="s">
        <v>140</v>
      </c>
      <c r="F252" s="22">
        <v>3</v>
      </c>
      <c r="G252" s="22">
        <f t="shared" si="18"/>
        <v>1</v>
      </c>
      <c r="H252" s="37">
        <v>1</v>
      </c>
    </row>
    <row r="253" spans="1:10" ht="15.95" customHeight="1" x14ac:dyDescent="0.3">
      <c r="A253" s="36">
        <f t="shared" si="17"/>
        <v>836</v>
      </c>
      <c r="B253" s="14" t="s">
        <v>110</v>
      </c>
      <c r="C253" s="194"/>
      <c r="D253" s="120"/>
      <c r="E253" s="22" t="s">
        <v>140</v>
      </c>
      <c r="F253" s="22">
        <v>3</v>
      </c>
      <c r="G253" s="22">
        <f t="shared" si="18"/>
        <v>1</v>
      </c>
      <c r="H253" s="37">
        <v>1</v>
      </c>
    </row>
    <row r="254" spans="1:10" ht="15.95" customHeight="1" x14ac:dyDescent="0.3">
      <c r="A254" s="36">
        <f t="shared" si="17"/>
        <v>837</v>
      </c>
      <c r="B254" s="14" t="s">
        <v>656</v>
      </c>
      <c r="C254" s="194"/>
      <c r="D254" s="120"/>
      <c r="E254" s="22" t="s">
        <v>140</v>
      </c>
      <c r="F254" s="22">
        <v>3</v>
      </c>
      <c r="G254" s="22">
        <f t="shared" si="18"/>
        <v>1</v>
      </c>
      <c r="H254" s="37">
        <v>1</v>
      </c>
    </row>
    <row r="255" spans="1:10" ht="15.95" customHeight="1" x14ac:dyDescent="0.3">
      <c r="A255" s="36">
        <f t="shared" si="17"/>
        <v>838</v>
      </c>
      <c r="B255" s="14" t="s">
        <v>111</v>
      </c>
      <c r="C255" s="193"/>
      <c r="D255" s="119"/>
      <c r="E255" s="22" t="s">
        <v>140</v>
      </c>
      <c r="F255" s="22">
        <v>3</v>
      </c>
      <c r="G255" s="22">
        <f t="shared" si="18"/>
        <v>1</v>
      </c>
      <c r="H255" s="37">
        <v>1</v>
      </c>
    </row>
    <row r="256" spans="1:10" ht="15.95" customHeight="1" x14ac:dyDescent="0.3">
      <c r="A256" s="36">
        <f t="shared" si="17"/>
        <v>839</v>
      </c>
      <c r="B256" s="14" t="s">
        <v>112</v>
      </c>
      <c r="C256" s="194"/>
      <c r="D256" s="120"/>
      <c r="E256" s="22" t="s">
        <v>140</v>
      </c>
      <c r="F256" s="22">
        <v>3</v>
      </c>
      <c r="G256" s="22">
        <f t="shared" si="18"/>
        <v>1</v>
      </c>
      <c r="H256" s="37">
        <v>1</v>
      </c>
    </row>
    <row r="257" spans="1:9" ht="15.95" customHeight="1" x14ac:dyDescent="0.3">
      <c r="A257" s="36">
        <f t="shared" si="17"/>
        <v>840</v>
      </c>
      <c r="B257" s="14" t="s">
        <v>113</v>
      </c>
      <c r="C257" s="194"/>
      <c r="D257" s="120"/>
      <c r="E257" s="22" t="s">
        <v>140</v>
      </c>
      <c r="F257" s="22">
        <v>3</v>
      </c>
      <c r="G257" s="22">
        <f t="shared" si="18"/>
        <v>1</v>
      </c>
      <c r="H257" s="37">
        <v>1</v>
      </c>
    </row>
    <row r="258" spans="1:9" ht="15.95" customHeight="1" x14ac:dyDescent="0.3">
      <c r="A258" s="36">
        <f t="shared" si="17"/>
        <v>841</v>
      </c>
      <c r="B258" s="14" t="s">
        <v>657</v>
      </c>
      <c r="C258" s="194"/>
      <c r="D258" s="120"/>
      <c r="E258" s="22" t="s">
        <v>140</v>
      </c>
      <c r="F258" s="22">
        <v>3</v>
      </c>
      <c r="G258" s="22">
        <f t="shared" si="18"/>
        <v>1</v>
      </c>
      <c r="H258" s="37">
        <v>1</v>
      </c>
    </row>
    <row r="259" spans="1:9" ht="15.95" customHeight="1" x14ac:dyDescent="0.3">
      <c r="A259" s="36">
        <f t="shared" si="17"/>
        <v>842</v>
      </c>
      <c r="B259" s="14" t="s">
        <v>114</v>
      </c>
      <c r="C259" s="193"/>
      <c r="D259" s="119"/>
      <c r="E259" s="22" t="s">
        <v>140</v>
      </c>
      <c r="F259" s="22">
        <v>3</v>
      </c>
      <c r="G259" s="22">
        <f t="shared" si="18"/>
        <v>1</v>
      </c>
      <c r="H259" s="37">
        <v>1</v>
      </c>
    </row>
    <row r="260" spans="1:9" ht="15.95" customHeight="1" x14ac:dyDescent="0.3">
      <c r="A260" s="36">
        <f t="shared" si="17"/>
        <v>843</v>
      </c>
      <c r="B260" s="14" t="s">
        <v>115</v>
      </c>
      <c r="C260" s="194"/>
      <c r="D260" s="120"/>
      <c r="E260" s="22" t="s">
        <v>140</v>
      </c>
      <c r="F260" s="22">
        <v>3</v>
      </c>
      <c r="G260" s="22">
        <f t="shared" si="18"/>
        <v>1</v>
      </c>
      <c r="H260" s="37">
        <v>1</v>
      </c>
    </row>
    <row r="261" spans="1:9" ht="15.95" customHeight="1" x14ac:dyDescent="0.3">
      <c r="A261" s="36">
        <f t="shared" si="17"/>
        <v>844</v>
      </c>
      <c r="B261" s="14" t="s">
        <v>116</v>
      </c>
      <c r="C261" s="194"/>
      <c r="D261" s="120"/>
      <c r="E261" s="22" t="s">
        <v>140</v>
      </c>
      <c r="F261" s="22">
        <v>3</v>
      </c>
      <c r="G261" s="22">
        <f t="shared" si="18"/>
        <v>1</v>
      </c>
      <c r="H261" s="37">
        <v>1</v>
      </c>
    </row>
    <row r="262" spans="1:9" ht="15.95" customHeight="1" x14ac:dyDescent="0.3">
      <c r="A262" s="36">
        <f t="shared" si="17"/>
        <v>845</v>
      </c>
      <c r="B262" s="14" t="s">
        <v>658</v>
      </c>
      <c r="C262" s="194"/>
      <c r="D262" s="120"/>
      <c r="E262" s="22" t="s">
        <v>140</v>
      </c>
      <c r="F262" s="22">
        <v>3</v>
      </c>
      <c r="G262" s="22">
        <f t="shared" si="18"/>
        <v>1</v>
      </c>
      <c r="H262" s="37">
        <v>1</v>
      </c>
    </row>
    <row r="263" spans="1:9" ht="15.95" customHeight="1" x14ac:dyDescent="0.3">
      <c r="A263" s="36">
        <f t="shared" si="17"/>
        <v>846</v>
      </c>
      <c r="B263" s="17" t="s">
        <v>103</v>
      </c>
      <c r="C263" s="193"/>
      <c r="D263" s="119"/>
      <c r="E263" s="30" t="s">
        <v>140</v>
      </c>
      <c r="F263" s="134">
        <v>3</v>
      </c>
      <c r="G263" s="30">
        <f>IF(OR(E263="U16", E263="S16"),1,IF(E263="TS",6,2))</f>
        <v>1</v>
      </c>
      <c r="H263" s="136">
        <v>1</v>
      </c>
    </row>
    <row r="264" spans="1:9" ht="15.95" customHeight="1" x14ac:dyDescent="0.3">
      <c r="A264" s="36">
        <f t="shared" si="17"/>
        <v>847</v>
      </c>
      <c r="B264" s="17" t="s">
        <v>104</v>
      </c>
      <c r="C264" s="194"/>
      <c r="D264" s="120"/>
      <c r="E264" s="30" t="s">
        <v>140</v>
      </c>
      <c r="F264" s="134">
        <v>3</v>
      </c>
      <c r="G264" s="30">
        <f>IF(OR(E264="U16", E264="S16"),1,IF(E264="TS",6,2))</f>
        <v>1</v>
      </c>
      <c r="H264" s="136">
        <v>1</v>
      </c>
    </row>
    <row r="265" spans="1:9" ht="15.95" customHeight="1" x14ac:dyDescent="0.3">
      <c r="A265" s="36">
        <f t="shared" si="17"/>
        <v>848</v>
      </c>
      <c r="B265" s="17" t="s">
        <v>105</v>
      </c>
      <c r="C265" s="194"/>
      <c r="D265" s="120"/>
      <c r="E265" s="30" t="s">
        <v>140</v>
      </c>
      <c r="F265" s="134">
        <v>3</v>
      </c>
      <c r="G265" s="30">
        <f t="shared" si="18"/>
        <v>1</v>
      </c>
      <c r="H265" s="136">
        <v>1</v>
      </c>
    </row>
    <row r="266" spans="1:9" ht="15.95" customHeight="1" thickBot="1" x14ac:dyDescent="0.35">
      <c r="A266" s="38">
        <f t="shared" si="17"/>
        <v>849</v>
      </c>
      <c r="B266" s="137" t="s">
        <v>659</v>
      </c>
      <c r="C266" s="207"/>
      <c r="D266" s="130"/>
      <c r="E266" s="138" t="s">
        <v>140</v>
      </c>
      <c r="F266" s="140">
        <v>3</v>
      </c>
      <c r="G266" s="138">
        <f>IF(OR(E266="U16", E266="S16"),1,IF(E266="TS",6,2))</f>
        <v>1</v>
      </c>
      <c r="H266" s="139">
        <v>1</v>
      </c>
    </row>
    <row r="267" spans="1:9" ht="15.95" customHeight="1" thickBot="1" x14ac:dyDescent="0.35">
      <c r="A267" s="190" t="s">
        <v>159</v>
      </c>
      <c r="B267" s="191"/>
      <c r="C267" s="191"/>
      <c r="D267" s="191"/>
      <c r="E267" s="191"/>
      <c r="F267" s="191"/>
      <c r="G267" s="191"/>
      <c r="H267" s="192"/>
    </row>
    <row r="268" spans="1:9" ht="15.95" customHeight="1" x14ac:dyDescent="0.3">
      <c r="A268" s="32">
        <f>A266+G266*H266</f>
        <v>850</v>
      </c>
      <c r="B268" s="57" t="s">
        <v>117</v>
      </c>
      <c r="C268" s="58"/>
      <c r="D268" s="58"/>
      <c r="E268" s="53" t="s">
        <v>90</v>
      </c>
      <c r="F268" s="53">
        <v>3</v>
      </c>
      <c r="G268" s="53">
        <f t="shared" ref="G268:G292" si="19">IF(OR(E268="U16", E268="S16"),1,IF(E268="TS",6,2))</f>
        <v>2</v>
      </c>
      <c r="H268" s="35">
        <v>1</v>
      </c>
      <c r="I268" s="10">
        <v>850</v>
      </c>
    </row>
    <row r="269" spans="1:9" ht="15.95" customHeight="1" x14ac:dyDescent="0.3">
      <c r="A269" s="36">
        <f t="shared" ref="A269:A315" si="20">A268+(G268*H268)</f>
        <v>852</v>
      </c>
      <c r="B269" s="14" t="s">
        <v>118</v>
      </c>
      <c r="C269" s="12"/>
      <c r="D269" s="12"/>
      <c r="E269" s="22" t="s">
        <v>90</v>
      </c>
      <c r="F269" s="22">
        <v>3</v>
      </c>
      <c r="G269" s="22">
        <f t="shared" si="19"/>
        <v>2</v>
      </c>
      <c r="H269" s="37">
        <v>1</v>
      </c>
    </row>
    <row r="270" spans="1:9" ht="15.95" customHeight="1" x14ac:dyDescent="0.3">
      <c r="A270" s="36">
        <f t="shared" si="20"/>
        <v>854</v>
      </c>
      <c r="B270" s="14" t="s">
        <v>138</v>
      </c>
      <c r="C270" s="12"/>
      <c r="D270" s="12"/>
      <c r="E270" s="22" t="s">
        <v>140</v>
      </c>
      <c r="F270" s="22">
        <v>3</v>
      </c>
      <c r="G270" s="22">
        <f t="shared" si="19"/>
        <v>1</v>
      </c>
      <c r="H270" s="37">
        <v>1</v>
      </c>
    </row>
    <row r="271" spans="1:9" ht="15.95" customHeight="1" x14ac:dyDescent="0.3">
      <c r="A271" s="36">
        <f t="shared" si="20"/>
        <v>855</v>
      </c>
      <c r="B271" s="14" t="s">
        <v>139</v>
      </c>
      <c r="C271" s="12"/>
      <c r="D271" s="12"/>
      <c r="E271" s="22" t="s">
        <v>140</v>
      </c>
      <c r="F271" s="22">
        <v>3</v>
      </c>
      <c r="G271" s="22">
        <f t="shared" si="19"/>
        <v>1</v>
      </c>
      <c r="H271" s="37">
        <v>1</v>
      </c>
    </row>
    <row r="272" spans="1:9" ht="15.95" customHeight="1" x14ac:dyDescent="0.3">
      <c r="A272" s="36">
        <f t="shared" si="20"/>
        <v>856</v>
      </c>
      <c r="B272" s="14" t="s">
        <v>660</v>
      </c>
      <c r="C272" s="119">
        <v>0</v>
      </c>
      <c r="D272" s="119"/>
      <c r="E272" s="22" t="s">
        <v>140</v>
      </c>
      <c r="F272" s="22">
        <v>3</v>
      </c>
      <c r="G272" s="22">
        <f t="shared" si="19"/>
        <v>1</v>
      </c>
      <c r="H272" s="37">
        <v>1</v>
      </c>
    </row>
    <row r="273" spans="1:8" ht="15.95" customHeight="1" x14ac:dyDescent="0.3">
      <c r="A273" s="36">
        <f t="shared" si="20"/>
        <v>857</v>
      </c>
      <c r="B273" s="14" t="s">
        <v>661</v>
      </c>
      <c r="C273" s="11">
        <v>1</v>
      </c>
      <c r="D273" s="11"/>
      <c r="E273" s="22" t="s">
        <v>140</v>
      </c>
      <c r="F273" s="22">
        <v>3</v>
      </c>
      <c r="G273" s="22">
        <f t="shared" si="19"/>
        <v>1</v>
      </c>
      <c r="H273" s="37">
        <v>1</v>
      </c>
    </row>
    <row r="274" spans="1:8" ht="15.95" customHeight="1" x14ac:dyDescent="0.3">
      <c r="A274" s="36">
        <f t="shared" si="20"/>
        <v>858</v>
      </c>
      <c r="B274" s="14" t="s">
        <v>662</v>
      </c>
      <c r="C274" s="193">
        <v>2</v>
      </c>
      <c r="D274" s="119"/>
      <c r="E274" s="22" t="s">
        <v>140</v>
      </c>
      <c r="F274" s="22">
        <v>3</v>
      </c>
      <c r="G274" s="22">
        <f t="shared" si="19"/>
        <v>1</v>
      </c>
      <c r="H274" s="37">
        <v>1</v>
      </c>
    </row>
    <row r="275" spans="1:8" ht="15.95" customHeight="1" x14ac:dyDescent="0.3">
      <c r="A275" s="36">
        <f t="shared" si="20"/>
        <v>859</v>
      </c>
      <c r="B275" s="14" t="s">
        <v>663</v>
      </c>
      <c r="C275" s="194"/>
      <c r="D275" s="120"/>
      <c r="E275" s="22" t="s">
        <v>140</v>
      </c>
      <c r="F275" s="22">
        <v>3</v>
      </c>
      <c r="G275" s="22">
        <f t="shared" si="19"/>
        <v>1</v>
      </c>
      <c r="H275" s="37">
        <v>1</v>
      </c>
    </row>
    <row r="276" spans="1:8" ht="15.95" customHeight="1" x14ac:dyDescent="0.3">
      <c r="A276" s="36">
        <f t="shared" si="20"/>
        <v>860</v>
      </c>
      <c r="B276" s="14" t="s">
        <v>664</v>
      </c>
      <c r="C276" s="195"/>
      <c r="D276" s="11"/>
      <c r="E276" s="22" t="s">
        <v>140</v>
      </c>
      <c r="F276" s="22">
        <v>3</v>
      </c>
      <c r="G276" s="22">
        <f t="shared" si="19"/>
        <v>1</v>
      </c>
      <c r="H276" s="37">
        <v>1</v>
      </c>
    </row>
    <row r="277" spans="1:8" ht="15.95" customHeight="1" x14ac:dyDescent="0.3">
      <c r="A277" s="36">
        <f t="shared" si="20"/>
        <v>861</v>
      </c>
      <c r="B277" s="14" t="s">
        <v>665</v>
      </c>
      <c r="C277" s="193">
        <v>3</v>
      </c>
      <c r="D277" s="119"/>
      <c r="E277" s="22" t="s">
        <v>140</v>
      </c>
      <c r="F277" s="22">
        <v>3</v>
      </c>
      <c r="G277" s="22">
        <f t="shared" si="19"/>
        <v>1</v>
      </c>
      <c r="H277" s="37">
        <v>1</v>
      </c>
    </row>
    <row r="278" spans="1:8" ht="15.95" customHeight="1" x14ac:dyDescent="0.3">
      <c r="A278" s="36">
        <f t="shared" si="20"/>
        <v>862</v>
      </c>
      <c r="B278" s="14" t="s">
        <v>666</v>
      </c>
      <c r="C278" s="194"/>
      <c r="D278" s="120"/>
      <c r="E278" s="22" t="s">
        <v>140</v>
      </c>
      <c r="F278" s="22">
        <v>3</v>
      </c>
      <c r="G278" s="22">
        <f t="shared" si="19"/>
        <v>1</v>
      </c>
      <c r="H278" s="37">
        <v>1</v>
      </c>
    </row>
    <row r="279" spans="1:8" ht="15.95" customHeight="1" x14ac:dyDescent="0.3">
      <c r="A279" s="36">
        <f t="shared" si="20"/>
        <v>863</v>
      </c>
      <c r="B279" s="14" t="s">
        <v>667</v>
      </c>
      <c r="C279" s="195"/>
      <c r="D279" s="11"/>
      <c r="E279" s="22" t="s">
        <v>140</v>
      </c>
      <c r="F279" s="22">
        <v>3</v>
      </c>
      <c r="G279" s="22">
        <f t="shared" si="19"/>
        <v>1</v>
      </c>
      <c r="H279" s="37">
        <v>1</v>
      </c>
    </row>
    <row r="280" spans="1:8" ht="15.95" customHeight="1" x14ac:dyDescent="0.3">
      <c r="A280" s="36">
        <f t="shared" si="20"/>
        <v>864</v>
      </c>
      <c r="B280" s="14" t="s">
        <v>668</v>
      </c>
      <c r="C280" s="12">
        <v>4</v>
      </c>
      <c r="D280" s="12"/>
      <c r="E280" s="22" t="s">
        <v>140</v>
      </c>
      <c r="F280" s="22">
        <v>3</v>
      </c>
      <c r="G280" s="22">
        <f t="shared" si="19"/>
        <v>1</v>
      </c>
      <c r="H280" s="37">
        <v>1</v>
      </c>
    </row>
    <row r="281" spans="1:8" ht="15.95" customHeight="1" x14ac:dyDescent="0.3">
      <c r="A281" s="36">
        <f t="shared" si="20"/>
        <v>865</v>
      </c>
      <c r="B281" s="14" t="s">
        <v>669</v>
      </c>
      <c r="C281" s="196">
        <v>5</v>
      </c>
      <c r="D281" s="12"/>
      <c r="E281" s="22" t="s">
        <v>140</v>
      </c>
      <c r="F281" s="22">
        <v>3</v>
      </c>
      <c r="G281" s="22">
        <f t="shared" si="19"/>
        <v>1</v>
      </c>
      <c r="H281" s="37">
        <v>1</v>
      </c>
    </row>
    <row r="282" spans="1:8" ht="15.95" customHeight="1" x14ac:dyDescent="0.3">
      <c r="A282" s="36">
        <f t="shared" si="20"/>
        <v>866</v>
      </c>
      <c r="B282" s="14" t="s">
        <v>670</v>
      </c>
      <c r="C282" s="196"/>
      <c r="D282" s="12"/>
      <c r="E282" s="22" t="s">
        <v>140</v>
      </c>
      <c r="F282" s="22">
        <v>3</v>
      </c>
      <c r="G282" s="22">
        <f t="shared" si="19"/>
        <v>1</v>
      </c>
      <c r="H282" s="37">
        <v>1</v>
      </c>
    </row>
    <row r="283" spans="1:8" ht="15.95" customHeight="1" x14ac:dyDescent="0.3">
      <c r="A283" s="36">
        <f t="shared" si="20"/>
        <v>867</v>
      </c>
      <c r="B283" s="14" t="s">
        <v>671</v>
      </c>
      <c r="C283" s="196"/>
      <c r="D283" s="12"/>
      <c r="E283" s="22" t="s">
        <v>140</v>
      </c>
      <c r="F283" s="22">
        <v>3</v>
      </c>
      <c r="G283" s="22">
        <f t="shared" si="19"/>
        <v>1</v>
      </c>
      <c r="H283" s="37">
        <v>1</v>
      </c>
    </row>
    <row r="284" spans="1:8" ht="15.95" customHeight="1" x14ac:dyDescent="0.3">
      <c r="A284" s="36">
        <f t="shared" si="20"/>
        <v>868</v>
      </c>
      <c r="B284" s="14" t="s">
        <v>672</v>
      </c>
      <c r="C284" s="196">
        <v>6</v>
      </c>
      <c r="D284" s="12"/>
      <c r="E284" s="22" t="s">
        <v>140</v>
      </c>
      <c r="F284" s="22">
        <v>3</v>
      </c>
      <c r="G284" s="22">
        <f t="shared" si="19"/>
        <v>1</v>
      </c>
      <c r="H284" s="37">
        <v>1</v>
      </c>
    </row>
    <row r="285" spans="1:8" ht="15.95" customHeight="1" x14ac:dyDescent="0.3">
      <c r="A285" s="36">
        <f t="shared" si="20"/>
        <v>869</v>
      </c>
      <c r="B285" s="14" t="s">
        <v>673</v>
      </c>
      <c r="C285" s="196"/>
      <c r="D285" s="12"/>
      <c r="E285" s="22" t="s">
        <v>140</v>
      </c>
      <c r="F285" s="22">
        <v>3</v>
      </c>
      <c r="G285" s="22">
        <f t="shared" si="19"/>
        <v>1</v>
      </c>
      <c r="H285" s="37">
        <v>1</v>
      </c>
    </row>
    <row r="286" spans="1:8" ht="15.95" customHeight="1" x14ac:dyDescent="0.3">
      <c r="A286" s="36">
        <f t="shared" si="20"/>
        <v>870</v>
      </c>
      <c r="B286" s="14" t="s">
        <v>674</v>
      </c>
      <c r="C286" s="196"/>
      <c r="D286" s="12"/>
      <c r="E286" s="22" t="s">
        <v>140</v>
      </c>
      <c r="F286" s="22">
        <v>3</v>
      </c>
      <c r="G286" s="22">
        <f t="shared" si="19"/>
        <v>1</v>
      </c>
      <c r="H286" s="37">
        <v>1</v>
      </c>
    </row>
    <row r="287" spans="1:8" ht="15.95" customHeight="1" x14ac:dyDescent="0.3">
      <c r="A287" s="36">
        <f t="shared" si="20"/>
        <v>871</v>
      </c>
      <c r="B287" s="17" t="s">
        <v>675</v>
      </c>
      <c r="C287" s="216">
        <v>7</v>
      </c>
      <c r="D287" s="121"/>
      <c r="E287" s="30" t="s">
        <v>140</v>
      </c>
      <c r="F287" s="134">
        <v>3</v>
      </c>
      <c r="G287" s="30">
        <f t="shared" si="19"/>
        <v>1</v>
      </c>
      <c r="H287" s="136">
        <v>1</v>
      </c>
    </row>
    <row r="288" spans="1:8" ht="15.95" customHeight="1" x14ac:dyDescent="0.3">
      <c r="A288" s="36">
        <f t="shared" si="20"/>
        <v>872</v>
      </c>
      <c r="B288" s="17" t="s">
        <v>676</v>
      </c>
      <c r="C288" s="217"/>
      <c r="D288" s="122"/>
      <c r="E288" s="30" t="s">
        <v>140</v>
      </c>
      <c r="F288" s="134">
        <v>3</v>
      </c>
      <c r="G288" s="30">
        <f t="shared" si="19"/>
        <v>1</v>
      </c>
      <c r="H288" s="136">
        <v>1</v>
      </c>
    </row>
    <row r="289" spans="1:9" ht="15.95" customHeight="1" x14ac:dyDescent="0.3">
      <c r="A289" s="36">
        <f t="shared" si="20"/>
        <v>873</v>
      </c>
      <c r="B289" s="17" t="s">
        <v>677</v>
      </c>
      <c r="C289" s="218"/>
      <c r="D289" s="123"/>
      <c r="E289" s="30" t="s">
        <v>140</v>
      </c>
      <c r="F289" s="134">
        <v>3</v>
      </c>
      <c r="G289" s="30">
        <f t="shared" si="19"/>
        <v>1</v>
      </c>
      <c r="H289" s="136">
        <v>1</v>
      </c>
    </row>
    <row r="290" spans="1:9" ht="15.95" customHeight="1" x14ac:dyDescent="0.3">
      <c r="A290" s="36">
        <f t="shared" si="20"/>
        <v>874</v>
      </c>
      <c r="B290" s="17" t="s">
        <v>678</v>
      </c>
      <c r="C290" s="216">
        <v>8</v>
      </c>
      <c r="D290" s="121"/>
      <c r="E290" s="30" t="s">
        <v>140</v>
      </c>
      <c r="F290" s="134">
        <v>3</v>
      </c>
      <c r="G290" s="30">
        <f t="shared" si="19"/>
        <v>1</v>
      </c>
      <c r="H290" s="136">
        <v>1</v>
      </c>
    </row>
    <row r="291" spans="1:9" ht="15.95" customHeight="1" x14ac:dyDescent="0.3">
      <c r="A291" s="36">
        <f t="shared" si="20"/>
        <v>875</v>
      </c>
      <c r="B291" s="17" t="s">
        <v>679</v>
      </c>
      <c r="C291" s="217"/>
      <c r="D291" s="122"/>
      <c r="E291" s="30" t="s">
        <v>140</v>
      </c>
      <c r="F291" s="134">
        <v>3</v>
      </c>
      <c r="G291" s="30">
        <f t="shared" si="19"/>
        <v>1</v>
      </c>
      <c r="H291" s="136">
        <v>1</v>
      </c>
    </row>
    <row r="292" spans="1:9" ht="15.95" customHeight="1" x14ac:dyDescent="0.3">
      <c r="A292" s="36">
        <f t="shared" si="20"/>
        <v>876</v>
      </c>
      <c r="B292" s="17" t="s">
        <v>680</v>
      </c>
      <c r="C292" s="218"/>
      <c r="D292" s="123"/>
      <c r="E292" s="30" t="s">
        <v>140</v>
      </c>
      <c r="F292" s="134">
        <v>3</v>
      </c>
      <c r="G292" s="30">
        <f t="shared" si="19"/>
        <v>1</v>
      </c>
      <c r="H292" s="136">
        <v>1</v>
      </c>
    </row>
    <row r="293" spans="1:9" ht="15.95" customHeight="1" x14ac:dyDescent="0.3">
      <c r="A293" s="36">
        <f t="shared" si="20"/>
        <v>877</v>
      </c>
      <c r="B293" s="17" t="s">
        <v>681</v>
      </c>
      <c r="C293" s="216">
        <v>9</v>
      </c>
      <c r="D293" s="121"/>
      <c r="E293" s="30" t="s">
        <v>140</v>
      </c>
      <c r="F293" s="134">
        <v>3</v>
      </c>
      <c r="G293" s="30">
        <f t="shared" ref="G293:G315" si="21">IF(OR(E293="U16", E293="S16"),1,IF(E293="TS",6,2))</f>
        <v>1</v>
      </c>
      <c r="H293" s="136">
        <v>1</v>
      </c>
    </row>
    <row r="294" spans="1:9" ht="15.95" customHeight="1" x14ac:dyDescent="0.3">
      <c r="A294" s="36">
        <f t="shared" si="20"/>
        <v>878</v>
      </c>
      <c r="B294" s="17" t="s">
        <v>682</v>
      </c>
      <c r="C294" s="217"/>
      <c r="D294" s="122"/>
      <c r="E294" s="30" t="s">
        <v>140</v>
      </c>
      <c r="F294" s="134">
        <v>3</v>
      </c>
      <c r="G294" s="30">
        <f t="shared" si="21"/>
        <v>1</v>
      </c>
      <c r="H294" s="136">
        <v>1</v>
      </c>
    </row>
    <row r="295" spans="1:9" ht="15.95" customHeight="1" x14ac:dyDescent="0.3">
      <c r="A295" s="36">
        <f t="shared" si="20"/>
        <v>879</v>
      </c>
      <c r="B295" s="17" t="s">
        <v>683</v>
      </c>
      <c r="C295" s="218"/>
      <c r="D295" s="123"/>
      <c r="E295" s="30" t="s">
        <v>140</v>
      </c>
      <c r="F295" s="134">
        <v>3</v>
      </c>
      <c r="G295" s="30">
        <f t="shared" si="21"/>
        <v>1</v>
      </c>
      <c r="H295" s="136">
        <v>1</v>
      </c>
    </row>
    <row r="296" spans="1:9" ht="15.95" customHeight="1" x14ac:dyDescent="0.3">
      <c r="A296" s="36">
        <f t="shared" si="20"/>
        <v>880</v>
      </c>
      <c r="B296" s="14" t="s">
        <v>106</v>
      </c>
      <c r="C296" s="193"/>
      <c r="D296" s="119"/>
      <c r="E296" s="22" t="s">
        <v>140</v>
      </c>
      <c r="F296" s="22">
        <v>3</v>
      </c>
      <c r="G296" s="22">
        <f t="shared" si="21"/>
        <v>1</v>
      </c>
      <c r="H296" s="37">
        <v>1</v>
      </c>
    </row>
    <row r="297" spans="1:9" ht="15.95" customHeight="1" x14ac:dyDescent="0.3">
      <c r="A297" s="36">
        <f t="shared" si="20"/>
        <v>881</v>
      </c>
      <c r="B297" s="14" t="s">
        <v>107</v>
      </c>
      <c r="C297" s="194"/>
      <c r="D297" s="120"/>
      <c r="E297" s="22" t="s">
        <v>140</v>
      </c>
      <c r="F297" s="22">
        <v>3</v>
      </c>
      <c r="G297" s="22">
        <f t="shared" si="21"/>
        <v>1</v>
      </c>
      <c r="H297" s="37">
        <v>1</v>
      </c>
      <c r="I297" s="197" t="s">
        <v>141</v>
      </c>
    </row>
    <row r="298" spans="1:9" ht="15.95" customHeight="1" x14ac:dyDescent="0.3">
      <c r="A298" s="36">
        <f t="shared" si="20"/>
        <v>882</v>
      </c>
      <c r="B298" s="14" t="s">
        <v>654</v>
      </c>
      <c r="C298" s="194"/>
      <c r="D298" s="120"/>
      <c r="E298" s="22" t="s">
        <v>140</v>
      </c>
      <c r="F298" s="22">
        <v>3</v>
      </c>
      <c r="G298" s="22">
        <f t="shared" si="21"/>
        <v>1</v>
      </c>
      <c r="H298" s="37">
        <v>1</v>
      </c>
      <c r="I298" s="197"/>
    </row>
    <row r="299" spans="1:9" ht="15.95" customHeight="1" x14ac:dyDescent="0.3">
      <c r="A299" s="36">
        <f t="shared" si="20"/>
        <v>883</v>
      </c>
      <c r="B299" s="15" t="s">
        <v>655</v>
      </c>
      <c r="C299" s="194"/>
      <c r="D299" s="120"/>
      <c r="E299" s="22" t="s">
        <v>140</v>
      </c>
      <c r="F299" s="22">
        <v>3</v>
      </c>
      <c r="G299" s="22">
        <f t="shared" si="21"/>
        <v>1</v>
      </c>
      <c r="H299" s="37">
        <v>1</v>
      </c>
      <c r="I299" s="197"/>
    </row>
    <row r="300" spans="1:9" ht="15.95" customHeight="1" x14ac:dyDescent="0.3">
      <c r="A300" s="36">
        <f t="shared" si="20"/>
        <v>884</v>
      </c>
      <c r="B300" s="14" t="s">
        <v>108</v>
      </c>
      <c r="C300" s="193"/>
      <c r="D300" s="119"/>
      <c r="E300" s="22" t="s">
        <v>140</v>
      </c>
      <c r="F300" s="22">
        <v>3</v>
      </c>
      <c r="G300" s="22">
        <f t="shared" si="21"/>
        <v>1</v>
      </c>
      <c r="H300" s="37">
        <v>1</v>
      </c>
    </row>
    <row r="301" spans="1:9" ht="15.95" customHeight="1" x14ac:dyDescent="0.3">
      <c r="A301" s="36">
        <f t="shared" si="20"/>
        <v>885</v>
      </c>
      <c r="B301" s="14" t="s">
        <v>109</v>
      </c>
      <c r="C301" s="194"/>
      <c r="D301" s="120"/>
      <c r="E301" s="22" t="s">
        <v>140</v>
      </c>
      <c r="F301" s="22">
        <v>3</v>
      </c>
      <c r="G301" s="22">
        <f t="shared" si="21"/>
        <v>1</v>
      </c>
      <c r="H301" s="37">
        <v>1</v>
      </c>
    </row>
    <row r="302" spans="1:9" ht="15.95" customHeight="1" x14ac:dyDescent="0.3">
      <c r="A302" s="36">
        <f t="shared" si="20"/>
        <v>886</v>
      </c>
      <c r="B302" s="14" t="s">
        <v>110</v>
      </c>
      <c r="C302" s="194"/>
      <c r="D302" s="120"/>
      <c r="E302" s="22" t="s">
        <v>140</v>
      </c>
      <c r="F302" s="22">
        <v>3</v>
      </c>
      <c r="G302" s="22">
        <f t="shared" si="21"/>
        <v>1</v>
      </c>
      <c r="H302" s="37">
        <v>1</v>
      </c>
    </row>
    <row r="303" spans="1:9" ht="15.95" customHeight="1" x14ac:dyDescent="0.3">
      <c r="A303" s="36">
        <f t="shared" si="20"/>
        <v>887</v>
      </c>
      <c r="B303" s="14" t="s">
        <v>656</v>
      </c>
      <c r="C303" s="194"/>
      <c r="D303" s="120"/>
      <c r="E303" s="22" t="s">
        <v>140</v>
      </c>
      <c r="F303" s="22">
        <v>3</v>
      </c>
      <c r="G303" s="22">
        <f t="shared" si="21"/>
        <v>1</v>
      </c>
      <c r="H303" s="37">
        <v>1</v>
      </c>
    </row>
    <row r="304" spans="1:9" ht="15.95" customHeight="1" x14ac:dyDescent="0.3">
      <c r="A304" s="36">
        <f t="shared" si="20"/>
        <v>888</v>
      </c>
      <c r="B304" s="14" t="s">
        <v>111</v>
      </c>
      <c r="C304" s="193"/>
      <c r="D304" s="119"/>
      <c r="E304" s="22" t="s">
        <v>140</v>
      </c>
      <c r="F304" s="22">
        <v>3</v>
      </c>
      <c r="G304" s="22">
        <f t="shared" si="21"/>
        <v>1</v>
      </c>
      <c r="H304" s="37">
        <v>1</v>
      </c>
    </row>
    <row r="305" spans="1:8" ht="15.95" customHeight="1" x14ac:dyDescent="0.3">
      <c r="A305" s="36">
        <f t="shared" si="20"/>
        <v>889</v>
      </c>
      <c r="B305" s="14" t="s">
        <v>112</v>
      </c>
      <c r="C305" s="194"/>
      <c r="D305" s="120"/>
      <c r="E305" s="22" t="s">
        <v>140</v>
      </c>
      <c r="F305" s="22">
        <v>3</v>
      </c>
      <c r="G305" s="22">
        <f t="shared" si="21"/>
        <v>1</v>
      </c>
      <c r="H305" s="37">
        <v>1</v>
      </c>
    </row>
    <row r="306" spans="1:8" ht="15.95" customHeight="1" x14ac:dyDescent="0.3">
      <c r="A306" s="36">
        <f t="shared" si="20"/>
        <v>890</v>
      </c>
      <c r="B306" s="14" t="s">
        <v>113</v>
      </c>
      <c r="C306" s="194"/>
      <c r="D306" s="120"/>
      <c r="E306" s="22" t="s">
        <v>140</v>
      </c>
      <c r="F306" s="22">
        <v>3</v>
      </c>
      <c r="G306" s="22">
        <f t="shared" si="21"/>
        <v>1</v>
      </c>
      <c r="H306" s="37">
        <v>1</v>
      </c>
    </row>
    <row r="307" spans="1:8" ht="15.95" customHeight="1" x14ac:dyDescent="0.3">
      <c r="A307" s="36">
        <f t="shared" si="20"/>
        <v>891</v>
      </c>
      <c r="B307" s="14" t="s">
        <v>657</v>
      </c>
      <c r="C307" s="194"/>
      <c r="D307" s="120"/>
      <c r="E307" s="22" t="s">
        <v>140</v>
      </c>
      <c r="F307" s="22">
        <v>3</v>
      </c>
      <c r="G307" s="22">
        <f t="shared" si="21"/>
        <v>1</v>
      </c>
      <c r="H307" s="37">
        <v>1</v>
      </c>
    </row>
    <row r="308" spans="1:8" ht="15.95" customHeight="1" x14ac:dyDescent="0.3">
      <c r="A308" s="36">
        <f t="shared" si="20"/>
        <v>892</v>
      </c>
      <c r="B308" s="14" t="s">
        <v>114</v>
      </c>
      <c r="C308" s="193"/>
      <c r="D308" s="119"/>
      <c r="E308" s="22" t="s">
        <v>140</v>
      </c>
      <c r="F308" s="22">
        <v>3</v>
      </c>
      <c r="G308" s="22">
        <f t="shared" si="21"/>
        <v>1</v>
      </c>
      <c r="H308" s="37">
        <v>1</v>
      </c>
    </row>
    <row r="309" spans="1:8" ht="15.95" customHeight="1" x14ac:dyDescent="0.3">
      <c r="A309" s="36">
        <f t="shared" si="20"/>
        <v>893</v>
      </c>
      <c r="B309" s="14" t="s">
        <v>115</v>
      </c>
      <c r="C309" s="194"/>
      <c r="D309" s="120"/>
      <c r="E309" s="22" t="s">
        <v>140</v>
      </c>
      <c r="F309" s="22">
        <v>3</v>
      </c>
      <c r="G309" s="22">
        <f t="shared" si="21"/>
        <v>1</v>
      </c>
      <c r="H309" s="37">
        <v>1</v>
      </c>
    </row>
    <row r="310" spans="1:8" ht="15.95" customHeight="1" x14ac:dyDescent="0.3">
      <c r="A310" s="36">
        <f t="shared" si="20"/>
        <v>894</v>
      </c>
      <c r="B310" s="14" t="s">
        <v>116</v>
      </c>
      <c r="C310" s="194"/>
      <c r="D310" s="120"/>
      <c r="E310" s="22" t="s">
        <v>140</v>
      </c>
      <c r="F310" s="22">
        <v>3</v>
      </c>
      <c r="G310" s="22">
        <f t="shared" si="21"/>
        <v>1</v>
      </c>
      <c r="H310" s="37">
        <v>1</v>
      </c>
    </row>
    <row r="311" spans="1:8" ht="15.95" customHeight="1" x14ac:dyDescent="0.3">
      <c r="A311" s="36">
        <f t="shared" si="20"/>
        <v>895</v>
      </c>
      <c r="B311" s="14" t="s">
        <v>658</v>
      </c>
      <c r="C311" s="194"/>
      <c r="D311" s="120"/>
      <c r="E311" s="22" t="s">
        <v>140</v>
      </c>
      <c r="F311" s="22">
        <v>3</v>
      </c>
      <c r="G311" s="22">
        <f t="shared" si="21"/>
        <v>1</v>
      </c>
      <c r="H311" s="37">
        <v>1</v>
      </c>
    </row>
    <row r="312" spans="1:8" ht="15.95" customHeight="1" x14ac:dyDescent="0.3">
      <c r="A312" s="36">
        <f t="shared" si="20"/>
        <v>896</v>
      </c>
      <c r="B312" s="17" t="s">
        <v>103</v>
      </c>
      <c r="C312" s="193"/>
      <c r="D312" s="119"/>
      <c r="E312" s="30" t="s">
        <v>140</v>
      </c>
      <c r="F312" s="134">
        <v>3</v>
      </c>
      <c r="G312" s="30">
        <f t="shared" si="21"/>
        <v>1</v>
      </c>
      <c r="H312" s="136">
        <v>1</v>
      </c>
    </row>
    <row r="313" spans="1:8" ht="15.95" customHeight="1" x14ac:dyDescent="0.3">
      <c r="A313" s="36">
        <f t="shared" si="20"/>
        <v>897</v>
      </c>
      <c r="B313" s="17" t="s">
        <v>104</v>
      </c>
      <c r="C313" s="194"/>
      <c r="D313" s="120"/>
      <c r="E313" s="30" t="s">
        <v>140</v>
      </c>
      <c r="F313" s="134">
        <v>3</v>
      </c>
      <c r="G313" s="30">
        <f t="shared" si="21"/>
        <v>1</v>
      </c>
      <c r="H313" s="136">
        <v>1</v>
      </c>
    </row>
    <row r="314" spans="1:8" ht="15.95" customHeight="1" x14ac:dyDescent="0.3">
      <c r="A314" s="36">
        <f t="shared" si="20"/>
        <v>898</v>
      </c>
      <c r="B314" s="17" t="s">
        <v>105</v>
      </c>
      <c r="C314" s="194"/>
      <c r="D314" s="120"/>
      <c r="E314" s="30" t="s">
        <v>140</v>
      </c>
      <c r="F314" s="134">
        <v>3</v>
      </c>
      <c r="G314" s="30">
        <f t="shared" si="21"/>
        <v>1</v>
      </c>
      <c r="H314" s="136">
        <v>1</v>
      </c>
    </row>
    <row r="315" spans="1:8" ht="15.95" customHeight="1" thickBot="1" x14ac:dyDescent="0.35">
      <c r="A315" s="38">
        <f t="shared" si="20"/>
        <v>899</v>
      </c>
      <c r="B315" s="137" t="s">
        <v>659</v>
      </c>
      <c r="C315" s="207"/>
      <c r="D315" s="130"/>
      <c r="E315" s="138" t="s">
        <v>140</v>
      </c>
      <c r="F315" s="140">
        <v>3</v>
      </c>
      <c r="G315" s="138">
        <f t="shared" si="21"/>
        <v>1</v>
      </c>
      <c r="H315" s="139">
        <v>1</v>
      </c>
    </row>
    <row r="316" spans="1:8" ht="15.95" customHeight="1" thickBot="1" x14ac:dyDescent="0.35">
      <c r="A316" s="190" t="s">
        <v>102</v>
      </c>
      <c r="B316" s="191"/>
      <c r="C316" s="191"/>
      <c r="D316" s="191"/>
      <c r="E316" s="191"/>
      <c r="F316" s="191"/>
      <c r="G316" s="191"/>
      <c r="H316" s="192"/>
    </row>
    <row r="317" spans="1:8" ht="15.95" customHeight="1" x14ac:dyDescent="0.3">
      <c r="A317" s="32">
        <f>A315+G315*H315</f>
        <v>900</v>
      </c>
      <c r="B317" s="57" t="s">
        <v>93</v>
      </c>
      <c r="C317" s="58"/>
      <c r="D317" s="58"/>
      <c r="E317" s="53" t="s">
        <v>129</v>
      </c>
      <c r="F317" s="53">
        <v>3</v>
      </c>
      <c r="G317" s="53">
        <f t="shared" ref="G317:G326" si="22">IF(OR(E317="U16", E317="S16"),1,IF(E317="TS",6,2))</f>
        <v>1</v>
      </c>
      <c r="H317" s="35">
        <v>64</v>
      </c>
    </row>
    <row r="318" spans="1:8" ht="15.95" customHeight="1" x14ac:dyDescent="0.3">
      <c r="A318" s="36">
        <f t="shared" ref="A318:A326" si="23">A317+(G317*H317)</f>
        <v>964</v>
      </c>
      <c r="B318" s="14" t="s">
        <v>94</v>
      </c>
      <c r="C318" s="12"/>
      <c r="D318" s="12"/>
      <c r="E318" s="22" t="s">
        <v>129</v>
      </c>
      <c r="F318" s="22">
        <v>3</v>
      </c>
      <c r="G318" s="22">
        <f t="shared" si="22"/>
        <v>1</v>
      </c>
      <c r="H318" s="37">
        <v>64</v>
      </c>
    </row>
    <row r="319" spans="1:8" ht="15.95" customHeight="1" x14ac:dyDescent="0.3">
      <c r="A319" s="36">
        <f t="shared" si="23"/>
        <v>1028</v>
      </c>
      <c r="B319" s="14" t="s">
        <v>95</v>
      </c>
      <c r="C319" s="12"/>
      <c r="D319" s="12"/>
      <c r="E319" s="22" t="s">
        <v>129</v>
      </c>
      <c r="F319" s="22">
        <v>3</v>
      </c>
      <c r="G319" s="22">
        <f t="shared" si="22"/>
        <v>1</v>
      </c>
      <c r="H319" s="37">
        <v>64</v>
      </c>
    </row>
    <row r="320" spans="1:8" ht="15.95" customHeight="1" x14ac:dyDescent="0.3">
      <c r="A320" s="36">
        <f t="shared" si="23"/>
        <v>1092</v>
      </c>
      <c r="B320" s="14" t="s">
        <v>96</v>
      </c>
      <c r="C320" s="12"/>
      <c r="D320" s="12"/>
      <c r="E320" s="22" t="s">
        <v>129</v>
      </c>
      <c r="F320" s="22">
        <v>3</v>
      </c>
      <c r="G320" s="22">
        <f t="shared" si="22"/>
        <v>1</v>
      </c>
      <c r="H320" s="37">
        <v>64</v>
      </c>
    </row>
    <row r="321" spans="1:9" ht="15.95" customHeight="1" x14ac:dyDescent="0.3">
      <c r="A321" s="36">
        <f t="shared" si="23"/>
        <v>1156</v>
      </c>
      <c r="B321" s="14" t="s">
        <v>97</v>
      </c>
      <c r="C321" s="12"/>
      <c r="D321" s="12"/>
      <c r="E321" s="22" t="s">
        <v>129</v>
      </c>
      <c r="F321" s="22">
        <v>3</v>
      </c>
      <c r="G321" s="22">
        <f t="shared" si="22"/>
        <v>1</v>
      </c>
      <c r="H321" s="37">
        <v>64</v>
      </c>
    </row>
    <row r="322" spans="1:9" ht="15.95" customHeight="1" x14ac:dyDescent="0.3">
      <c r="A322" s="36">
        <f t="shared" si="23"/>
        <v>1220</v>
      </c>
      <c r="B322" s="14" t="s">
        <v>98</v>
      </c>
      <c r="C322" s="12"/>
      <c r="D322" s="12"/>
      <c r="E322" s="22" t="s">
        <v>129</v>
      </c>
      <c r="F322" s="22">
        <v>3</v>
      </c>
      <c r="G322" s="22">
        <f t="shared" si="22"/>
        <v>1</v>
      </c>
      <c r="H322" s="37">
        <v>64</v>
      </c>
    </row>
    <row r="323" spans="1:9" ht="15.95" customHeight="1" x14ac:dyDescent="0.3">
      <c r="A323" s="36">
        <f t="shared" si="23"/>
        <v>1284</v>
      </c>
      <c r="B323" s="14" t="s">
        <v>99</v>
      </c>
      <c r="C323" s="12"/>
      <c r="D323" s="12"/>
      <c r="E323" s="22" t="s">
        <v>129</v>
      </c>
      <c r="F323" s="22">
        <v>3</v>
      </c>
      <c r="G323" s="22">
        <f t="shared" si="22"/>
        <v>1</v>
      </c>
      <c r="H323" s="37">
        <v>64</v>
      </c>
    </row>
    <row r="324" spans="1:9" ht="15.95" customHeight="1" x14ac:dyDescent="0.3">
      <c r="A324" s="36">
        <f t="shared" si="23"/>
        <v>1348</v>
      </c>
      <c r="B324" s="14" t="s">
        <v>100</v>
      </c>
      <c r="C324" s="12"/>
      <c r="D324" s="12"/>
      <c r="E324" s="22" t="s">
        <v>129</v>
      </c>
      <c r="F324" s="22">
        <v>3</v>
      </c>
      <c r="G324" s="22">
        <f t="shared" si="22"/>
        <v>1</v>
      </c>
      <c r="H324" s="37">
        <v>64</v>
      </c>
    </row>
    <row r="325" spans="1:9" ht="15.95" customHeight="1" x14ac:dyDescent="0.3">
      <c r="A325" s="36">
        <f t="shared" si="23"/>
        <v>1412</v>
      </c>
      <c r="B325" s="14" t="s">
        <v>101</v>
      </c>
      <c r="C325" s="12"/>
      <c r="D325" s="12"/>
      <c r="E325" s="22" t="s">
        <v>129</v>
      </c>
      <c r="F325" s="22">
        <v>3</v>
      </c>
      <c r="G325" s="22">
        <f t="shared" si="22"/>
        <v>1</v>
      </c>
      <c r="H325" s="37">
        <v>64</v>
      </c>
    </row>
    <row r="326" spans="1:9" ht="15.95" customHeight="1" thickBot="1" x14ac:dyDescent="0.35">
      <c r="A326" s="38">
        <f t="shared" si="23"/>
        <v>1476</v>
      </c>
      <c r="B326" s="60" t="s">
        <v>119</v>
      </c>
      <c r="C326" s="61"/>
      <c r="D326" s="61"/>
      <c r="E326" s="62" t="s">
        <v>129</v>
      </c>
      <c r="F326" s="62"/>
      <c r="G326" s="62">
        <f t="shared" si="22"/>
        <v>1</v>
      </c>
      <c r="H326" s="41">
        <v>24</v>
      </c>
      <c r="I326" s="10">
        <f>A326-A317</f>
        <v>576</v>
      </c>
    </row>
    <row r="327" spans="1:9" ht="15.95" customHeight="1" thickBot="1" x14ac:dyDescent="0.35">
      <c r="A327" s="190" t="s">
        <v>145</v>
      </c>
      <c r="B327" s="191"/>
      <c r="C327" s="191"/>
      <c r="D327" s="191"/>
      <c r="E327" s="191"/>
      <c r="F327" s="191"/>
      <c r="G327" s="191"/>
      <c r="H327" s="192"/>
    </row>
    <row r="328" spans="1:9" ht="15.95" customHeight="1" x14ac:dyDescent="0.3">
      <c r="A328" s="32">
        <f>A326+(G326*H326)</f>
        <v>1500</v>
      </c>
      <c r="B328" s="57" t="s">
        <v>93</v>
      </c>
      <c r="C328" s="58"/>
      <c r="D328" s="58"/>
      <c r="E328" s="53" t="s">
        <v>129</v>
      </c>
      <c r="F328" s="53">
        <v>3</v>
      </c>
      <c r="G328" s="53">
        <f t="shared" ref="G328:G337" si="24">IF(OR(E328="U16", E328="S16"),1,IF(E328="TS",6,2))</f>
        <v>1</v>
      </c>
      <c r="H328" s="35">
        <v>80</v>
      </c>
    </row>
    <row r="329" spans="1:9" ht="15.95" customHeight="1" x14ac:dyDescent="0.3">
      <c r="A329" s="36">
        <f t="shared" ref="A329:A337" si="25">A328+(G328*H328)</f>
        <v>1580</v>
      </c>
      <c r="B329" s="14" t="s">
        <v>94</v>
      </c>
      <c r="C329" s="12"/>
      <c r="D329" s="12"/>
      <c r="E329" s="22" t="s">
        <v>129</v>
      </c>
      <c r="F329" s="22">
        <v>3</v>
      </c>
      <c r="G329" s="22">
        <f t="shared" si="24"/>
        <v>1</v>
      </c>
      <c r="H329" s="37">
        <v>80</v>
      </c>
    </row>
    <row r="330" spans="1:9" ht="15.95" customHeight="1" x14ac:dyDescent="0.3">
      <c r="A330" s="36">
        <f t="shared" si="25"/>
        <v>1660</v>
      </c>
      <c r="B330" s="14" t="s">
        <v>95</v>
      </c>
      <c r="C330" s="12"/>
      <c r="D330" s="12"/>
      <c r="E330" s="22" t="s">
        <v>129</v>
      </c>
      <c r="F330" s="22">
        <v>3</v>
      </c>
      <c r="G330" s="22">
        <f t="shared" si="24"/>
        <v>1</v>
      </c>
      <c r="H330" s="37">
        <v>80</v>
      </c>
    </row>
    <row r="331" spans="1:9" ht="15.95" customHeight="1" x14ac:dyDescent="0.3">
      <c r="A331" s="36">
        <f t="shared" si="25"/>
        <v>1740</v>
      </c>
      <c r="B331" s="14" t="s">
        <v>96</v>
      </c>
      <c r="C331" s="12"/>
      <c r="D331" s="12"/>
      <c r="E331" s="22" t="s">
        <v>129</v>
      </c>
      <c r="F331" s="22">
        <v>3</v>
      </c>
      <c r="G331" s="22">
        <f t="shared" si="24"/>
        <v>1</v>
      </c>
      <c r="H331" s="37">
        <v>80</v>
      </c>
    </row>
    <row r="332" spans="1:9" ht="15.95" customHeight="1" x14ac:dyDescent="0.3">
      <c r="A332" s="36">
        <f t="shared" si="25"/>
        <v>1820</v>
      </c>
      <c r="B332" s="14" t="s">
        <v>97</v>
      </c>
      <c r="C332" s="12"/>
      <c r="D332" s="12"/>
      <c r="E332" s="22" t="s">
        <v>129</v>
      </c>
      <c r="F332" s="22">
        <v>3</v>
      </c>
      <c r="G332" s="22">
        <f t="shared" si="24"/>
        <v>1</v>
      </c>
      <c r="H332" s="37">
        <v>80</v>
      </c>
    </row>
    <row r="333" spans="1:9" ht="15.95" customHeight="1" x14ac:dyDescent="0.3">
      <c r="A333" s="36">
        <f t="shared" si="25"/>
        <v>1900</v>
      </c>
      <c r="B333" s="14" t="s">
        <v>98</v>
      </c>
      <c r="C333" s="12"/>
      <c r="D333" s="12"/>
      <c r="E333" s="22" t="s">
        <v>129</v>
      </c>
      <c r="F333" s="22">
        <v>3</v>
      </c>
      <c r="G333" s="22">
        <f t="shared" si="24"/>
        <v>1</v>
      </c>
      <c r="H333" s="37">
        <v>80</v>
      </c>
    </row>
    <row r="334" spans="1:9" ht="15.95" customHeight="1" x14ac:dyDescent="0.3">
      <c r="A334" s="36">
        <f t="shared" si="25"/>
        <v>1980</v>
      </c>
      <c r="B334" s="14" t="s">
        <v>99</v>
      </c>
      <c r="C334" s="12"/>
      <c r="D334" s="12"/>
      <c r="E334" s="22" t="s">
        <v>129</v>
      </c>
      <c r="F334" s="22">
        <v>3</v>
      </c>
      <c r="G334" s="22">
        <f t="shared" si="24"/>
        <v>1</v>
      </c>
      <c r="H334" s="37">
        <v>80</v>
      </c>
    </row>
    <row r="335" spans="1:9" ht="15.95" customHeight="1" x14ac:dyDescent="0.3">
      <c r="A335" s="36">
        <f t="shared" si="25"/>
        <v>2060</v>
      </c>
      <c r="B335" s="14" t="s">
        <v>100</v>
      </c>
      <c r="C335" s="12"/>
      <c r="D335" s="12"/>
      <c r="E335" s="22" t="s">
        <v>129</v>
      </c>
      <c r="F335" s="22">
        <v>3</v>
      </c>
      <c r="G335" s="22">
        <f t="shared" si="24"/>
        <v>1</v>
      </c>
      <c r="H335" s="37">
        <v>80</v>
      </c>
    </row>
    <row r="336" spans="1:9" ht="15.95" customHeight="1" x14ac:dyDescent="0.3">
      <c r="A336" s="36">
        <f t="shared" si="25"/>
        <v>2140</v>
      </c>
      <c r="B336" s="14" t="s">
        <v>101</v>
      </c>
      <c r="C336" s="12"/>
      <c r="D336" s="12"/>
      <c r="E336" s="22" t="s">
        <v>129</v>
      </c>
      <c r="F336" s="22">
        <v>3</v>
      </c>
      <c r="G336" s="22">
        <f t="shared" si="24"/>
        <v>1</v>
      </c>
      <c r="H336" s="37">
        <v>80</v>
      </c>
    </row>
    <row r="337" spans="1:10" ht="15.95" customHeight="1" thickBot="1" x14ac:dyDescent="0.35">
      <c r="A337" s="38">
        <f t="shared" si="25"/>
        <v>2220</v>
      </c>
      <c r="B337" s="75" t="s">
        <v>235</v>
      </c>
      <c r="C337" s="61"/>
      <c r="D337" s="61"/>
      <c r="E337" s="62" t="s">
        <v>129</v>
      </c>
      <c r="F337" s="62"/>
      <c r="G337" s="62">
        <f t="shared" si="24"/>
        <v>1</v>
      </c>
      <c r="H337" s="41">
        <v>80</v>
      </c>
    </row>
    <row r="338" spans="1:10" ht="15.95" customHeight="1" thickBot="1" x14ac:dyDescent="0.35">
      <c r="A338" s="190" t="s">
        <v>130</v>
      </c>
      <c r="B338" s="191"/>
      <c r="C338" s="191"/>
      <c r="D338" s="191"/>
      <c r="E338" s="191"/>
      <c r="F338" s="191"/>
      <c r="G338" s="191"/>
      <c r="H338" s="192"/>
      <c r="J338" s="225" t="s">
        <v>360</v>
      </c>
    </row>
    <row r="339" spans="1:10" ht="15.95" customHeight="1" x14ac:dyDescent="0.3">
      <c r="A339" s="32">
        <f>A337+(G337*H337)</f>
        <v>2300</v>
      </c>
      <c r="B339" s="57" t="s">
        <v>210</v>
      </c>
      <c r="C339" s="58"/>
      <c r="D339" s="58"/>
      <c r="E339" s="53" t="s">
        <v>129</v>
      </c>
      <c r="F339" s="53">
        <v>3</v>
      </c>
      <c r="G339" s="53">
        <f t="shared" ref="G339:G349" si="26">IF(OR(E339="U16", E339="S16"),1,IF(E339="TS",6,2))</f>
        <v>1</v>
      </c>
      <c r="H339" s="35">
        <v>160</v>
      </c>
      <c r="J339" s="225"/>
    </row>
    <row r="340" spans="1:10" ht="15.95" customHeight="1" x14ac:dyDescent="0.3">
      <c r="A340" s="36">
        <f t="shared" ref="A340:A350" si="27">A339+(G339*H339)</f>
        <v>2460</v>
      </c>
      <c r="B340" s="14" t="s">
        <v>32</v>
      </c>
      <c r="C340" s="12"/>
      <c r="D340" s="12"/>
      <c r="E340" s="22" t="s">
        <v>129</v>
      </c>
      <c r="F340" s="22">
        <v>3</v>
      </c>
      <c r="G340" s="22">
        <f t="shared" si="26"/>
        <v>1</v>
      </c>
      <c r="H340" s="37">
        <v>160</v>
      </c>
      <c r="J340" s="225"/>
    </row>
    <row r="341" spans="1:10" ht="15.95" customHeight="1" x14ac:dyDescent="0.3">
      <c r="A341" s="36">
        <f t="shared" si="27"/>
        <v>2620</v>
      </c>
      <c r="B341" s="14" t="s">
        <v>33</v>
      </c>
      <c r="C341" s="12"/>
      <c r="D341" s="12"/>
      <c r="E341" s="22" t="s">
        <v>129</v>
      </c>
      <c r="F341" s="22">
        <v>3</v>
      </c>
      <c r="G341" s="22">
        <f t="shared" si="26"/>
        <v>1</v>
      </c>
      <c r="H341" s="37">
        <v>160</v>
      </c>
      <c r="J341" s="225"/>
    </row>
    <row r="342" spans="1:10" ht="15.95" customHeight="1" x14ac:dyDescent="0.3">
      <c r="A342" s="36">
        <f t="shared" si="27"/>
        <v>2780</v>
      </c>
      <c r="B342" s="14" t="s">
        <v>34</v>
      </c>
      <c r="C342" s="12"/>
      <c r="D342" s="12"/>
      <c r="E342" s="22" t="s">
        <v>129</v>
      </c>
      <c r="F342" s="22">
        <v>3</v>
      </c>
      <c r="G342" s="22">
        <f t="shared" si="26"/>
        <v>1</v>
      </c>
      <c r="H342" s="37">
        <v>160</v>
      </c>
      <c r="J342" s="225"/>
    </row>
    <row r="343" spans="1:10" ht="15.95" customHeight="1" x14ac:dyDescent="0.3">
      <c r="A343" s="36">
        <f t="shared" si="27"/>
        <v>2940</v>
      </c>
      <c r="B343" s="14" t="s">
        <v>35</v>
      </c>
      <c r="C343" s="12"/>
      <c r="D343" s="12"/>
      <c r="E343" s="22" t="s">
        <v>129</v>
      </c>
      <c r="F343" s="22">
        <v>3</v>
      </c>
      <c r="G343" s="22">
        <f t="shared" si="26"/>
        <v>1</v>
      </c>
      <c r="H343" s="37">
        <v>160</v>
      </c>
      <c r="J343" s="225"/>
    </row>
    <row r="344" spans="1:10" ht="15.95" customHeight="1" x14ac:dyDescent="0.3">
      <c r="A344" s="36">
        <f t="shared" si="27"/>
        <v>3100</v>
      </c>
      <c r="B344" s="14" t="s">
        <v>36</v>
      </c>
      <c r="C344" s="12"/>
      <c r="D344" s="12"/>
      <c r="E344" s="22" t="s">
        <v>129</v>
      </c>
      <c r="F344" s="22">
        <v>3</v>
      </c>
      <c r="G344" s="22">
        <f t="shared" si="26"/>
        <v>1</v>
      </c>
      <c r="H344" s="37">
        <v>160</v>
      </c>
      <c r="J344" s="225"/>
    </row>
    <row r="345" spans="1:10" ht="15.95" customHeight="1" x14ac:dyDescent="0.3">
      <c r="A345" s="36">
        <f t="shared" si="27"/>
        <v>3260</v>
      </c>
      <c r="B345" s="14" t="s">
        <v>37</v>
      </c>
      <c r="C345" s="12"/>
      <c r="D345" s="12"/>
      <c r="E345" s="22" t="s">
        <v>129</v>
      </c>
      <c r="F345" s="22">
        <v>3</v>
      </c>
      <c r="G345" s="22">
        <f t="shared" si="26"/>
        <v>1</v>
      </c>
      <c r="H345" s="37">
        <v>160</v>
      </c>
      <c r="J345" s="225"/>
    </row>
    <row r="346" spans="1:10" ht="15.95" customHeight="1" x14ac:dyDescent="0.3">
      <c r="A346" s="36">
        <f t="shared" si="27"/>
        <v>3420</v>
      </c>
      <c r="B346" s="14" t="s">
        <v>38</v>
      </c>
      <c r="C346" s="12"/>
      <c r="D346" s="12"/>
      <c r="E346" s="22" t="s">
        <v>129</v>
      </c>
      <c r="F346" s="22">
        <v>3</v>
      </c>
      <c r="G346" s="22">
        <f t="shared" si="26"/>
        <v>1</v>
      </c>
      <c r="H346" s="37">
        <v>160</v>
      </c>
      <c r="J346" s="225"/>
    </row>
    <row r="347" spans="1:10" ht="15.95" customHeight="1" x14ac:dyDescent="0.3">
      <c r="A347" s="36">
        <f t="shared" si="27"/>
        <v>3580</v>
      </c>
      <c r="B347" s="14" t="s">
        <v>39</v>
      </c>
      <c r="C347" s="12"/>
      <c r="D347" s="12"/>
      <c r="E347" s="22" t="s">
        <v>129</v>
      </c>
      <c r="F347" s="22">
        <v>3</v>
      </c>
      <c r="G347" s="22">
        <f t="shared" si="26"/>
        <v>1</v>
      </c>
      <c r="H347" s="37">
        <v>160</v>
      </c>
      <c r="J347" s="225"/>
    </row>
    <row r="348" spans="1:10" ht="15.95" customHeight="1" x14ac:dyDescent="0.3">
      <c r="A348" s="36">
        <f t="shared" si="27"/>
        <v>3740</v>
      </c>
      <c r="B348" s="14" t="s">
        <v>747</v>
      </c>
      <c r="C348" s="12"/>
      <c r="D348" s="12"/>
      <c r="E348" s="22" t="s">
        <v>532</v>
      </c>
      <c r="F348" s="22">
        <v>3</v>
      </c>
      <c r="G348" s="22">
        <f>IF(OR(E348="U16", E348="S16"),1,IF(E348="TS",6,2))</f>
        <v>2</v>
      </c>
      <c r="H348" s="37">
        <v>1</v>
      </c>
      <c r="J348" s="225"/>
    </row>
    <row r="349" spans="1:10" ht="15.95" customHeight="1" x14ac:dyDescent="0.3">
      <c r="A349" s="36">
        <f t="shared" si="27"/>
        <v>3742</v>
      </c>
      <c r="B349" s="14" t="s">
        <v>748</v>
      </c>
      <c r="C349" s="12"/>
      <c r="D349" s="12"/>
      <c r="E349" s="22" t="s">
        <v>532</v>
      </c>
      <c r="F349" s="22">
        <v>3</v>
      </c>
      <c r="G349" s="22">
        <f t="shared" si="26"/>
        <v>2</v>
      </c>
      <c r="H349" s="37">
        <v>1</v>
      </c>
      <c r="J349" s="225"/>
    </row>
    <row r="350" spans="1:10" ht="15.95" customHeight="1" thickBot="1" x14ac:dyDescent="0.35">
      <c r="A350" s="38">
        <f t="shared" si="27"/>
        <v>3744</v>
      </c>
      <c r="B350" s="60" t="s">
        <v>235</v>
      </c>
      <c r="C350" s="61"/>
      <c r="D350" s="61"/>
      <c r="E350" s="62" t="s">
        <v>129</v>
      </c>
      <c r="F350" s="62"/>
      <c r="G350" s="62">
        <f>IF(OR(E350="U16", E350="S16"),1,IF(E350="TS",6,2))</f>
        <v>1</v>
      </c>
      <c r="H350" s="41">
        <v>56</v>
      </c>
      <c r="J350" s="55"/>
    </row>
    <row r="351" spans="1:10" ht="15.95" customHeight="1" thickBot="1" x14ac:dyDescent="0.35">
      <c r="A351" s="190" t="s">
        <v>131</v>
      </c>
      <c r="B351" s="191"/>
      <c r="C351" s="191"/>
      <c r="D351" s="191"/>
      <c r="E351" s="191"/>
      <c r="F351" s="191"/>
      <c r="G351" s="191"/>
      <c r="H351" s="192"/>
    </row>
    <row r="352" spans="1:10" ht="15.95" customHeight="1" x14ac:dyDescent="0.3">
      <c r="A352" s="32">
        <f>A350+(G350*H350)</f>
        <v>3800</v>
      </c>
      <c r="B352" s="57" t="s">
        <v>496</v>
      </c>
      <c r="C352" s="58"/>
      <c r="D352" s="58"/>
      <c r="E352" s="53" t="s">
        <v>129</v>
      </c>
      <c r="F352" s="53">
        <v>3</v>
      </c>
      <c r="G352" s="53">
        <f t="shared" ref="G352:G361" si="28">IF(OR(E352="U16", E352="S16"),1,IF(E352="TS",6,2))</f>
        <v>1</v>
      </c>
      <c r="H352" s="35">
        <v>1</v>
      </c>
      <c r="I352" s="10">
        <v>3800</v>
      </c>
    </row>
    <row r="353" spans="1:9" ht="15.95" customHeight="1" x14ac:dyDescent="0.3">
      <c r="A353" s="36">
        <f t="shared" ref="A353:A403" si="29">A352+(G352*H352)</f>
        <v>3801</v>
      </c>
      <c r="B353" s="14" t="s">
        <v>497</v>
      </c>
      <c r="C353" s="12"/>
      <c r="D353" s="12"/>
      <c r="E353" s="22" t="s">
        <v>129</v>
      </c>
      <c r="F353" s="22">
        <v>3</v>
      </c>
      <c r="G353" s="22">
        <f t="shared" si="28"/>
        <v>1</v>
      </c>
      <c r="H353" s="37">
        <v>1</v>
      </c>
    </row>
    <row r="354" spans="1:9" ht="15.95" customHeight="1" x14ac:dyDescent="0.3">
      <c r="A354" s="36">
        <f t="shared" si="29"/>
        <v>3802</v>
      </c>
      <c r="B354" s="14" t="s">
        <v>132</v>
      </c>
      <c r="C354" s="12"/>
      <c r="D354" s="12"/>
      <c r="E354" s="22" t="s">
        <v>91</v>
      </c>
      <c r="F354" s="22">
        <v>3</v>
      </c>
      <c r="G354" s="22">
        <f t="shared" si="28"/>
        <v>2</v>
      </c>
      <c r="H354" s="37">
        <v>1</v>
      </c>
    </row>
    <row r="355" spans="1:9" ht="15.95" customHeight="1" x14ac:dyDescent="0.3">
      <c r="A355" s="36">
        <f t="shared" si="29"/>
        <v>3804</v>
      </c>
      <c r="B355" s="219" t="s">
        <v>136</v>
      </c>
      <c r="C355" s="12" t="s">
        <v>1039</v>
      </c>
      <c r="D355" s="12"/>
      <c r="E355" s="12" t="s">
        <v>58</v>
      </c>
      <c r="F355" s="22">
        <v>3</v>
      </c>
      <c r="G355" s="12">
        <f t="shared" si="28"/>
        <v>2</v>
      </c>
      <c r="H355" s="37">
        <v>1</v>
      </c>
    </row>
    <row r="356" spans="1:9" ht="15.95" customHeight="1" x14ac:dyDescent="0.3">
      <c r="A356" s="36">
        <f t="shared" si="29"/>
        <v>3806</v>
      </c>
      <c r="B356" s="220"/>
      <c r="C356" s="12" t="s">
        <v>1041</v>
      </c>
      <c r="D356" s="12"/>
      <c r="E356" s="12" t="s">
        <v>1058</v>
      </c>
      <c r="F356" s="22">
        <v>3</v>
      </c>
      <c r="G356" s="12">
        <f t="shared" si="28"/>
        <v>2</v>
      </c>
      <c r="H356" s="37">
        <v>1</v>
      </c>
    </row>
    <row r="357" spans="1:9" ht="15.95" customHeight="1" x14ac:dyDescent="0.3">
      <c r="A357" s="36">
        <f t="shared" si="29"/>
        <v>3808</v>
      </c>
      <c r="B357" s="220"/>
      <c r="C357" s="12" t="s">
        <v>1040</v>
      </c>
      <c r="D357" s="12"/>
      <c r="E357" s="12" t="s">
        <v>57</v>
      </c>
      <c r="F357" s="22">
        <v>3</v>
      </c>
      <c r="G357" s="12">
        <f t="shared" ref="G357:G358" si="30">IF(OR(E357="U16", E357="S16"),1,IF(E357="TS",6,2))</f>
        <v>2</v>
      </c>
      <c r="H357" s="37">
        <v>1</v>
      </c>
    </row>
    <row r="358" spans="1:9" ht="15.95" customHeight="1" x14ac:dyDescent="0.3">
      <c r="A358" s="36">
        <f t="shared" si="29"/>
        <v>3810</v>
      </c>
      <c r="B358" s="221"/>
      <c r="C358" s="12" t="s">
        <v>1042</v>
      </c>
      <c r="D358" s="12"/>
      <c r="E358" s="12" t="s">
        <v>1059</v>
      </c>
      <c r="F358" s="22">
        <v>3</v>
      </c>
      <c r="G358" s="12">
        <f t="shared" si="30"/>
        <v>2</v>
      </c>
      <c r="H358" s="37">
        <v>1</v>
      </c>
    </row>
    <row r="359" spans="1:9" ht="15.95" customHeight="1" x14ac:dyDescent="0.3">
      <c r="A359" s="36">
        <f t="shared" si="29"/>
        <v>3812</v>
      </c>
      <c r="B359" s="14" t="s">
        <v>237</v>
      </c>
      <c r="C359" s="12"/>
      <c r="D359" s="12"/>
      <c r="E359" s="12" t="s">
        <v>57</v>
      </c>
      <c r="F359" s="22">
        <v>3</v>
      </c>
      <c r="G359" s="12">
        <f t="shared" si="28"/>
        <v>2</v>
      </c>
      <c r="H359" s="37">
        <v>4</v>
      </c>
    </row>
    <row r="360" spans="1:9" ht="15.95" customHeight="1" x14ac:dyDescent="0.3">
      <c r="A360" s="36">
        <f t="shared" si="29"/>
        <v>3820</v>
      </c>
      <c r="B360" s="14" t="s">
        <v>182</v>
      </c>
      <c r="C360" s="12"/>
      <c r="D360" s="12"/>
      <c r="E360" s="12" t="s">
        <v>58</v>
      </c>
      <c r="F360" s="22">
        <v>3</v>
      </c>
      <c r="G360" s="12">
        <f t="shared" si="28"/>
        <v>2</v>
      </c>
      <c r="H360" s="37">
        <v>4</v>
      </c>
    </row>
    <row r="361" spans="1:9" ht="15.95" customHeight="1" x14ac:dyDescent="0.3">
      <c r="A361" s="36">
        <f t="shared" si="29"/>
        <v>3828</v>
      </c>
      <c r="B361" s="14" t="s">
        <v>183</v>
      </c>
      <c r="C361" s="12"/>
      <c r="D361" s="12"/>
      <c r="E361" s="22" t="s">
        <v>58</v>
      </c>
      <c r="F361" s="22">
        <v>3</v>
      </c>
      <c r="G361" s="22">
        <f t="shared" si="28"/>
        <v>2</v>
      </c>
      <c r="H361" s="37">
        <v>4</v>
      </c>
    </row>
    <row r="362" spans="1:9" ht="15.95" customHeight="1" x14ac:dyDescent="0.3">
      <c r="A362" s="36">
        <f t="shared" si="29"/>
        <v>3836</v>
      </c>
      <c r="B362" s="14" t="s">
        <v>184</v>
      </c>
      <c r="C362" s="12"/>
      <c r="D362" s="12"/>
      <c r="E362" s="22" t="s">
        <v>58</v>
      </c>
      <c r="F362" s="22">
        <v>3</v>
      </c>
      <c r="G362" s="22">
        <f t="shared" ref="G362:G372" si="31">IF(OR(E362="U16", E362="S16"),1,IF(E362="TS",6,2))</f>
        <v>2</v>
      </c>
      <c r="H362" s="37">
        <v>4</v>
      </c>
      <c r="I362" s="47"/>
    </row>
    <row r="363" spans="1:9" ht="15.95" customHeight="1" x14ac:dyDescent="0.3">
      <c r="A363" s="36">
        <f t="shared" si="29"/>
        <v>3844</v>
      </c>
      <c r="B363" s="14" t="s">
        <v>185</v>
      </c>
      <c r="C363" s="12"/>
      <c r="D363" s="12"/>
      <c r="E363" s="22" t="s">
        <v>58</v>
      </c>
      <c r="F363" s="22">
        <v>3</v>
      </c>
      <c r="G363" s="22">
        <f t="shared" si="31"/>
        <v>2</v>
      </c>
      <c r="H363" s="37">
        <v>4</v>
      </c>
    </row>
    <row r="364" spans="1:9" ht="15.95" customHeight="1" x14ac:dyDescent="0.3">
      <c r="A364" s="36">
        <f t="shared" si="29"/>
        <v>3852</v>
      </c>
      <c r="B364" s="14" t="s">
        <v>186</v>
      </c>
      <c r="C364" s="12"/>
      <c r="D364" s="12"/>
      <c r="E364" s="22" t="s">
        <v>58</v>
      </c>
      <c r="F364" s="22">
        <v>3</v>
      </c>
      <c r="G364" s="22">
        <f t="shared" si="31"/>
        <v>2</v>
      </c>
      <c r="H364" s="37">
        <v>4</v>
      </c>
    </row>
    <row r="365" spans="1:9" ht="15.95" customHeight="1" x14ac:dyDescent="0.3">
      <c r="A365" s="36">
        <f t="shared" si="29"/>
        <v>3860</v>
      </c>
      <c r="B365" s="14" t="s">
        <v>187</v>
      </c>
      <c r="C365" s="12"/>
      <c r="D365" s="12"/>
      <c r="E365" s="22" t="s">
        <v>58</v>
      </c>
      <c r="F365" s="22">
        <v>3</v>
      </c>
      <c r="G365" s="22">
        <f t="shared" si="31"/>
        <v>2</v>
      </c>
      <c r="H365" s="37">
        <v>4</v>
      </c>
    </row>
    <row r="366" spans="1:9" ht="15.95" customHeight="1" x14ac:dyDescent="0.3">
      <c r="A366" s="36">
        <f t="shared" si="29"/>
        <v>3868</v>
      </c>
      <c r="B366" s="14" t="s">
        <v>188</v>
      </c>
      <c r="C366" s="12"/>
      <c r="D366" s="12"/>
      <c r="E366" s="22" t="s">
        <v>58</v>
      </c>
      <c r="F366" s="22">
        <v>3</v>
      </c>
      <c r="G366" s="22">
        <f t="shared" si="31"/>
        <v>2</v>
      </c>
      <c r="H366" s="37">
        <v>4</v>
      </c>
    </row>
    <row r="367" spans="1:9" ht="15.95" customHeight="1" x14ac:dyDescent="0.3">
      <c r="A367" s="36">
        <f t="shared" si="29"/>
        <v>3876</v>
      </c>
      <c r="B367" s="14" t="s">
        <v>189</v>
      </c>
      <c r="C367" s="12"/>
      <c r="D367" s="12"/>
      <c r="E367" s="22" t="s">
        <v>58</v>
      </c>
      <c r="F367" s="22">
        <v>3</v>
      </c>
      <c r="G367" s="22">
        <f t="shared" si="31"/>
        <v>2</v>
      </c>
      <c r="H367" s="37">
        <v>4</v>
      </c>
    </row>
    <row r="368" spans="1:9" ht="15.95" customHeight="1" x14ac:dyDescent="0.3">
      <c r="A368" s="36">
        <f t="shared" si="29"/>
        <v>3884</v>
      </c>
      <c r="B368" s="14" t="s">
        <v>133</v>
      </c>
      <c r="C368" s="12"/>
      <c r="D368" s="12"/>
      <c r="E368" s="22" t="s">
        <v>58</v>
      </c>
      <c r="F368" s="22">
        <v>3</v>
      </c>
      <c r="G368" s="22">
        <f t="shared" si="31"/>
        <v>2</v>
      </c>
      <c r="H368" s="37">
        <v>4</v>
      </c>
    </row>
    <row r="369" spans="1:8" ht="15.95" customHeight="1" x14ac:dyDescent="0.3">
      <c r="A369" s="36">
        <f t="shared" si="29"/>
        <v>3892</v>
      </c>
      <c r="B369" s="14" t="s">
        <v>134</v>
      </c>
      <c r="C369" s="12"/>
      <c r="D369" s="12"/>
      <c r="E369" s="22" t="s">
        <v>58</v>
      </c>
      <c r="F369" s="22">
        <v>3</v>
      </c>
      <c r="G369" s="22">
        <f t="shared" si="31"/>
        <v>2</v>
      </c>
      <c r="H369" s="37">
        <v>4</v>
      </c>
    </row>
    <row r="370" spans="1:8" ht="15.95" customHeight="1" x14ac:dyDescent="0.3">
      <c r="A370" s="36">
        <f t="shared" si="29"/>
        <v>3900</v>
      </c>
      <c r="B370" s="14" t="s">
        <v>135</v>
      </c>
      <c r="C370" s="12"/>
      <c r="D370" s="12"/>
      <c r="E370" s="22" t="s">
        <v>58</v>
      </c>
      <c r="F370" s="22">
        <v>3</v>
      </c>
      <c r="G370" s="22">
        <f t="shared" si="31"/>
        <v>2</v>
      </c>
      <c r="H370" s="37">
        <v>4</v>
      </c>
    </row>
    <row r="371" spans="1:8" ht="15.95" customHeight="1" x14ac:dyDescent="0.3">
      <c r="A371" s="36">
        <f t="shared" si="29"/>
        <v>3908</v>
      </c>
      <c r="B371" s="14" t="s">
        <v>177</v>
      </c>
      <c r="C371" s="12"/>
      <c r="D371" s="12"/>
      <c r="E371" s="22" t="s">
        <v>58</v>
      </c>
      <c r="F371" s="22">
        <v>3</v>
      </c>
      <c r="G371" s="22">
        <f t="shared" si="31"/>
        <v>2</v>
      </c>
      <c r="H371" s="37">
        <v>4</v>
      </c>
    </row>
    <row r="372" spans="1:8" ht="15.95" customHeight="1" x14ac:dyDescent="0.3">
      <c r="A372" s="36">
        <f t="shared" si="29"/>
        <v>3916</v>
      </c>
      <c r="B372" s="14" t="s">
        <v>148</v>
      </c>
      <c r="C372" s="12"/>
      <c r="D372" s="12"/>
      <c r="E372" s="22" t="s">
        <v>58</v>
      </c>
      <c r="F372" s="22">
        <v>3</v>
      </c>
      <c r="G372" s="22">
        <f t="shared" si="31"/>
        <v>2</v>
      </c>
      <c r="H372" s="37">
        <v>4</v>
      </c>
    </row>
    <row r="373" spans="1:8" ht="15.95" customHeight="1" x14ac:dyDescent="0.3">
      <c r="A373" s="36">
        <f t="shared" si="29"/>
        <v>3924</v>
      </c>
      <c r="B373" s="14" t="s">
        <v>137</v>
      </c>
      <c r="C373" s="12"/>
      <c r="D373" s="12"/>
      <c r="E373" s="22" t="s">
        <v>58</v>
      </c>
      <c r="F373" s="22">
        <v>3</v>
      </c>
      <c r="G373" s="22">
        <f t="shared" ref="G373:G383" si="32">IF(OR(E373="U16", E373="S16"),1,IF(E373="TS",6,2))</f>
        <v>2</v>
      </c>
      <c r="H373" s="37">
        <v>4</v>
      </c>
    </row>
    <row r="374" spans="1:8" ht="15.95" customHeight="1" x14ac:dyDescent="0.3">
      <c r="A374" s="36">
        <f t="shared" si="29"/>
        <v>3932</v>
      </c>
      <c r="B374" s="14" t="s">
        <v>147</v>
      </c>
      <c r="C374" s="12"/>
      <c r="D374" s="12"/>
      <c r="E374" s="22" t="s">
        <v>58</v>
      </c>
      <c r="F374" s="22">
        <v>3</v>
      </c>
      <c r="G374" s="22">
        <f t="shared" si="32"/>
        <v>2</v>
      </c>
      <c r="H374" s="37">
        <v>4</v>
      </c>
    </row>
    <row r="375" spans="1:8" ht="15.95" customHeight="1" x14ac:dyDescent="0.3">
      <c r="A375" s="36">
        <f t="shared" si="29"/>
        <v>3940</v>
      </c>
      <c r="B375" s="14" t="s">
        <v>59</v>
      </c>
      <c r="C375" s="12"/>
      <c r="D375" s="12"/>
      <c r="E375" s="22" t="s">
        <v>58</v>
      </c>
      <c r="F375" s="22">
        <v>3</v>
      </c>
      <c r="G375" s="22">
        <f t="shared" si="32"/>
        <v>2</v>
      </c>
      <c r="H375" s="37">
        <v>4</v>
      </c>
    </row>
    <row r="376" spans="1:8" ht="15.95" customHeight="1" x14ac:dyDescent="0.3">
      <c r="A376" s="36">
        <f t="shared" si="29"/>
        <v>3948</v>
      </c>
      <c r="B376" s="14" t="s">
        <v>3</v>
      </c>
      <c r="C376" s="12"/>
      <c r="D376" s="12"/>
      <c r="E376" s="22" t="s">
        <v>57</v>
      </c>
      <c r="F376" s="22">
        <v>3</v>
      </c>
      <c r="G376" s="22">
        <f t="shared" si="32"/>
        <v>2</v>
      </c>
      <c r="H376" s="37">
        <v>4</v>
      </c>
    </row>
    <row r="377" spans="1:8" ht="15.95" customHeight="1" x14ac:dyDescent="0.3">
      <c r="A377" s="36">
        <f t="shared" si="29"/>
        <v>3956</v>
      </c>
      <c r="B377" s="14" t="s">
        <v>4</v>
      </c>
      <c r="C377" s="12"/>
      <c r="D377" s="12"/>
      <c r="E377" s="22" t="s">
        <v>58</v>
      </c>
      <c r="F377" s="22">
        <v>3</v>
      </c>
      <c r="G377" s="22">
        <f>IF(OR(E377="U16", E377="S16"),1,IF(E377="TS",6,2))</f>
        <v>2</v>
      </c>
      <c r="H377" s="37">
        <v>4</v>
      </c>
    </row>
    <row r="378" spans="1:8" ht="15.95" customHeight="1" x14ac:dyDescent="0.3">
      <c r="A378" s="36">
        <f t="shared" si="29"/>
        <v>3964</v>
      </c>
      <c r="B378" s="14" t="s">
        <v>60</v>
      </c>
      <c r="C378" s="12"/>
      <c r="D378" s="12"/>
      <c r="E378" s="22" t="s">
        <v>58</v>
      </c>
      <c r="F378" s="22">
        <v>3</v>
      </c>
      <c r="G378" s="22">
        <f>IF(OR(E378="U16", E378="S16"),1,IF(E378="TS",6,2))</f>
        <v>2</v>
      </c>
      <c r="H378" s="37">
        <v>4</v>
      </c>
    </row>
    <row r="379" spans="1:8" ht="15.95" customHeight="1" x14ac:dyDescent="0.3">
      <c r="A379" s="36">
        <f t="shared" si="29"/>
        <v>3972</v>
      </c>
      <c r="B379" s="14" t="s">
        <v>61</v>
      </c>
      <c r="C379" s="12"/>
      <c r="D379" s="12"/>
      <c r="E379" s="22" t="s">
        <v>58</v>
      </c>
      <c r="F379" s="22">
        <v>3</v>
      </c>
      <c r="G379" s="22">
        <f>IF(OR(E379="U16", E379="S16"),1,IF(E379="TS",6,2))</f>
        <v>2</v>
      </c>
      <c r="H379" s="37">
        <v>4</v>
      </c>
    </row>
    <row r="380" spans="1:8" ht="15.95" customHeight="1" x14ac:dyDescent="0.3">
      <c r="A380" s="36">
        <f t="shared" si="29"/>
        <v>3980</v>
      </c>
      <c r="B380" s="14" t="s">
        <v>62</v>
      </c>
      <c r="C380" s="12"/>
      <c r="D380" s="12"/>
      <c r="E380" s="22" t="s">
        <v>58</v>
      </c>
      <c r="F380" s="22">
        <v>3</v>
      </c>
      <c r="G380" s="22">
        <f>IF(OR(E380="U16", E380="S16"),1,IF(E380="TS",6,2))</f>
        <v>2</v>
      </c>
      <c r="H380" s="37">
        <v>4</v>
      </c>
    </row>
    <row r="381" spans="1:8" ht="15.95" customHeight="1" x14ac:dyDescent="0.3">
      <c r="A381" s="36">
        <f t="shared" si="29"/>
        <v>3988</v>
      </c>
      <c r="B381" s="14" t="s">
        <v>63</v>
      </c>
      <c r="C381" s="12"/>
      <c r="D381" s="12"/>
      <c r="E381" s="22" t="s">
        <v>58</v>
      </c>
      <c r="F381" s="22">
        <v>3</v>
      </c>
      <c r="G381" s="22">
        <f t="shared" si="32"/>
        <v>2</v>
      </c>
      <c r="H381" s="37">
        <v>4</v>
      </c>
    </row>
    <row r="382" spans="1:8" ht="15.95" customHeight="1" x14ac:dyDescent="0.3">
      <c r="A382" s="36">
        <f t="shared" si="29"/>
        <v>3996</v>
      </c>
      <c r="B382" s="14" t="s">
        <v>64</v>
      </c>
      <c r="C382" s="12"/>
      <c r="D382" s="12"/>
      <c r="E382" s="22" t="s">
        <v>58</v>
      </c>
      <c r="F382" s="22">
        <v>3</v>
      </c>
      <c r="G382" s="22">
        <f t="shared" si="32"/>
        <v>2</v>
      </c>
      <c r="H382" s="37">
        <v>4</v>
      </c>
    </row>
    <row r="383" spans="1:8" ht="15.95" customHeight="1" x14ac:dyDescent="0.3">
      <c r="A383" s="36">
        <f t="shared" si="29"/>
        <v>4004</v>
      </c>
      <c r="B383" s="14" t="s">
        <v>65</v>
      </c>
      <c r="C383" s="12"/>
      <c r="D383" s="12"/>
      <c r="E383" s="22" t="s">
        <v>58</v>
      </c>
      <c r="F383" s="22">
        <v>3</v>
      </c>
      <c r="G383" s="22">
        <f t="shared" si="32"/>
        <v>2</v>
      </c>
      <c r="H383" s="37">
        <v>4</v>
      </c>
    </row>
    <row r="384" spans="1:8" ht="15.95" customHeight="1" x14ac:dyDescent="0.3">
      <c r="A384" s="36">
        <f t="shared" si="29"/>
        <v>4012</v>
      </c>
      <c r="B384" s="14" t="s">
        <v>6</v>
      </c>
      <c r="C384" s="12"/>
      <c r="D384" s="12"/>
      <c r="E384" s="22" t="s">
        <v>58</v>
      </c>
      <c r="F384" s="22">
        <v>3</v>
      </c>
      <c r="G384" s="22">
        <f t="shared" ref="G384:G401" si="33">IF(OR(E384="U16", E384="S16"),1,IF(E384="TS",6,2))</f>
        <v>2</v>
      </c>
      <c r="H384" s="37">
        <v>4</v>
      </c>
    </row>
    <row r="385" spans="1:9" ht="15.95" customHeight="1" x14ac:dyDescent="0.3">
      <c r="A385" s="36">
        <f t="shared" si="29"/>
        <v>4020</v>
      </c>
      <c r="B385" s="14" t="s">
        <v>7</v>
      </c>
      <c r="C385" s="12"/>
      <c r="D385" s="12"/>
      <c r="E385" s="22" t="s">
        <v>58</v>
      </c>
      <c r="F385" s="22">
        <v>3</v>
      </c>
      <c r="G385" s="22">
        <f t="shared" si="33"/>
        <v>2</v>
      </c>
      <c r="H385" s="37">
        <v>4</v>
      </c>
    </row>
    <row r="386" spans="1:9" ht="15.95" customHeight="1" x14ac:dyDescent="0.3">
      <c r="A386" s="36">
        <f t="shared" si="29"/>
        <v>4028</v>
      </c>
      <c r="B386" s="14" t="s">
        <v>66</v>
      </c>
      <c r="C386" s="12"/>
      <c r="D386" s="12"/>
      <c r="E386" s="22" t="s">
        <v>58</v>
      </c>
      <c r="F386" s="22">
        <v>3</v>
      </c>
      <c r="G386" s="22">
        <f t="shared" si="33"/>
        <v>2</v>
      </c>
      <c r="H386" s="37">
        <v>4</v>
      </c>
    </row>
    <row r="387" spans="1:9" ht="15.95" customHeight="1" x14ac:dyDescent="0.3">
      <c r="A387" s="36">
        <f t="shared" si="29"/>
        <v>4036</v>
      </c>
      <c r="B387" s="14" t="s">
        <v>150</v>
      </c>
      <c r="C387" s="12"/>
      <c r="D387" s="12"/>
      <c r="E387" s="22" t="s">
        <v>58</v>
      </c>
      <c r="F387" s="22">
        <v>3</v>
      </c>
      <c r="G387" s="22">
        <f t="shared" si="33"/>
        <v>2</v>
      </c>
      <c r="H387" s="37">
        <v>4</v>
      </c>
    </row>
    <row r="388" spans="1:9" ht="15.95" customHeight="1" x14ac:dyDescent="0.3">
      <c r="A388" s="36">
        <f t="shared" si="29"/>
        <v>4044</v>
      </c>
      <c r="B388" s="14" t="s">
        <v>151</v>
      </c>
      <c r="C388" s="12"/>
      <c r="D388" s="12"/>
      <c r="E388" s="22" t="s">
        <v>58</v>
      </c>
      <c r="F388" s="22">
        <v>3</v>
      </c>
      <c r="G388" s="22">
        <f t="shared" si="33"/>
        <v>2</v>
      </c>
      <c r="H388" s="37">
        <v>4</v>
      </c>
    </row>
    <row r="389" spans="1:9" ht="15.95" customHeight="1" x14ac:dyDescent="0.3">
      <c r="A389" s="36">
        <f t="shared" si="29"/>
        <v>4052</v>
      </c>
      <c r="B389" s="14" t="s">
        <v>152</v>
      </c>
      <c r="C389" s="12"/>
      <c r="D389" s="12"/>
      <c r="E389" s="22" t="s">
        <v>58</v>
      </c>
      <c r="F389" s="22">
        <v>3</v>
      </c>
      <c r="G389" s="22">
        <f t="shared" si="33"/>
        <v>2</v>
      </c>
      <c r="H389" s="37">
        <v>4</v>
      </c>
    </row>
    <row r="390" spans="1:9" ht="15.95" customHeight="1" x14ac:dyDescent="0.3">
      <c r="A390" s="36">
        <f t="shared" si="29"/>
        <v>4060</v>
      </c>
      <c r="B390" s="14" t="s">
        <v>80</v>
      </c>
      <c r="C390" s="12"/>
      <c r="D390" s="12"/>
      <c r="E390" s="22" t="s">
        <v>58</v>
      </c>
      <c r="F390" s="22">
        <v>3</v>
      </c>
      <c r="G390" s="22">
        <f t="shared" si="33"/>
        <v>2</v>
      </c>
      <c r="H390" s="37">
        <v>4</v>
      </c>
      <c r="I390" s="19" t="s">
        <v>236</v>
      </c>
    </row>
    <row r="391" spans="1:9" ht="15.95" customHeight="1" x14ac:dyDescent="0.3">
      <c r="A391" s="36">
        <f t="shared" si="29"/>
        <v>4068</v>
      </c>
      <c r="B391" s="14" t="s">
        <v>335</v>
      </c>
      <c r="C391" s="12"/>
      <c r="D391" s="12"/>
      <c r="E391" s="22" t="s">
        <v>58</v>
      </c>
      <c r="F391" s="22">
        <v>3</v>
      </c>
      <c r="G391" s="22">
        <f t="shared" si="33"/>
        <v>2</v>
      </c>
      <c r="H391" s="37">
        <v>4</v>
      </c>
    </row>
    <row r="392" spans="1:9" ht="15.95" customHeight="1" x14ac:dyDescent="0.3">
      <c r="A392" s="36">
        <f t="shared" si="29"/>
        <v>4076</v>
      </c>
      <c r="B392" s="14" t="s">
        <v>336</v>
      </c>
      <c r="C392" s="12"/>
      <c r="D392" s="12"/>
      <c r="E392" s="22" t="s">
        <v>58</v>
      </c>
      <c r="F392" s="22">
        <v>3</v>
      </c>
      <c r="G392" s="22">
        <f t="shared" si="33"/>
        <v>2</v>
      </c>
      <c r="H392" s="37">
        <v>4</v>
      </c>
    </row>
    <row r="393" spans="1:9" ht="15.95" customHeight="1" x14ac:dyDescent="0.3">
      <c r="A393" s="36">
        <f t="shared" si="29"/>
        <v>4084</v>
      </c>
      <c r="B393" s="14" t="s">
        <v>337</v>
      </c>
      <c r="C393" s="12"/>
      <c r="D393" s="12"/>
      <c r="E393" s="22" t="s">
        <v>58</v>
      </c>
      <c r="F393" s="22">
        <v>3</v>
      </c>
      <c r="G393" s="22">
        <f t="shared" si="33"/>
        <v>2</v>
      </c>
      <c r="H393" s="37">
        <v>4</v>
      </c>
    </row>
    <row r="394" spans="1:9" ht="15.95" customHeight="1" x14ac:dyDescent="0.3">
      <c r="A394" s="36">
        <f t="shared" si="29"/>
        <v>4092</v>
      </c>
      <c r="B394" s="15" t="s">
        <v>338</v>
      </c>
      <c r="C394" s="12"/>
      <c r="D394" s="12"/>
      <c r="E394" s="22" t="s">
        <v>58</v>
      </c>
      <c r="F394" s="22">
        <v>3</v>
      </c>
      <c r="G394" s="22">
        <f t="shared" si="33"/>
        <v>2</v>
      </c>
      <c r="H394" s="37">
        <v>4</v>
      </c>
    </row>
    <row r="395" spans="1:9" ht="15.95" customHeight="1" x14ac:dyDescent="0.3">
      <c r="A395" s="36">
        <f t="shared" si="29"/>
        <v>4100</v>
      </c>
      <c r="B395" s="15" t="s">
        <v>339</v>
      </c>
      <c r="C395" s="12"/>
      <c r="D395" s="12"/>
      <c r="E395" s="22" t="s">
        <v>58</v>
      </c>
      <c r="F395" s="22">
        <v>3</v>
      </c>
      <c r="G395" s="22">
        <f t="shared" si="33"/>
        <v>2</v>
      </c>
      <c r="H395" s="37">
        <v>4</v>
      </c>
    </row>
    <row r="396" spans="1:9" ht="15.95" customHeight="1" x14ac:dyDescent="0.3">
      <c r="A396" s="36">
        <f t="shared" si="29"/>
        <v>4108</v>
      </c>
      <c r="B396" s="15" t="s">
        <v>340</v>
      </c>
      <c r="C396" s="12"/>
      <c r="D396" s="12"/>
      <c r="E396" s="22" t="s">
        <v>58</v>
      </c>
      <c r="F396" s="22">
        <v>3</v>
      </c>
      <c r="G396" s="22">
        <f t="shared" si="33"/>
        <v>2</v>
      </c>
      <c r="H396" s="37">
        <v>4</v>
      </c>
    </row>
    <row r="397" spans="1:9" ht="15.95" customHeight="1" x14ac:dyDescent="0.3">
      <c r="A397" s="36">
        <f t="shared" si="29"/>
        <v>4116</v>
      </c>
      <c r="B397" s="14" t="s">
        <v>341</v>
      </c>
      <c r="C397" s="12"/>
      <c r="D397" s="12"/>
      <c r="E397" s="22" t="s">
        <v>58</v>
      </c>
      <c r="F397" s="22">
        <v>3</v>
      </c>
      <c r="G397" s="22">
        <f t="shared" si="33"/>
        <v>2</v>
      </c>
      <c r="H397" s="37">
        <v>4</v>
      </c>
    </row>
    <row r="398" spans="1:9" ht="15.95" customHeight="1" x14ac:dyDescent="0.3">
      <c r="A398" s="36">
        <f t="shared" si="29"/>
        <v>4124</v>
      </c>
      <c r="B398" s="14" t="s">
        <v>25</v>
      </c>
      <c r="C398" s="12"/>
      <c r="D398" s="12"/>
      <c r="E398" s="22" t="s">
        <v>58</v>
      </c>
      <c r="F398" s="22">
        <v>3</v>
      </c>
      <c r="G398" s="22">
        <f t="shared" si="33"/>
        <v>2</v>
      </c>
      <c r="H398" s="37">
        <v>4</v>
      </c>
    </row>
    <row r="399" spans="1:9" ht="15.95" customHeight="1" x14ac:dyDescent="0.3">
      <c r="A399" s="36">
        <f t="shared" si="29"/>
        <v>4132</v>
      </c>
      <c r="B399" s="14" t="s">
        <v>26</v>
      </c>
      <c r="C399" s="12"/>
      <c r="D399" s="12"/>
      <c r="E399" s="22" t="s">
        <v>58</v>
      </c>
      <c r="F399" s="22">
        <v>3</v>
      </c>
      <c r="G399" s="22">
        <f>IF(OR(E399="U16", E399="S16"),1,IF(E399="TS",6,2))</f>
        <v>2</v>
      </c>
      <c r="H399" s="37">
        <v>4</v>
      </c>
    </row>
    <row r="400" spans="1:9" ht="15.95" customHeight="1" x14ac:dyDescent="0.3">
      <c r="A400" s="36">
        <f t="shared" si="29"/>
        <v>4140</v>
      </c>
      <c r="B400" s="14" t="s">
        <v>498</v>
      </c>
      <c r="C400" s="12"/>
      <c r="D400" s="12"/>
      <c r="E400" s="22" t="s">
        <v>352</v>
      </c>
      <c r="F400" s="22">
        <v>3</v>
      </c>
      <c r="G400" s="22">
        <f>IF(OR(E400="U16", E400="S16"),1,IF(E400="TS",6,2))</f>
        <v>2</v>
      </c>
      <c r="H400" s="37">
        <v>1</v>
      </c>
    </row>
    <row r="401" spans="1:9" ht="15.95" customHeight="1" x14ac:dyDescent="0.3">
      <c r="A401" s="36">
        <f t="shared" si="29"/>
        <v>4142</v>
      </c>
      <c r="B401" s="14" t="s">
        <v>235</v>
      </c>
      <c r="C401" s="12"/>
      <c r="D401" s="12"/>
      <c r="E401" s="22" t="s">
        <v>140</v>
      </c>
      <c r="F401" s="22">
        <v>3</v>
      </c>
      <c r="G401" s="22">
        <f t="shared" si="33"/>
        <v>1</v>
      </c>
      <c r="H401" s="37">
        <v>1</v>
      </c>
    </row>
    <row r="402" spans="1:9" ht="15.95" customHeight="1" x14ac:dyDescent="0.3">
      <c r="A402" s="36">
        <f t="shared" si="29"/>
        <v>4143</v>
      </c>
      <c r="B402" s="14" t="s">
        <v>494</v>
      </c>
      <c r="C402" s="13"/>
      <c r="D402" s="13"/>
      <c r="E402" s="22" t="s">
        <v>140</v>
      </c>
      <c r="F402" s="22">
        <v>3</v>
      </c>
      <c r="G402" s="22">
        <f>IF(OR(E402="U16", E402="S16"),1,IF(E402="TS",6,2))</f>
        <v>1</v>
      </c>
      <c r="H402" s="37">
        <v>1</v>
      </c>
    </row>
    <row r="403" spans="1:9" ht="15.95" customHeight="1" thickBot="1" x14ac:dyDescent="0.35">
      <c r="A403" s="38">
        <f t="shared" si="29"/>
        <v>4144</v>
      </c>
      <c r="B403" s="141"/>
      <c r="C403" s="142"/>
      <c r="D403" s="142"/>
      <c r="E403" s="62" t="s">
        <v>140</v>
      </c>
      <c r="F403" s="62"/>
      <c r="G403" s="62">
        <f>IF(OR(E403="U16", E403="S16"),1,IF(E403="TS",6,2))</f>
        <v>1</v>
      </c>
      <c r="H403" s="41">
        <v>56</v>
      </c>
    </row>
    <row r="404" spans="1:9" ht="15.95" customHeight="1" thickBot="1" x14ac:dyDescent="0.35">
      <c r="A404" s="198" t="s">
        <v>966</v>
      </c>
      <c r="B404" s="199"/>
      <c r="C404" s="199"/>
      <c r="D404" s="199"/>
      <c r="E404" s="199"/>
      <c r="F404" s="199"/>
      <c r="G404" s="199"/>
      <c r="H404" s="200"/>
    </row>
    <row r="405" spans="1:9" ht="15.95" customHeight="1" x14ac:dyDescent="0.3">
      <c r="A405" s="32">
        <f>A403+(G403*H403)</f>
        <v>4200</v>
      </c>
      <c r="B405" s="57" t="s">
        <v>496</v>
      </c>
      <c r="C405" s="58"/>
      <c r="D405" s="58"/>
      <c r="E405" s="53" t="s">
        <v>140</v>
      </c>
      <c r="F405" s="53">
        <v>3</v>
      </c>
      <c r="G405" s="53">
        <f t="shared" ref="G405:G412" si="34">IF(OR(E405="U16", E405="S16"),1,IF(E405="TS",6,2))</f>
        <v>1</v>
      </c>
      <c r="H405" s="35">
        <v>1</v>
      </c>
    </row>
    <row r="406" spans="1:9" ht="15.95" customHeight="1" x14ac:dyDescent="0.3">
      <c r="A406" s="36">
        <f t="shared" ref="A406:A446" si="35">A405+(G405*H405)</f>
        <v>4201</v>
      </c>
      <c r="B406" s="14" t="s">
        <v>497</v>
      </c>
      <c r="C406" s="12"/>
      <c r="D406" s="12"/>
      <c r="E406" s="22" t="s">
        <v>140</v>
      </c>
      <c r="F406" s="22">
        <v>3</v>
      </c>
      <c r="G406" s="22">
        <f t="shared" si="34"/>
        <v>1</v>
      </c>
      <c r="H406" s="37">
        <v>1</v>
      </c>
    </row>
    <row r="407" spans="1:9" ht="15.95" customHeight="1" x14ac:dyDescent="0.3">
      <c r="A407" s="36">
        <f t="shared" si="35"/>
        <v>4202</v>
      </c>
      <c r="B407" s="14" t="s">
        <v>564</v>
      </c>
      <c r="C407" s="12"/>
      <c r="D407" s="12"/>
      <c r="E407" s="22" t="s">
        <v>352</v>
      </c>
      <c r="F407" s="22">
        <v>3</v>
      </c>
      <c r="G407" s="22">
        <f t="shared" si="34"/>
        <v>2</v>
      </c>
      <c r="H407" s="37">
        <v>1</v>
      </c>
    </row>
    <row r="408" spans="1:9" ht="15.95" customHeight="1" x14ac:dyDescent="0.3">
      <c r="A408" s="36">
        <f t="shared" si="35"/>
        <v>4204</v>
      </c>
      <c r="B408" s="219" t="s">
        <v>1089</v>
      </c>
      <c r="C408" s="65" t="s">
        <v>533</v>
      </c>
      <c r="D408" s="12"/>
      <c r="E408" s="12" t="s">
        <v>140</v>
      </c>
      <c r="F408" s="12">
        <v>3</v>
      </c>
      <c r="G408" s="12">
        <f t="shared" si="34"/>
        <v>1</v>
      </c>
      <c r="H408" s="37">
        <v>1</v>
      </c>
    </row>
    <row r="409" spans="1:9" ht="15.95" customHeight="1" x14ac:dyDescent="0.3">
      <c r="A409" s="36">
        <f t="shared" si="35"/>
        <v>4205</v>
      </c>
      <c r="B409" s="220"/>
      <c r="C409" s="65" t="s">
        <v>1084</v>
      </c>
      <c r="D409" s="12"/>
      <c r="E409" s="12" t="s">
        <v>140</v>
      </c>
      <c r="F409" s="12">
        <v>3</v>
      </c>
      <c r="G409" s="12">
        <f t="shared" si="34"/>
        <v>1</v>
      </c>
      <c r="H409" s="37">
        <v>1</v>
      </c>
    </row>
    <row r="410" spans="1:9" ht="15.95" customHeight="1" x14ac:dyDescent="0.3">
      <c r="A410" s="36">
        <f t="shared" si="35"/>
        <v>4206</v>
      </c>
      <c r="B410" s="220"/>
      <c r="C410" s="65" t="s">
        <v>1085</v>
      </c>
      <c r="D410" s="12"/>
      <c r="E410" s="12" t="s">
        <v>57</v>
      </c>
      <c r="F410" s="12">
        <v>3</v>
      </c>
      <c r="G410" s="12">
        <f t="shared" si="34"/>
        <v>2</v>
      </c>
      <c r="H410" s="37">
        <v>1</v>
      </c>
    </row>
    <row r="411" spans="1:9" ht="15.95" customHeight="1" x14ac:dyDescent="0.3">
      <c r="A411" s="36">
        <f t="shared" si="35"/>
        <v>4208</v>
      </c>
      <c r="B411" s="220"/>
      <c r="C411" s="65" t="s">
        <v>1086</v>
      </c>
      <c r="D411" s="12"/>
      <c r="E411" s="12" t="s">
        <v>140</v>
      </c>
      <c r="F411" s="12">
        <v>3</v>
      </c>
      <c r="G411" s="12">
        <f t="shared" si="34"/>
        <v>1</v>
      </c>
      <c r="H411" s="37">
        <v>1</v>
      </c>
    </row>
    <row r="412" spans="1:9" ht="15.95" customHeight="1" x14ac:dyDescent="0.3">
      <c r="A412" s="36">
        <f t="shared" si="35"/>
        <v>4209</v>
      </c>
      <c r="B412" s="221"/>
      <c r="C412" s="65" t="s">
        <v>1087</v>
      </c>
      <c r="D412" s="12"/>
      <c r="E412" s="12" t="s">
        <v>140</v>
      </c>
      <c r="F412" s="12">
        <v>3</v>
      </c>
      <c r="G412" s="12">
        <f t="shared" si="34"/>
        <v>1</v>
      </c>
      <c r="H412" s="37">
        <v>1</v>
      </c>
    </row>
    <row r="413" spans="1:9" ht="15.95" customHeight="1" x14ac:dyDescent="0.3">
      <c r="A413" s="36">
        <f t="shared" si="35"/>
        <v>4210</v>
      </c>
      <c r="B413" s="14" t="s">
        <v>1088</v>
      </c>
      <c r="C413" s="12"/>
      <c r="D413" s="12"/>
      <c r="E413" s="22" t="s">
        <v>140</v>
      </c>
      <c r="F413" s="22">
        <v>3</v>
      </c>
      <c r="G413" s="22">
        <f t="shared" ref="G413:G444" si="36">IF(OR(E413="U16", E413="S16"),1,IF(E413="TS",6,2))</f>
        <v>1</v>
      </c>
      <c r="H413" s="37">
        <v>6</v>
      </c>
      <c r="I413" s="10" t="s">
        <v>831</v>
      </c>
    </row>
    <row r="414" spans="1:9" ht="15.95" customHeight="1" x14ac:dyDescent="0.3">
      <c r="A414" s="36">
        <f t="shared" si="35"/>
        <v>4216</v>
      </c>
      <c r="B414" s="14" t="s">
        <v>295</v>
      </c>
      <c r="C414" s="12"/>
      <c r="D414" s="12"/>
      <c r="E414" s="22" t="s">
        <v>140</v>
      </c>
      <c r="F414" s="22">
        <v>3</v>
      </c>
      <c r="G414" s="22">
        <f t="shared" si="36"/>
        <v>1</v>
      </c>
      <c r="H414" s="37">
        <v>6</v>
      </c>
    </row>
    <row r="415" spans="1:9" ht="15.95" customHeight="1" x14ac:dyDescent="0.3">
      <c r="A415" s="36">
        <f t="shared" si="35"/>
        <v>4222</v>
      </c>
      <c r="B415" s="14" t="s">
        <v>296</v>
      </c>
      <c r="C415" s="12"/>
      <c r="D415" s="12"/>
      <c r="E415" s="22" t="s">
        <v>140</v>
      </c>
      <c r="F415" s="22">
        <v>3</v>
      </c>
      <c r="G415" s="22">
        <f t="shared" si="36"/>
        <v>1</v>
      </c>
      <c r="H415" s="37">
        <v>6</v>
      </c>
    </row>
    <row r="416" spans="1:9" ht="15.95" customHeight="1" x14ac:dyDescent="0.3">
      <c r="A416" s="36">
        <f t="shared" si="35"/>
        <v>4228</v>
      </c>
      <c r="B416" s="14" t="s">
        <v>297</v>
      </c>
      <c r="C416" s="12"/>
      <c r="D416" s="12"/>
      <c r="E416" s="22" t="s">
        <v>140</v>
      </c>
      <c r="F416" s="22">
        <v>3</v>
      </c>
      <c r="G416" s="22">
        <f t="shared" si="36"/>
        <v>1</v>
      </c>
      <c r="H416" s="37">
        <v>6</v>
      </c>
    </row>
    <row r="417" spans="1:8" ht="15.95" customHeight="1" x14ac:dyDescent="0.3">
      <c r="A417" s="36">
        <f t="shared" si="35"/>
        <v>4234</v>
      </c>
      <c r="B417" s="14" t="s">
        <v>298</v>
      </c>
      <c r="C417" s="12"/>
      <c r="D417" s="12"/>
      <c r="E417" s="22" t="s">
        <v>140</v>
      </c>
      <c r="F417" s="22">
        <v>3</v>
      </c>
      <c r="G417" s="22">
        <f t="shared" si="36"/>
        <v>1</v>
      </c>
      <c r="H417" s="37">
        <v>6</v>
      </c>
    </row>
    <row r="418" spans="1:8" ht="15.95" customHeight="1" x14ac:dyDescent="0.3">
      <c r="A418" s="36">
        <f t="shared" si="35"/>
        <v>4240</v>
      </c>
      <c r="B418" s="14" t="s">
        <v>299</v>
      </c>
      <c r="C418" s="12"/>
      <c r="D418" s="12"/>
      <c r="E418" s="22" t="s">
        <v>140</v>
      </c>
      <c r="F418" s="22">
        <v>3</v>
      </c>
      <c r="G418" s="22">
        <f t="shared" si="36"/>
        <v>1</v>
      </c>
      <c r="H418" s="37">
        <v>6</v>
      </c>
    </row>
    <row r="419" spans="1:8" ht="15.95" customHeight="1" x14ac:dyDescent="0.3">
      <c r="A419" s="36">
        <f t="shared" si="35"/>
        <v>4246</v>
      </c>
      <c r="B419" s="14" t="s">
        <v>300</v>
      </c>
      <c r="C419" s="12"/>
      <c r="D419" s="12"/>
      <c r="E419" s="22" t="s">
        <v>140</v>
      </c>
      <c r="F419" s="22">
        <v>3</v>
      </c>
      <c r="G419" s="22">
        <f t="shared" si="36"/>
        <v>1</v>
      </c>
      <c r="H419" s="37">
        <v>6</v>
      </c>
    </row>
    <row r="420" spans="1:8" ht="15.95" customHeight="1" x14ac:dyDescent="0.3">
      <c r="A420" s="36">
        <f t="shared" si="35"/>
        <v>4252</v>
      </c>
      <c r="B420" s="14" t="s">
        <v>301</v>
      </c>
      <c r="C420" s="12"/>
      <c r="D420" s="12"/>
      <c r="E420" s="22" t="s">
        <v>140</v>
      </c>
      <c r="F420" s="22">
        <v>3</v>
      </c>
      <c r="G420" s="22">
        <f t="shared" si="36"/>
        <v>1</v>
      </c>
      <c r="H420" s="37">
        <v>6</v>
      </c>
    </row>
    <row r="421" spans="1:8" ht="15.95" customHeight="1" x14ac:dyDescent="0.3">
      <c r="A421" s="36">
        <f t="shared" si="35"/>
        <v>4258</v>
      </c>
      <c r="B421" s="14" t="s">
        <v>302</v>
      </c>
      <c r="C421" s="12"/>
      <c r="D421" s="12"/>
      <c r="E421" s="22" t="s">
        <v>140</v>
      </c>
      <c r="F421" s="22">
        <v>3</v>
      </c>
      <c r="G421" s="22">
        <f t="shared" si="36"/>
        <v>1</v>
      </c>
      <c r="H421" s="37">
        <v>6</v>
      </c>
    </row>
    <row r="422" spans="1:8" ht="15.95" customHeight="1" x14ac:dyDescent="0.3">
      <c r="A422" s="36">
        <f t="shared" si="35"/>
        <v>4264</v>
      </c>
      <c r="B422" s="14" t="s">
        <v>303</v>
      </c>
      <c r="C422" s="12"/>
      <c r="D422" s="12"/>
      <c r="E422" s="22" t="s">
        <v>140</v>
      </c>
      <c r="F422" s="22">
        <v>3</v>
      </c>
      <c r="G422" s="22">
        <f t="shared" si="36"/>
        <v>1</v>
      </c>
      <c r="H422" s="37">
        <v>6</v>
      </c>
    </row>
    <row r="423" spans="1:8" ht="15.95" customHeight="1" x14ac:dyDescent="0.3">
      <c r="A423" s="36">
        <f t="shared" si="35"/>
        <v>4270</v>
      </c>
      <c r="B423" s="14" t="s">
        <v>304</v>
      </c>
      <c r="C423" s="12"/>
      <c r="D423" s="12"/>
      <c r="E423" s="22" t="s">
        <v>140</v>
      </c>
      <c r="F423" s="22">
        <v>3</v>
      </c>
      <c r="G423" s="22">
        <f t="shared" si="36"/>
        <v>1</v>
      </c>
      <c r="H423" s="37">
        <v>6</v>
      </c>
    </row>
    <row r="424" spans="1:8" ht="15.95" customHeight="1" x14ac:dyDescent="0.3">
      <c r="A424" s="36">
        <f t="shared" si="35"/>
        <v>4276</v>
      </c>
      <c r="B424" s="14" t="s">
        <v>305</v>
      </c>
      <c r="C424" s="12"/>
      <c r="D424" s="12"/>
      <c r="E424" s="22" t="s">
        <v>140</v>
      </c>
      <c r="F424" s="22">
        <v>3</v>
      </c>
      <c r="G424" s="22">
        <f t="shared" si="36"/>
        <v>1</v>
      </c>
      <c r="H424" s="37">
        <v>6</v>
      </c>
    </row>
    <row r="425" spans="1:8" ht="15.95" customHeight="1" x14ac:dyDescent="0.3">
      <c r="A425" s="36">
        <f t="shared" si="35"/>
        <v>4282</v>
      </c>
      <c r="B425" s="14" t="s">
        <v>306</v>
      </c>
      <c r="C425" s="12"/>
      <c r="D425" s="12"/>
      <c r="E425" s="22" t="s">
        <v>140</v>
      </c>
      <c r="F425" s="22">
        <v>3</v>
      </c>
      <c r="G425" s="22">
        <f t="shared" si="36"/>
        <v>1</v>
      </c>
      <c r="H425" s="37">
        <v>6</v>
      </c>
    </row>
    <row r="426" spans="1:8" ht="15.95" customHeight="1" x14ac:dyDescent="0.3">
      <c r="A426" s="36">
        <f t="shared" si="35"/>
        <v>4288</v>
      </c>
      <c r="B426" s="14" t="s">
        <v>307</v>
      </c>
      <c r="C426" s="12"/>
      <c r="D426" s="12"/>
      <c r="E426" s="22" t="s">
        <v>140</v>
      </c>
      <c r="F426" s="22">
        <v>3</v>
      </c>
      <c r="G426" s="22">
        <f t="shared" si="36"/>
        <v>1</v>
      </c>
      <c r="H426" s="37">
        <v>6</v>
      </c>
    </row>
    <row r="427" spans="1:8" ht="15.95" customHeight="1" x14ac:dyDescent="0.3">
      <c r="A427" s="36">
        <f t="shared" si="35"/>
        <v>4294</v>
      </c>
      <c r="B427" s="14" t="s">
        <v>308</v>
      </c>
      <c r="C427" s="12"/>
      <c r="D427" s="12"/>
      <c r="E427" s="22" t="s">
        <v>140</v>
      </c>
      <c r="F427" s="22">
        <v>3</v>
      </c>
      <c r="G427" s="22">
        <f t="shared" si="36"/>
        <v>1</v>
      </c>
      <c r="H427" s="37">
        <v>6</v>
      </c>
    </row>
    <row r="428" spans="1:8" ht="15.95" customHeight="1" x14ac:dyDescent="0.3">
      <c r="A428" s="36">
        <f t="shared" si="35"/>
        <v>4300</v>
      </c>
      <c r="B428" s="14" t="s">
        <v>309</v>
      </c>
      <c r="C428" s="12"/>
      <c r="D428" s="12"/>
      <c r="E428" s="22" t="s">
        <v>140</v>
      </c>
      <c r="F428" s="22">
        <v>3</v>
      </c>
      <c r="G428" s="22">
        <f t="shared" si="36"/>
        <v>1</v>
      </c>
      <c r="H428" s="37">
        <v>6</v>
      </c>
    </row>
    <row r="429" spans="1:8" ht="15.95" customHeight="1" x14ac:dyDescent="0.3">
      <c r="A429" s="36">
        <f t="shared" si="35"/>
        <v>4306</v>
      </c>
      <c r="B429" s="14" t="s">
        <v>310</v>
      </c>
      <c r="C429" s="12"/>
      <c r="D429" s="12"/>
      <c r="E429" s="22" t="s">
        <v>140</v>
      </c>
      <c r="F429" s="22">
        <v>3</v>
      </c>
      <c r="G429" s="22">
        <f t="shared" si="36"/>
        <v>1</v>
      </c>
      <c r="H429" s="37">
        <v>6</v>
      </c>
    </row>
    <row r="430" spans="1:8" ht="15.95" customHeight="1" x14ac:dyDescent="0.3">
      <c r="A430" s="36">
        <f t="shared" si="35"/>
        <v>4312</v>
      </c>
      <c r="B430" s="14" t="s">
        <v>311</v>
      </c>
      <c r="C430" s="12"/>
      <c r="D430" s="12"/>
      <c r="E430" s="22" t="s">
        <v>140</v>
      </c>
      <c r="F430" s="22">
        <v>3</v>
      </c>
      <c r="G430" s="22">
        <f t="shared" si="36"/>
        <v>1</v>
      </c>
      <c r="H430" s="37">
        <v>6</v>
      </c>
    </row>
    <row r="431" spans="1:8" ht="15.95" customHeight="1" x14ac:dyDescent="0.3">
      <c r="A431" s="36">
        <f t="shared" si="35"/>
        <v>4318</v>
      </c>
      <c r="B431" s="14" t="s">
        <v>312</v>
      </c>
      <c r="C431" s="12"/>
      <c r="D431" s="12"/>
      <c r="E431" s="22" t="s">
        <v>140</v>
      </c>
      <c r="F431" s="22">
        <v>3</v>
      </c>
      <c r="G431" s="22">
        <f t="shared" si="36"/>
        <v>1</v>
      </c>
      <c r="H431" s="37">
        <v>6</v>
      </c>
    </row>
    <row r="432" spans="1:8" ht="15.95" customHeight="1" x14ac:dyDescent="0.3">
      <c r="A432" s="36">
        <f t="shared" si="35"/>
        <v>4324</v>
      </c>
      <c r="B432" s="14" t="s">
        <v>313</v>
      </c>
      <c r="C432" s="12"/>
      <c r="D432" s="12"/>
      <c r="E432" s="22" t="s">
        <v>140</v>
      </c>
      <c r="F432" s="22">
        <v>3</v>
      </c>
      <c r="G432" s="22">
        <f t="shared" si="36"/>
        <v>1</v>
      </c>
      <c r="H432" s="37">
        <v>6</v>
      </c>
    </row>
    <row r="433" spans="1:8" ht="15.95" customHeight="1" x14ac:dyDescent="0.3">
      <c r="A433" s="36">
        <f t="shared" si="35"/>
        <v>4330</v>
      </c>
      <c r="B433" s="14" t="s">
        <v>314</v>
      </c>
      <c r="C433" s="12"/>
      <c r="D433" s="12"/>
      <c r="E433" s="22" t="s">
        <v>140</v>
      </c>
      <c r="F433" s="22">
        <v>3</v>
      </c>
      <c r="G433" s="22">
        <f t="shared" si="36"/>
        <v>1</v>
      </c>
      <c r="H433" s="37">
        <v>6</v>
      </c>
    </row>
    <row r="434" spans="1:8" ht="15.95" customHeight="1" x14ac:dyDescent="0.3">
      <c r="A434" s="36">
        <f t="shared" si="35"/>
        <v>4336</v>
      </c>
      <c r="B434" s="14" t="s">
        <v>315</v>
      </c>
      <c r="C434" s="12"/>
      <c r="D434" s="12"/>
      <c r="E434" s="22" t="s">
        <v>140</v>
      </c>
      <c r="F434" s="22">
        <v>3</v>
      </c>
      <c r="G434" s="22">
        <f t="shared" si="36"/>
        <v>1</v>
      </c>
      <c r="H434" s="37">
        <v>6</v>
      </c>
    </row>
    <row r="435" spans="1:8" ht="15.95" customHeight="1" x14ac:dyDescent="0.3">
      <c r="A435" s="36">
        <f t="shared" si="35"/>
        <v>4342</v>
      </c>
      <c r="B435" s="14" t="s">
        <v>316</v>
      </c>
      <c r="C435" s="12"/>
      <c r="D435" s="12"/>
      <c r="E435" s="22" t="s">
        <v>140</v>
      </c>
      <c r="F435" s="22">
        <v>3</v>
      </c>
      <c r="G435" s="22">
        <f t="shared" si="36"/>
        <v>1</v>
      </c>
      <c r="H435" s="37">
        <v>6</v>
      </c>
    </row>
    <row r="436" spans="1:8" ht="15.95" customHeight="1" x14ac:dyDescent="0.3">
      <c r="A436" s="36">
        <f t="shared" si="35"/>
        <v>4348</v>
      </c>
      <c r="B436" s="14" t="s">
        <v>317</v>
      </c>
      <c r="C436" s="12"/>
      <c r="D436" s="12"/>
      <c r="E436" s="22" t="s">
        <v>140</v>
      </c>
      <c r="F436" s="22">
        <v>3</v>
      </c>
      <c r="G436" s="22">
        <f t="shared" si="36"/>
        <v>1</v>
      </c>
      <c r="H436" s="37">
        <v>6</v>
      </c>
    </row>
    <row r="437" spans="1:8" ht="15.95" customHeight="1" x14ac:dyDescent="0.3">
      <c r="A437" s="36">
        <f t="shared" si="35"/>
        <v>4354</v>
      </c>
      <c r="B437" s="14" t="s">
        <v>318</v>
      </c>
      <c r="C437" s="12"/>
      <c r="D437" s="12"/>
      <c r="E437" s="22" t="s">
        <v>140</v>
      </c>
      <c r="F437" s="22">
        <v>3</v>
      </c>
      <c r="G437" s="22">
        <f t="shared" si="36"/>
        <v>1</v>
      </c>
      <c r="H437" s="37">
        <v>6</v>
      </c>
    </row>
    <row r="438" spans="1:8" ht="15.95" customHeight="1" x14ac:dyDescent="0.3">
      <c r="A438" s="36">
        <f t="shared" si="35"/>
        <v>4360</v>
      </c>
      <c r="B438" s="14" t="s">
        <v>319</v>
      </c>
      <c r="C438" s="12"/>
      <c r="D438" s="12"/>
      <c r="E438" s="22" t="s">
        <v>140</v>
      </c>
      <c r="F438" s="22">
        <v>3</v>
      </c>
      <c r="G438" s="22">
        <f t="shared" si="36"/>
        <v>1</v>
      </c>
      <c r="H438" s="37">
        <v>6</v>
      </c>
    </row>
    <row r="439" spans="1:8" ht="15.95" customHeight="1" x14ac:dyDescent="0.3">
      <c r="A439" s="36">
        <f t="shared" si="35"/>
        <v>4366</v>
      </c>
      <c r="B439" s="14" t="s">
        <v>320</v>
      </c>
      <c r="C439" s="12"/>
      <c r="D439" s="12"/>
      <c r="E439" s="22" t="s">
        <v>140</v>
      </c>
      <c r="F439" s="22">
        <v>3</v>
      </c>
      <c r="G439" s="22">
        <f t="shared" si="36"/>
        <v>1</v>
      </c>
      <c r="H439" s="37">
        <v>6</v>
      </c>
    </row>
    <row r="440" spans="1:8" ht="15.95" customHeight="1" x14ac:dyDescent="0.3">
      <c r="A440" s="36">
        <f t="shared" si="35"/>
        <v>4372</v>
      </c>
      <c r="B440" s="14" t="s">
        <v>321</v>
      </c>
      <c r="C440" s="12"/>
      <c r="D440" s="12"/>
      <c r="E440" s="22" t="s">
        <v>140</v>
      </c>
      <c r="F440" s="22">
        <v>3</v>
      </c>
      <c r="G440" s="22">
        <f t="shared" si="36"/>
        <v>1</v>
      </c>
      <c r="H440" s="37">
        <v>6</v>
      </c>
    </row>
    <row r="441" spans="1:8" ht="15.95" customHeight="1" x14ac:dyDescent="0.3">
      <c r="A441" s="36">
        <f t="shared" si="35"/>
        <v>4378</v>
      </c>
      <c r="B441" s="14" t="s">
        <v>322</v>
      </c>
      <c r="C441" s="12"/>
      <c r="D441" s="12"/>
      <c r="E441" s="22" t="s">
        <v>140</v>
      </c>
      <c r="F441" s="22">
        <v>3</v>
      </c>
      <c r="G441" s="22">
        <f t="shared" si="36"/>
        <v>1</v>
      </c>
      <c r="H441" s="37">
        <v>6</v>
      </c>
    </row>
    <row r="442" spans="1:8" ht="15.95" customHeight="1" x14ac:dyDescent="0.3">
      <c r="A442" s="36">
        <f t="shared" si="35"/>
        <v>4384</v>
      </c>
      <c r="B442" s="14" t="s">
        <v>323</v>
      </c>
      <c r="C442" s="12"/>
      <c r="D442" s="12"/>
      <c r="E442" s="22" t="s">
        <v>140</v>
      </c>
      <c r="F442" s="22">
        <v>3</v>
      </c>
      <c r="G442" s="22">
        <f t="shared" si="36"/>
        <v>1</v>
      </c>
      <c r="H442" s="37">
        <v>6</v>
      </c>
    </row>
    <row r="443" spans="1:8" ht="15.95" customHeight="1" x14ac:dyDescent="0.3">
      <c r="A443" s="36">
        <f t="shared" si="35"/>
        <v>4390</v>
      </c>
      <c r="B443" s="14" t="s">
        <v>324</v>
      </c>
      <c r="C443" s="12"/>
      <c r="D443" s="12"/>
      <c r="E443" s="22" t="s">
        <v>140</v>
      </c>
      <c r="F443" s="22">
        <v>3</v>
      </c>
      <c r="G443" s="22">
        <f t="shared" si="36"/>
        <v>1</v>
      </c>
      <c r="H443" s="37">
        <v>6</v>
      </c>
    </row>
    <row r="444" spans="1:8" ht="15.95" customHeight="1" x14ac:dyDescent="0.3">
      <c r="A444" s="36">
        <f t="shared" si="35"/>
        <v>4396</v>
      </c>
      <c r="B444" s="14" t="s">
        <v>565</v>
      </c>
      <c r="C444" s="12"/>
      <c r="D444" s="12"/>
      <c r="E444" s="22" t="s">
        <v>271</v>
      </c>
      <c r="F444" s="22">
        <v>3</v>
      </c>
      <c r="G444" s="22">
        <f t="shared" si="36"/>
        <v>2</v>
      </c>
      <c r="H444" s="37">
        <v>1</v>
      </c>
    </row>
    <row r="445" spans="1:8" ht="27" x14ac:dyDescent="0.3">
      <c r="A445" s="36">
        <f t="shared" si="35"/>
        <v>4398</v>
      </c>
      <c r="B445" s="14" t="s">
        <v>832</v>
      </c>
      <c r="C445" s="12"/>
      <c r="D445" s="12"/>
      <c r="E445" s="22" t="s">
        <v>140</v>
      </c>
      <c r="F445" s="22">
        <v>3</v>
      </c>
      <c r="G445" s="22">
        <f>IF(OR(E445="U16", E445="S16"),1,IF(E445="TS",6,2))</f>
        <v>1</v>
      </c>
      <c r="H445" s="37">
        <v>1</v>
      </c>
    </row>
    <row r="446" spans="1:8" ht="15.95" customHeight="1" thickBot="1" x14ac:dyDescent="0.35">
      <c r="A446" s="38">
        <f t="shared" si="35"/>
        <v>4399</v>
      </c>
      <c r="B446" s="60"/>
      <c r="C446" s="61"/>
      <c r="D446" s="61"/>
      <c r="E446" s="62" t="s">
        <v>140</v>
      </c>
      <c r="F446" s="62"/>
      <c r="G446" s="62">
        <f>IF(OR(E446="U16", E446="S16"),1,IF(E446="TS",6,2))</f>
        <v>1</v>
      </c>
      <c r="H446" s="41">
        <v>1</v>
      </c>
    </row>
    <row r="447" spans="1:8" ht="15.95" customHeight="1" thickBot="1" x14ac:dyDescent="0.35">
      <c r="A447" s="190" t="s">
        <v>965</v>
      </c>
      <c r="B447" s="191"/>
      <c r="C447" s="191"/>
      <c r="D447" s="191"/>
      <c r="E447" s="191"/>
      <c r="F447" s="191"/>
      <c r="G447" s="191"/>
      <c r="H447" s="192"/>
    </row>
    <row r="448" spans="1:8" ht="15.95" customHeight="1" x14ac:dyDescent="0.3">
      <c r="A448" s="32">
        <f>A446+(G446*H446)</f>
        <v>4400</v>
      </c>
      <c r="B448" s="57" t="s">
        <v>1239</v>
      </c>
      <c r="C448" s="58" t="s">
        <v>1240</v>
      </c>
      <c r="D448" s="58"/>
      <c r="E448" s="53" t="s">
        <v>140</v>
      </c>
      <c r="F448" s="53">
        <v>3</v>
      </c>
      <c r="G448" s="53">
        <f t="shared" ref="G448:G456" si="37">IF(OR(E448="U16", E448="S16"),1,IF(E448="TS",6,2))</f>
        <v>1</v>
      </c>
      <c r="H448" s="35">
        <v>1</v>
      </c>
    </row>
    <row r="449" spans="1:10" ht="15.95" customHeight="1" x14ac:dyDescent="0.3">
      <c r="A449" s="36">
        <f t="shared" ref="A449:A488" si="38">A448+(G448*H448)</f>
        <v>4401</v>
      </c>
      <c r="B449" s="14" t="s">
        <v>1233</v>
      </c>
      <c r="C449" s="12" t="s">
        <v>1240</v>
      </c>
      <c r="D449" s="12"/>
      <c r="E449" s="22" t="s">
        <v>140</v>
      </c>
      <c r="F449" s="22">
        <v>3</v>
      </c>
      <c r="G449" s="22">
        <f t="shared" si="37"/>
        <v>1</v>
      </c>
      <c r="H449" s="37">
        <v>1</v>
      </c>
    </row>
    <row r="450" spans="1:10" ht="15.95" customHeight="1" x14ac:dyDescent="0.3">
      <c r="A450" s="36">
        <f t="shared" si="38"/>
        <v>4402</v>
      </c>
      <c r="B450" s="14" t="s">
        <v>1234</v>
      </c>
      <c r="C450" s="12" t="s">
        <v>1240</v>
      </c>
      <c r="D450" s="12"/>
      <c r="E450" s="22" t="s">
        <v>140</v>
      </c>
      <c r="F450" s="22">
        <v>3</v>
      </c>
      <c r="G450" s="22">
        <f t="shared" si="37"/>
        <v>1</v>
      </c>
      <c r="H450" s="37">
        <v>1</v>
      </c>
    </row>
    <row r="451" spans="1:10" ht="15.95" customHeight="1" thickBot="1" x14ac:dyDescent="0.35">
      <c r="A451" s="59">
        <f t="shared" si="38"/>
        <v>4403</v>
      </c>
      <c r="B451" s="46" t="s">
        <v>1235</v>
      </c>
      <c r="C451" s="61" t="s">
        <v>1236</v>
      </c>
      <c r="D451" s="119"/>
      <c r="E451" s="24" t="s">
        <v>140</v>
      </c>
      <c r="F451" s="24">
        <v>3</v>
      </c>
      <c r="G451" s="24">
        <f t="shared" si="37"/>
        <v>1</v>
      </c>
      <c r="H451" s="54">
        <v>1</v>
      </c>
    </row>
    <row r="452" spans="1:10" ht="15.95" customHeight="1" x14ac:dyDescent="0.3">
      <c r="A452" s="32">
        <f>A451+(G451*H451)</f>
        <v>4404</v>
      </c>
      <c r="B452" s="222" t="s">
        <v>1114</v>
      </c>
      <c r="C452" s="67" t="s">
        <v>1021</v>
      </c>
      <c r="D452" s="58"/>
      <c r="E452" s="58" t="s">
        <v>90</v>
      </c>
      <c r="F452" s="58">
        <v>3</v>
      </c>
      <c r="G452" s="58">
        <f t="shared" si="37"/>
        <v>2</v>
      </c>
      <c r="H452" s="35">
        <v>1</v>
      </c>
      <c r="J452" s="15" t="s">
        <v>687</v>
      </c>
    </row>
    <row r="453" spans="1:10" ht="15.95" customHeight="1" x14ac:dyDescent="0.3">
      <c r="A453" s="36">
        <f>A452+(G452*H452)</f>
        <v>4406</v>
      </c>
      <c r="B453" s="196"/>
      <c r="C453" s="65" t="s">
        <v>1109</v>
      </c>
      <c r="D453" s="12"/>
      <c r="E453" s="12" t="s">
        <v>140</v>
      </c>
      <c r="F453" s="12">
        <v>3</v>
      </c>
      <c r="G453" s="12">
        <v>1</v>
      </c>
      <c r="H453" s="37">
        <v>1</v>
      </c>
    </row>
    <row r="454" spans="1:10" ht="15.95" customHeight="1" x14ac:dyDescent="0.3">
      <c r="A454" s="36">
        <f>A453+(G453*H453)</f>
        <v>4407</v>
      </c>
      <c r="B454" s="196"/>
      <c r="C454" s="65" t="s">
        <v>1110</v>
      </c>
      <c r="D454" s="12"/>
      <c r="E454" s="12" t="s">
        <v>140</v>
      </c>
      <c r="F454" s="12">
        <v>3</v>
      </c>
      <c r="G454" s="12">
        <f t="shared" si="37"/>
        <v>1</v>
      </c>
      <c r="H454" s="37">
        <v>1</v>
      </c>
    </row>
    <row r="455" spans="1:10" ht="15.95" customHeight="1" x14ac:dyDescent="0.3">
      <c r="A455" s="36">
        <f>A454+(G454*H454)</f>
        <v>4408</v>
      </c>
      <c r="B455" s="196"/>
      <c r="C455" s="65" t="s">
        <v>1111</v>
      </c>
      <c r="D455" s="12"/>
      <c r="E455" s="12" t="s">
        <v>532</v>
      </c>
      <c r="F455" s="12">
        <v>3</v>
      </c>
      <c r="G455" s="12">
        <f>IF(OR(E455="U16", E455="S16"),1,IF(E455="TS",6,2))</f>
        <v>2</v>
      </c>
      <c r="H455" s="37">
        <v>1</v>
      </c>
    </row>
    <row r="456" spans="1:10" ht="15.95" customHeight="1" thickBot="1" x14ac:dyDescent="0.35">
      <c r="A456" s="38">
        <f>A455+(G455*H455)</f>
        <v>4410</v>
      </c>
      <c r="B456" s="223"/>
      <c r="C456" s="68" t="s">
        <v>1112</v>
      </c>
      <c r="D456" s="61"/>
      <c r="E456" s="61" t="s">
        <v>532</v>
      </c>
      <c r="F456" s="61">
        <v>3</v>
      </c>
      <c r="G456" s="61">
        <f t="shared" si="37"/>
        <v>2</v>
      </c>
      <c r="H456" s="41">
        <v>1</v>
      </c>
    </row>
    <row r="457" spans="1:10" ht="15.95" customHeight="1" x14ac:dyDescent="0.3">
      <c r="A457" s="69">
        <f t="shared" si="38"/>
        <v>4412</v>
      </c>
      <c r="B457" s="49" t="s">
        <v>1113</v>
      </c>
      <c r="C457" s="11"/>
      <c r="D457" s="11"/>
      <c r="E457" s="56" t="s">
        <v>140</v>
      </c>
      <c r="F457" s="56">
        <v>3</v>
      </c>
      <c r="G457" s="56">
        <f t="shared" ref="G457:G487" si="39">IF(OR(E457="U16", E457="S16"),1,IF(E457="TS",6,2))</f>
        <v>1</v>
      </c>
      <c r="H457" s="66">
        <v>8</v>
      </c>
    </row>
    <row r="458" spans="1:10" ht="15.95" customHeight="1" x14ac:dyDescent="0.3">
      <c r="A458" s="36">
        <f t="shared" si="38"/>
        <v>4420</v>
      </c>
      <c r="B458" s="14" t="s">
        <v>534</v>
      </c>
      <c r="C458" s="12"/>
      <c r="D458" s="12"/>
      <c r="E458" s="22" t="s">
        <v>140</v>
      </c>
      <c r="F458" s="22">
        <v>3</v>
      </c>
      <c r="G458" s="22">
        <f t="shared" si="39"/>
        <v>1</v>
      </c>
      <c r="H458" s="37">
        <v>8</v>
      </c>
    </row>
    <row r="459" spans="1:10" ht="15.95" customHeight="1" x14ac:dyDescent="0.3">
      <c r="A459" s="36">
        <f t="shared" si="38"/>
        <v>4428</v>
      </c>
      <c r="B459" s="14" t="s">
        <v>535</v>
      </c>
      <c r="C459" s="12"/>
      <c r="D459" s="12"/>
      <c r="E459" s="22" t="s">
        <v>140</v>
      </c>
      <c r="F459" s="22">
        <v>3</v>
      </c>
      <c r="G459" s="22">
        <f t="shared" si="39"/>
        <v>1</v>
      </c>
      <c r="H459" s="37">
        <v>8</v>
      </c>
    </row>
    <row r="460" spans="1:10" ht="15.95" customHeight="1" x14ac:dyDescent="0.3">
      <c r="A460" s="36">
        <f t="shared" si="38"/>
        <v>4436</v>
      </c>
      <c r="B460" s="14" t="s">
        <v>536</v>
      </c>
      <c r="C460" s="12"/>
      <c r="D460" s="12"/>
      <c r="E460" s="22" t="s">
        <v>140</v>
      </c>
      <c r="F460" s="22">
        <v>3</v>
      </c>
      <c r="G460" s="22">
        <f t="shared" si="39"/>
        <v>1</v>
      </c>
      <c r="H460" s="37">
        <v>8</v>
      </c>
    </row>
    <row r="461" spans="1:10" ht="15.95" customHeight="1" x14ac:dyDescent="0.3">
      <c r="A461" s="36">
        <f t="shared" si="38"/>
        <v>4444</v>
      </c>
      <c r="B461" s="14" t="s">
        <v>537</v>
      </c>
      <c r="C461" s="12"/>
      <c r="D461" s="12"/>
      <c r="E461" s="22" t="s">
        <v>140</v>
      </c>
      <c r="F461" s="22">
        <v>3</v>
      </c>
      <c r="G461" s="22">
        <f t="shared" si="39"/>
        <v>1</v>
      </c>
      <c r="H461" s="37">
        <v>8</v>
      </c>
    </row>
    <row r="462" spans="1:10" ht="15.95" customHeight="1" x14ac:dyDescent="0.3">
      <c r="A462" s="36">
        <f t="shared" si="38"/>
        <v>4452</v>
      </c>
      <c r="B462" s="14" t="s">
        <v>538</v>
      </c>
      <c r="C462" s="12"/>
      <c r="D462" s="12"/>
      <c r="E462" s="22" t="s">
        <v>140</v>
      </c>
      <c r="F462" s="22">
        <v>3</v>
      </c>
      <c r="G462" s="22">
        <f t="shared" si="39"/>
        <v>1</v>
      </c>
      <c r="H462" s="37">
        <v>8</v>
      </c>
    </row>
    <row r="463" spans="1:10" ht="15.95" customHeight="1" x14ac:dyDescent="0.3">
      <c r="A463" s="36">
        <f t="shared" si="38"/>
        <v>4460</v>
      </c>
      <c r="B463" s="14" t="s">
        <v>539</v>
      </c>
      <c r="C463" s="12"/>
      <c r="D463" s="12"/>
      <c r="E463" s="22" t="s">
        <v>140</v>
      </c>
      <c r="F463" s="22">
        <v>3</v>
      </c>
      <c r="G463" s="22">
        <f t="shared" si="39"/>
        <v>1</v>
      </c>
      <c r="H463" s="37">
        <v>8</v>
      </c>
    </row>
    <row r="464" spans="1:10" ht="15.95" customHeight="1" x14ac:dyDescent="0.3">
      <c r="A464" s="36">
        <f t="shared" si="38"/>
        <v>4468</v>
      </c>
      <c r="B464" s="14" t="s">
        <v>540</v>
      </c>
      <c r="C464" s="12"/>
      <c r="D464" s="12"/>
      <c r="E464" s="22" t="s">
        <v>140</v>
      </c>
      <c r="F464" s="22">
        <v>3</v>
      </c>
      <c r="G464" s="22">
        <f t="shared" si="39"/>
        <v>1</v>
      </c>
      <c r="H464" s="37">
        <v>8</v>
      </c>
    </row>
    <row r="465" spans="1:8" ht="15.95" customHeight="1" x14ac:dyDescent="0.3">
      <c r="A465" s="36">
        <f t="shared" si="38"/>
        <v>4476</v>
      </c>
      <c r="B465" s="14" t="s">
        <v>541</v>
      </c>
      <c r="C465" s="12"/>
      <c r="D465" s="12"/>
      <c r="E465" s="22" t="s">
        <v>140</v>
      </c>
      <c r="F465" s="22">
        <v>3</v>
      </c>
      <c r="G465" s="22">
        <f t="shared" si="39"/>
        <v>1</v>
      </c>
      <c r="H465" s="37">
        <v>8</v>
      </c>
    </row>
    <row r="466" spans="1:8" ht="15.95" customHeight="1" x14ac:dyDescent="0.3">
      <c r="A466" s="36">
        <f t="shared" si="38"/>
        <v>4484</v>
      </c>
      <c r="B466" s="14" t="s">
        <v>542</v>
      </c>
      <c r="C466" s="12"/>
      <c r="D466" s="12"/>
      <c r="E466" s="22" t="s">
        <v>140</v>
      </c>
      <c r="F466" s="22">
        <v>3</v>
      </c>
      <c r="G466" s="22">
        <f t="shared" si="39"/>
        <v>1</v>
      </c>
      <c r="H466" s="37">
        <v>8</v>
      </c>
    </row>
    <row r="467" spans="1:8" ht="15.95" customHeight="1" x14ac:dyDescent="0.3">
      <c r="A467" s="36">
        <f t="shared" si="38"/>
        <v>4492</v>
      </c>
      <c r="B467" s="14" t="s">
        <v>543</v>
      </c>
      <c r="C467" s="12"/>
      <c r="D467" s="12"/>
      <c r="E467" s="22" t="s">
        <v>140</v>
      </c>
      <c r="F467" s="22">
        <v>3</v>
      </c>
      <c r="G467" s="22">
        <f t="shared" si="39"/>
        <v>1</v>
      </c>
      <c r="H467" s="37">
        <v>8</v>
      </c>
    </row>
    <row r="468" spans="1:8" ht="15.95" customHeight="1" x14ac:dyDescent="0.3">
      <c r="A468" s="36">
        <f t="shared" si="38"/>
        <v>4500</v>
      </c>
      <c r="B468" s="14" t="s">
        <v>544</v>
      </c>
      <c r="C468" s="12"/>
      <c r="D468" s="12"/>
      <c r="E468" s="22" t="s">
        <v>140</v>
      </c>
      <c r="F468" s="22">
        <v>3</v>
      </c>
      <c r="G468" s="22">
        <f t="shared" si="39"/>
        <v>1</v>
      </c>
      <c r="H468" s="37">
        <v>8</v>
      </c>
    </row>
    <row r="469" spans="1:8" ht="15.95" customHeight="1" x14ac:dyDescent="0.3">
      <c r="A469" s="36">
        <f t="shared" si="38"/>
        <v>4508</v>
      </c>
      <c r="B469" s="14" t="s">
        <v>545</v>
      </c>
      <c r="C469" s="12"/>
      <c r="D469" s="12"/>
      <c r="E469" s="22" t="s">
        <v>140</v>
      </c>
      <c r="F469" s="22">
        <v>3</v>
      </c>
      <c r="G469" s="22">
        <f t="shared" si="39"/>
        <v>1</v>
      </c>
      <c r="H469" s="37">
        <v>8</v>
      </c>
    </row>
    <row r="470" spans="1:8" ht="15.95" customHeight="1" x14ac:dyDescent="0.3">
      <c r="A470" s="36">
        <f t="shared" si="38"/>
        <v>4516</v>
      </c>
      <c r="B470" s="14" t="s">
        <v>546</v>
      </c>
      <c r="C470" s="12"/>
      <c r="D470" s="12"/>
      <c r="E470" s="22" t="s">
        <v>140</v>
      </c>
      <c r="F470" s="22">
        <v>3</v>
      </c>
      <c r="G470" s="22">
        <f t="shared" si="39"/>
        <v>1</v>
      </c>
      <c r="H470" s="37">
        <v>8</v>
      </c>
    </row>
    <row r="471" spans="1:8" ht="15.95" customHeight="1" x14ac:dyDescent="0.3">
      <c r="A471" s="36">
        <f t="shared" si="38"/>
        <v>4524</v>
      </c>
      <c r="B471" s="14" t="s">
        <v>547</v>
      </c>
      <c r="C471" s="12"/>
      <c r="D471" s="12"/>
      <c r="E471" s="22" t="s">
        <v>140</v>
      </c>
      <c r="F471" s="22">
        <v>3</v>
      </c>
      <c r="G471" s="22">
        <f t="shared" si="39"/>
        <v>1</v>
      </c>
      <c r="H471" s="37">
        <v>8</v>
      </c>
    </row>
    <row r="472" spans="1:8" ht="15.95" customHeight="1" x14ac:dyDescent="0.3">
      <c r="A472" s="36">
        <f t="shared" si="38"/>
        <v>4532</v>
      </c>
      <c r="B472" s="14" t="s">
        <v>548</v>
      </c>
      <c r="C472" s="12"/>
      <c r="D472" s="12"/>
      <c r="E472" s="22" t="s">
        <v>140</v>
      </c>
      <c r="F472" s="22">
        <v>3</v>
      </c>
      <c r="G472" s="22">
        <f t="shared" si="39"/>
        <v>1</v>
      </c>
      <c r="H472" s="37">
        <v>8</v>
      </c>
    </row>
    <row r="473" spans="1:8" ht="15.95" customHeight="1" x14ac:dyDescent="0.3">
      <c r="A473" s="36">
        <f t="shared" si="38"/>
        <v>4540</v>
      </c>
      <c r="B473" s="14" t="s">
        <v>549</v>
      </c>
      <c r="C473" s="12"/>
      <c r="D473" s="12"/>
      <c r="E473" s="22" t="s">
        <v>140</v>
      </c>
      <c r="F473" s="22">
        <v>3</v>
      </c>
      <c r="G473" s="22">
        <f t="shared" si="39"/>
        <v>1</v>
      </c>
      <c r="H473" s="37">
        <v>8</v>
      </c>
    </row>
    <row r="474" spans="1:8" ht="15.95" customHeight="1" x14ac:dyDescent="0.3">
      <c r="A474" s="36">
        <f t="shared" si="38"/>
        <v>4548</v>
      </c>
      <c r="B474" s="14" t="s">
        <v>550</v>
      </c>
      <c r="C474" s="12"/>
      <c r="D474" s="12"/>
      <c r="E474" s="22" t="s">
        <v>140</v>
      </c>
      <c r="F474" s="22">
        <v>3</v>
      </c>
      <c r="G474" s="22">
        <f t="shared" si="39"/>
        <v>1</v>
      </c>
      <c r="H474" s="37">
        <v>8</v>
      </c>
    </row>
    <row r="475" spans="1:8" ht="15.95" customHeight="1" x14ac:dyDescent="0.3">
      <c r="A475" s="36">
        <f t="shared" si="38"/>
        <v>4556</v>
      </c>
      <c r="B475" s="14" t="s">
        <v>551</v>
      </c>
      <c r="C475" s="12"/>
      <c r="D475" s="12"/>
      <c r="E475" s="22" t="s">
        <v>140</v>
      </c>
      <c r="F475" s="22">
        <v>3</v>
      </c>
      <c r="G475" s="22">
        <f t="shared" si="39"/>
        <v>1</v>
      </c>
      <c r="H475" s="37">
        <v>8</v>
      </c>
    </row>
    <row r="476" spans="1:8" ht="15.95" customHeight="1" x14ac:dyDescent="0.3">
      <c r="A476" s="36">
        <f t="shared" si="38"/>
        <v>4564</v>
      </c>
      <c r="B476" s="14" t="s">
        <v>552</v>
      </c>
      <c r="C476" s="12"/>
      <c r="D476" s="12"/>
      <c r="E476" s="22" t="s">
        <v>140</v>
      </c>
      <c r="F476" s="22">
        <v>3</v>
      </c>
      <c r="G476" s="22">
        <f t="shared" si="39"/>
        <v>1</v>
      </c>
      <c r="H476" s="37">
        <v>8</v>
      </c>
    </row>
    <row r="477" spans="1:8" ht="15.95" customHeight="1" x14ac:dyDescent="0.3">
      <c r="A477" s="36">
        <f t="shared" si="38"/>
        <v>4572</v>
      </c>
      <c r="B477" s="14" t="s">
        <v>553</v>
      </c>
      <c r="C477" s="12"/>
      <c r="D477" s="12"/>
      <c r="E477" s="22" t="s">
        <v>140</v>
      </c>
      <c r="F477" s="22">
        <v>3</v>
      </c>
      <c r="G477" s="22">
        <f t="shared" si="39"/>
        <v>1</v>
      </c>
      <c r="H477" s="37">
        <v>8</v>
      </c>
    </row>
    <row r="478" spans="1:8" ht="15.95" customHeight="1" x14ac:dyDescent="0.3">
      <c r="A478" s="36">
        <f t="shared" si="38"/>
        <v>4580</v>
      </c>
      <c r="B478" s="14" t="s">
        <v>554</v>
      </c>
      <c r="C478" s="12"/>
      <c r="D478" s="12"/>
      <c r="E478" s="22" t="s">
        <v>140</v>
      </c>
      <c r="F478" s="22">
        <v>3</v>
      </c>
      <c r="G478" s="22">
        <f t="shared" si="39"/>
        <v>1</v>
      </c>
      <c r="H478" s="37">
        <v>8</v>
      </c>
    </row>
    <row r="479" spans="1:8" ht="15.95" customHeight="1" x14ac:dyDescent="0.3">
      <c r="A479" s="36">
        <f t="shared" si="38"/>
        <v>4588</v>
      </c>
      <c r="B479" s="14" t="s">
        <v>555</v>
      </c>
      <c r="C479" s="12"/>
      <c r="D479" s="12"/>
      <c r="E479" s="22" t="s">
        <v>140</v>
      </c>
      <c r="F479" s="22">
        <v>3</v>
      </c>
      <c r="G479" s="22">
        <f t="shared" si="39"/>
        <v>1</v>
      </c>
      <c r="H479" s="37">
        <v>8</v>
      </c>
    </row>
    <row r="480" spans="1:8" ht="15.95" customHeight="1" x14ac:dyDescent="0.3">
      <c r="A480" s="36">
        <f t="shared" si="38"/>
        <v>4596</v>
      </c>
      <c r="B480" s="14" t="s">
        <v>556</v>
      </c>
      <c r="C480" s="12"/>
      <c r="D480" s="12"/>
      <c r="E480" s="22" t="s">
        <v>140</v>
      </c>
      <c r="F480" s="22">
        <v>3</v>
      </c>
      <c r="G480" s="22">
        <f t="shared" si="39"/>
        <v>1</v>
      </c>
      <c r="H480" s="37">
        <v>8</v>
      </c>
    </row>
    <row r="481" spans="1:9" ht="15.95" customHeight="1" x14ac:dyDescent="0.3">
      <c r="A481" s="36">
        <f t="shared" si="38"/>
        <v>4604</v>
      </c>
      <c r="B481" s="14" t="s">
        <v>557</v>
      </c>
      <c r="C481" s="12"/>
      <c r="D481" s="12"/>
      <c r="E481" s="22" t="s">
        <v>140</v>
      </c>
      <c r="F481" s="22">
        <v>3</v>
      </c>
      <c r="G481" s="22">
        <f t="shared" si="39"/>
        <v>1</v>
      </c>
      <c r="H481" s="37">
        <v>8</v>
      </c>
    </row>
    <row r="482" spans="1:9" ht="15.95" customHeight="1" x14ac:dyDescent="0.3">
      <c r="A482" s="36">
        <f t="shared" si="38"/>
        <v>4612</v>
      </c>
      <c r="B482" s="14" t="s">
        <v>558</v>
      </c>
      <c r="C482" s="12"/>
      <c r="D482" s="12"/>
      <c r="E482" s="22" t="s">
        <v>140</v>
      </c>
      <c r="F482" s="22">
        <v>3</v>
      </c>
      <c r="G482" s="22">
        <f t="shared" si="39"/>
        <v>1</v>
      </c>
      <c r="H482" s="37">
        <v>8</v>
      </c>
    </row>
    <row r="483" spans="1:9" ht="15.95" customHeight="1" x14ac:dyDescent="0.3">
      <c r="A483" s="36">
        <f t="shared" si="38"/>
        <v>4620</v>
      </c>
      <c r="B483" s="14" t="s">
        <v>559</v>
      </c>
      <c r="C483" s="12"/>
      <c r="D483" s="12"/>
      <c r="E483" s="22" t="s">
        <v>140</v>
      </c>
      <c r="F483" s="22">
        <v>3</v>
      </c>
      <c r="G483" s="22">
        <f t="shared" si="39"/>
        <v>1</v>
      </c>
      <c r="H483" s="37">
        <v>8</v>
      </c>
    </row>
    <row r="484" spans="1:9" ht="15.95" customHeight="1" x14ac:dyDescent="0.3">
      <c r="A484" s="36">
        <f t="shared" si="38"/>
        <v>4628</v>
      </c>
      <c r="B484" s="14" t="s">
        <v>560</v>
      </c>
      <c r="C484" s="12"/>
      <c r="D484" s="12"/>
      <c r="E484" s="22" t="s">
        <v>140</v>
      </c>
      <c r="F484" s="22">
        <v>3</v>
      </c>
      <c r="G484" s="22">
        <f t="shared" si="39"/>
        <v>1</v>
      </c>
      <c r="H484" s="37">
        <v>8</v>
      </c>
    </row>
    <row r="485" spans="1:9" ht="15.95" customHeight="1" x14ac:dyDescent="0.3">
      <c r="A485" s="36">
        <f t="shared" si="38"/>
        <v>4636</v>
      </c>
      <c r="B485" s="14" t="s">
        <v>561</v>
      </c>
      <c r="C485" s="12"/>
      <c r="D485" s="12"/>
      <c r="E485" s="22" t="s">
        <v>140</v>
      </c>
      <c r="F485" s="22">
        <v>3</v>
      </c>
      <c r="G485" s="22">
        <f t="shared" si="39"/>
        <v>1</v>
      </c>
      <c r="H485" s="37">
        <v>8</v>
      </c>
    </row>
    <row r="486" spans="1:9" ht="15.95" customHeight="1" x14ac:dyDescent="0.3">
      <c r="A486" s="36">
        <f t="shared" si="38"/>
        <v>4644</v>
      </c>
      <c r="B486" s="14" t="s">
        <v>562</v>
      </c>
      <c r="C486" s="12"/>
      <c r="D486" s="12"/>
      <c r="E486" s="22" t="s">
        <v>140</v>
      </c>
      <c r="F486" s="22">
        <v>3</v>
      </c>
      <c r="G486" s="22">
        <f t="shared" si="39"/>
        <v>1</v>
      </c>
      <c r="H486" s="37">
        <v>8</v>
      </c>
    </row>
    <row r="487" spans="1:9" ht="15.95" customHeight="1" x14ac:dyDescent="0.3">
      <c r="A487" s="36">
        <f t="shared" si="38"/>
        <v>4652</v>
      </c>
      <c r="B487" s="14" t="s">
        <v>563</v>
      </c>
      <c r="C487" s="12"/>
      <c r="D487" s="12"/>
      <c r="E487" s="22" t="s">
        <v>140</v>
      </c>
      <c r="F487" s="22">
        <v>3</v>
      </c>
      <c r="G487" s="22">
        <f t="shared" si="39"/>
        <v>1</v>
      </c>
      <c r="H487" s="37">
        <v>8</v>
      </c>
    </row>
    <row r="488" spans="1:9" ht="15.95" customHeight="1" thickBot="1" x14ac:dyDescent="0.35">
      <c r="A488" s="38">
        <f t="shared" si="38"/>
        <v>4660</v>
      </c>
      <c r="B488" s="60"/>
      <c r="C488" s="61"/>
      <c r="D488" s="61"/>
      <c r="E488" s="62" t="s">
        <v>140</v>
      </c>
      <c r="F488" s="62"/>
      <c r="G488" s="62">
        <f>IF(OR(E488="U16", E488="S16"),1,IF(E488="TS",6,2))</f>
        <v>1</v>
      </c>
      <c r="H488" s="41">
        <v>40</v>
      </c>
    </row>
    <row r="489" spans="1:9" ht="15.95" customHeight="1" thickBot="1" x14ac:dyDescent="0.35">
      <c r="A489" s="204" t="s">
        <v>743</v>
      </c>
      <c r="B489" s="205"/>
      <c r="C489" s="205"/>
      <c r="D489" s="205"/>
      <c r="E489" s="205"/>
      <c r="F489" s="205"/>
      <c r="G489" s="205"/>
      <c r="H489" s="206"/>
    </row>
    <row r="490" spans="1:9" ht="15.95" customHeight="1" x14ac:dyDescent="0.3">
      <c r="A490" s="143">
        <f>A488+(G488*H488)</f>
        <v>4700</v>
      </c>
      <c r="B490" s="57" t="s">
        <v>1239</v>
      </c>
      <c r="C490" s="58" t="s">
        <v>1240</v>
      </c>
      <c r="D490" s="58"/>
      <c r="E490" s="53" t="s">
        <v>140</v>
      </c>
      <c r="F490" s="53">
        <v>3</v>
      </c>
      <c r="G490" s="53">
        <f>IF(OR(E490="U16", E490="S16"),1,IF(E490="TS",6,2))</f>
        <v>1</v>
      </c>
      <c r="H490" s="35">
        <v>1</v>
      </c>
      <c r="I490" s="10">
        <v>4500</v>
      </c>
    </row>
    <row r="491" spans="1:9" ht="15.95" customHeight="1" x14ac:dyDescent="0.3">
      <c r="A491" s="50">
        <f>A490+(G490*H490)</f>
        <v>4701</v>
      </c>
      <c r="B491" s="14" t="s">
        <v>1233</v>
      </c>
      <c r="C491" s="12" t="s">
        <v>1240</v>
      </c>
      <c r="D491" s="12"/>
      <c r="E491" s="22" t="s">
        <v>140</v>
      </c>
      <c r="F491" s="22">
        <v>3</v>
      </c>
      <c r="G491" s="22">
        <f>IF(OR(E491="U16", E491="S16"),1,IF(E491="TS",6,2))</f>
        <v>1</v>
      </c>
      <c r="H491" s="37">
        <v>1</v>
      </c>
    </row>
    <row r="492" spans="1:9" ht="15.95" customHeight="1" x14ac:dyDescent="0.3">
      <c r="A492" s="50">
        <f>A491+(G491*H491)</f>
        <v>4702</v>
      </c>
      <c r="B492" s="14" t="s">
        <v>1234</v>
      </c>
      <c r="C492" s="12" t="s">
        <v>1240</v>
      </c>
      <c r="D492" s="12"/>
      <c r="E492" s="22" t="s">
        <v>140</v>
      </c>
      <c r="F492" s="22">
        <v>3</v>
      </c>
      <c r="G492" s="22">
        <f>IF(OR(E492="U16", E492="S16"),1,IF(E492="TS",6,2))</f>
        <v>1</v>
      </c>
      <c r="H492" s="37">
        <v>1</v>
      </c>
    </row>
    <row r="493" spans="1:9" ht="15.95" customHeight="1" thickBot="1" x14ac:dyDescent="0.35">
      <c r="A493" s="144">
        <f>A492+(G492*H492)</f>
        <v>4703</v>
      </c>
      <c r="B493" s="46" t="s">
        <v>1235</v>
      </c>
      <c r="C493" s="61" t="s">
        <v>1236</v>
      </c>
      <c r="D493" s="61"/>
      <c r="E493" s="62" t="s">
        <v>140</v>
      </c>
      <c r="F493" s="62">
        <v>3</v>
      </c>
      <c r="G493" s="62">
        <f>IF(OR(E493="U16", E493="S16"),1,IF(E493="TS",6,2))</f>
        <v>1</v>
      </c>
      <c r="H493" s="41">
        <v>1</v>
      </c>
    </row>
    <row r="494" spans="1:9" ht="15.95" customHeight="1" thickBot="1" x14ac:dyDescent="0.35">
      <c r="A494" s="226" t="s">
        <v>475</v>
      </c>
      <c r="B494" s="227"/>
      <c r="C494" s="227"/>
      <c r="D494" s="227"/>
      <c r="E494" s="227"/>
      <c r="F494" s="227"/>
      <c r="G494" s="227"/>
      <c r="H494" s="228"/>
    </row>
    <row r="495" spans="1:9" ht="15.95" customHeight="1" x14ac:dyDescent="0.3">
      <c r="A495" s="162">
        <f>A493+(G493*H493)</f>
        <v>4704</v>
      </c>
      <c r="B495" s="57" t="s">
        <v>364</v>
      </c>
      <c r="C495" s="58"/>
      <c r="D495" s="58"/>
      <c r="E495" s="58" t="s">
        <v>90</v>
      </c>
      <c r="F495" s="58">
        <v>3</v>
      </c>
      <c r="G495" s="58">
        <f t="shared" ref="G495:G502" si="40">IF(OR(E495="U16", E495="S16"),1,IF(E495="TS",6,2))</f>
        <v>2</v>
      </c>
      <c r="H495" s="35">
        <v>1</v>
      </c>
    </row>
    <row r="496" spans="1:9" ht="15.95" customHeight="1" x14ac:dyDescent="0.3">
      <c r="A496" s="163">
        <f t="shared" ref="A496:A534" si="41">A495+(G495*H495)</f>
        <v>4706</v>
      </c>
      <c r="B496" s="14" t="s">
        <v>568</v>
      </c>
      <c r="C496" s="12"/>
      <c r="D496" s="12"/>
      <c r="E496" s="12" t="s">
        <v>140</v>
      </c>
      <c r="F496" s="12">
        <v>3</v>
      </c>
      <c r="G496" s="12">
        <f t="shared" si="40"/>
        <v>1</v>
      </c>
      <c r="H496" s="37">
        <v>1</v>
      </c>
    </row>
    <row r="497" spans="1:10" ht="15.95" customHeight="1" x14ac:dyDescent="0.3">
      <c r="A497" s="163">
        <f t="shared" si="41"/>
        <v>4707</v>
      </c>
      <c r="B497" s="14" t="s">
        <v>569</v>
      </c>
      <c r="C497" s="12"/>
      <c r="D497" s="12"/>
      <c r="E497" s="12" t="s">
        <v>140</v>
      </c>
      <c r="F497" s="12">
        <v>3</v>
      </c>
      <c r="G497" s="12">
        <f t="shared" si="40"/>
        <v>1</v>
      </c>
      <c r="H497" s="37">
        <v>1</v>
      </c>
      <c r="I497" s="10" t="s">
        <v>477</v>
      </c>
    </row>
    <row r="498" spans="1:10" ht="147" customHeight="1" x14ac:dyDescent="0.3">
      <c r="A498" s="163">
        <f t="shared" si="41"/>
        <v>4708</v>
      </c>
      <c r="B498" s="14" t="s">
        <v>867</v>
      </c>
      <c r="C498" s="14" t="s">
        <v>868</v>
      </c>
      <c r="D498" s="14"/>
      <c r="E498" s="12" t="s">
        <v>140</v>
      </c>
      <c r="F498" s="12">
        <v>3</v>
      </c>
      <c r="G498" s="12">
        <f t="shared" si="40"/>
        <v>1</v>
      </c>
      <c r="H498" s="37">
        <v>1</v>
      </c>
    </row>
    <row r="499" spans="1:10" ht="15.95" customHeight="1" x14ac:dyDescent="0.3">
      <c r="A499" s="163">
        <f t="shared" si="41"/>
        <v>4709</v>
      </c>
      <c r="B499" s="14" t="s">
        <v>566</v>
      </c>
      <c r="C499" s="12"/>
      <c r="D499" s="12"/>
      <c r="E499" s="12" t="s">
        <v>140</v>
      </c>
      <c r="F499" s="12">
        <v>3</v>
      </c>
      <c r="G499" s="12">
        <f t="shared" si="40"/>
        <v>1</v>
      </c>
      <c r="H499" s="37">
        <v>1</v>
      </c>
    </row>
    <row r="500" spans="1:10" ht="15.95" customHeight="1" x14ac:dyDescent="0.3">
      <c r="A500" s="163">
        <f t="shared" si="41"/>
        <v>4710</v>
      </c>
      <c r="B500" s="14" t="s">
        <v>567</v>
      </c>
      <c r="C500" s="12"/>
      <c r="D500" s="12"/>
      <c r="E500" s="12" t="s">
        <v>532</v>
      </c>
      <c r="F500" s="12">
        <v>3</v>
      </c>
      <c r="G500" s="12">
        <f t="shared" si="40"/>
        <v>2</v>
      </c>
      <c r="H500" s="37">
        <v>1</v>
      </c>
    </row>
    <row r="501" spans="1:10" ht="15.95" customHeight="1" x14ac:dyDescent="0.3">
      <c r="A501" s="163">
        <f t="shared" si="41"/>
        <v>4712</v>
      </c>
      <c r="B501" s="14" t="s">
        <v>365</v>
      </c>
      <c r="C501" s="12"/>
      <c r="D501" s="12"/>
      <c r="E501" s="12" t="s">
        <v>532</v>
      </c>
      <c r="F501" s="12">
        <v>3</v>
      </c>
      <c r="G501" s="12">
        <f t="shared" si="40"/>
        <v>2</v>
      </c>
      <c r="H501" s="37">
        <v>1</v>
      </c>
    </row>
    <row r="502" spans="1:10" ht="15.95" customHeight="1" thickBot="1" x14ac:dyDescent="0.35">
      <c r="A502" s="188">
        <f t="shared" si="41"/>
        <v>4714</v>
      </c>
      <c r="B502" s="46" t="s">
        <v>366</v>
      </c>
      <c r="C502" s="119"/>
      <c r="D502" s="119"/>
      <c r="E502" s="119" t="s">
        <v>532</v>
      </c>
      <c r="F502" s="119">
        <v>3</v>
      </c>
      <c r="G502" s="119">
        <f t="shared" si="40"/>
        <v>2</v>
      </c>
      <c r="H502" s="54">
        <v>1</v>
      </c>
      <c r="I502" s="10" t="s">
        <v>236</v>
      </c>
    </row>
    <row r="503" spans="1:10" ht="15.95" customHeight="1" x14ac:dyDescent="0.3">
      <c r="A503" s="162">
        <f t="shared" si="41"/>
        <v>4716</v>
      </c>
      <c r="B503" s="57" t="s">
        <v>367</v>
      </c>
      <c r="C503" s="58"/>
      <c r="D503" s="58"/>
      <c r="E503" s="53" t="s">
        <v>140</v>
      </c>
      <c r="F503" s="58">
        <v>3</v>
      </c>
      <c r="G503" s="53">
        <f t="shared" ref="G503:G525" si="42">IF(OR(E503="U16", E503="S16"),1,IF(E503="TS",6,2))</f>
        <v>1</v>
      </c>
      <c r="H503" s="35">
        <v>12</v>
      </c>
    </row>
    <row r="504" spans="1:10" ht="15.95" customHeight="1" x14ac:dyDescent="0.3">
      <c r="A504" s="36">
        <f t="shared" si="41"/>
        <v>4728</v>
      </c>
      <c r="B504" s="49" t="s">
        <v>368</v>
      </c>
      <c r="C504" s="12"/>
      <c r="D504" s="12"/>
      <c r="E504" s="22" t="s">
        <v>140</v>
      </c>
      <c r="F504" s="12">
        <v>3</v>
      </c>
      <c r="G504" s="22">
        <f t="shared" si="42"/>
        <v>1</v>
      </c>
      <c r="H504" s="66">
        <v>12</v>
      </c>
    </row>
    <row r="505" spans="1:10" ht="15.95" customHeight="1" x14ac:dyDescent="0.3">
      <c r="A505" s="36">
        <f t="shared" si="41"/>
        <v>4740</v>
      </c>
      <c r="B505" s="49" t="s">
        <v>369</v>
      </c>
      <c r="C505" s="12"/>
      <c r="D505" s="12"/>
      <c r="E505" s="22" t="s">
        <v>140</v>
      </c>
      <c r="F505" s="12">
        <v>3</v>
      </c>
      <c r="G505" s="22">
        <f t="shared" si="42"/>
        <v>1</v>
      </c>
      <c r="H505" s="66">
        <v>12</v>
      </c>
    </row>
    <row r="506" spans="1:10" customFormat="1" ht="16.5" x14ac:dyDescent="0.3">
      <c r="A506" s="36">
        <f t="shared" si="41"/>
        <v>4752</v>
      </c>
      <c r="B506" s="49" t="s">
        <v>370</v>
      </c>
      <c r="C506" s="12"/>
      <c r="D506" s="12"/>
      <c r="E506" s="22" t="s">
        <v>140</v>
      </c>
      <c r="F506" s="12">
        <v>3</v>
      </c>
      <c r="G506" s="22">
        <f t="shared" si="42"/>
        <v>1</v>
      </c>
      <c r="H506" s="66">
        <v>12</v>
      </c>
      <c r="I506" s="7"/>
      <c r="J506" s="48"/>
    </row>
    <row r="507" spans="1:10" customFormat="1" ht="16.5" customHeight="1" x14ac:dyDescent="0.3">
      <c r="A507" s="36">
        <f t="shared" si="41"/>
        <v>4764</v>
      </c>
      <c r="B507" s="49" t="s">
        <v>371</v>
      </c>
      <c r="C507" s="12"/>
      <c r="D507" s="12"/>
      <c r="E507" s="22" t="s">
        <v>140</v>
      </c>
      <c r="F507" s="12">
        <v>3</v>
      </c>
      <c r="G507" s="22">
        <f t="shared" si="42"/>
        <v>1</v>
      </c>
      <c r="H507" s="66">
        <v>12</v>
      </c>
      <c r="I507" s="7"/>
      <c r="J507" s="48"/>
    </row>
    <row r="508" spans="1:10" customFormat="1" ht="16.5" x14ac:dyDescent="0.3">
      <c r="A508" s="36">
        <f t="shared" si="41"/>
        <v>4776</v>
      </c>
      <c r="B508" s="49" t="s">
        <v>372</v>
      </c>
      <c r="C508" s="12"/>
      <c r="D508" s="12"/>
      <c r="E508" s="22" t="s">
        <v>140</v>
      </c>
      <c r="F508" s="12">
        <v>3</v>
      </c>
      <c r="G508" s="22">
        <f t="shared" si="42"/>
        <v>1</v>
      </c>
      <c r="H508" s="66">
        <v>12</v>
      </c>
      <c r="I508" s="7"/>
      <c r="J508" s="48"/>
    </row>
    <row r="509" spans="1:10" customFormat="1" ht="16.5" x14ac:dyDescent="0.3">
      <c r="A509" s="36">
        <f t="shared" si="41"/>
        <v>4788</v>
      </c>
      <c r="B509" s="49" t="s">
        <v>373</v>
      </c>
      <c r="C509" s="12"/>
      <c r="D509" s="12"/>
      <c r="E509" s="22" t="s">
        <v>140</v>
      </c>
      <c r="F509" s="12">
        <v>3</v>
      </c>
      <c r="G509" s="22">
        <f t="shared" si="42"/>
        <v>1</v>
      </c>
      <c r="H509" s="66">
        <v>12</v>
      </c>
      <c r="I509" s="7"/>
      <c r="J509" s="48"/>
    </row>
    <row r="510" spans="1:10" customFormat="1" ht="16.5" x14ac:dyDescent="0.3">
      <c r="A510" s="36">
        <f t="shared" si="41"/>
        <v>4800</v>
      </c>
      <c r="B510" s="49" t="s">
        <v>374</v>
      </c>
      <c r="C510" s="12"/>
      <c r="D510" s="12"/>
      <c r="E510" s="22" t="s">
        <v>140</v>
      </c>
      <c r="F510" s="12">
        <v>3</v>
      </c>
      <c r="G510" s="22">
        <f t="shared" si="42"/>
        <v>1</v>
      </c>
      <c r="H510" s="66">
        <v>12</v>
      </c>
      <c r="I510" s="7"/>
      <c r="J510" s="48"/>
    </row>
    <row r="511" spans="1:10" customFormat="1" ht="16.5" x14ac:dyDescent="0.3">
      <c r="A511" s="36">
        <f t="shared" si="41"/>
        <v>4812</v>
      </c>
      <c r="B511" s="49" t="s">
        <v>375</v>
      </c>
      <c r="C511" s="12"/>
      <c r="D511" s="12"/>
      <c r="E511" s="22" t="s">
        <v>140</v>
      </c>
      <c r="F511" s="12">
        <v>3</v>
      </c>
      <c r="G511" s="22">
        <f t="shared" si="42"/>
        <v>1</v>
      </c>
      <c r="H511" s="66">
        <v>12</v>
      </c>
      <c r="I511" s="7"/>
      <c r="J511" s="48"/>
    </row>
    <row r="512" spans="1:10" customFormat="1" ht="16.5" x14ac:dyDescent="0.3">
      <c r="A512" s="36">
        <f t="shared" si="41"/>
        <v>4824</v>
      </c>
      <c r="B512" s="49" t="s">
        <v>376</v>
      </c>
      <c r="C512" s="12"/>
      <c r="D512" s="12"/>
      <c r="E512" s="22" t="s">
        <v>140</v>
      </c>
      <c r="F512" s="12">
        <v>3</v>
      </c>
      <c r="G512" s="22">
        <f t="shared" si="42"/>
        <v>1</v>
      </c>
      <c r="H512" s="66">
        <v>12</v>
      </c>
      <c r="I512" s="7"/>
      <c r="J512" s="48"/>
    </row>
    <row r="513" spans="1:10" customFormat="1" ht="16.5" x14ac:dyDescent="0.3">
      <c r="A513" s="36">
        <f t="shared" si="41"/>
        <v>4836</v>
      </c>
      <c r="B513" s="49" t="s">
        <v>377</v>
      </c>
      <c r="C513" s="12"/>
      <c r="D513" s="12"/>
      <c r="E513" s="22" t="s">
        <v>140</v>
      </c>
      <c r="F513" s="12">
        <v>3</v>
      </c>
      <c r="G513" s="22">
        <f t="shared" si="42"/>
        <v>1</v>
      </c>
      <c r="H513" s="66">
        <v>12</v>
      </c>
      <c r="I513" s="7"/>
      <c r="J513" s="48"/>
    </row>
    <row r="514" spans="1:10" customFormat="1" ht="16.5" x14ac:dyDescent="0.3">
      <c r="A514" s="36">
        <f t="shared" si="41"/>
        <v>4848</v>
      </c>
      <c r="B514" s="49" t="s">
        <v>378</v>
      </c>
      <c r="C514" s="12"/>
      <c r="D514" s="12"/>
      <c r="E514" s="22" t="s">
        <v>140</v>
      </c>
      <c r="F514" s="12">
        <v>3</v>
      </c>
      <c r="G514" s="22">
        <f t="shared" si="42"/>
        <v>1</v>
      </c>
      <c r="H514" s="66">
        <v>12</v>
      </c>
      <c r="I514" s="7"/>
      <c r="J514" s="48"/>
    </row>
    <row r="515" spans="1:10" customFormat="1" ht="16.5" x14ac:dyDescent="0.3">
      <c r="A515" s="36">
        <f t="shared" si="41"/>
        <v>4860</v>
      </c>
      <c r="B515" s="49" t="s">
        <v>379</v>
      </c>
      <c r="C515" s="12"/>
      <c r="D515" s="12"/>
      <c r="E515" s="22" t="s">
        <v>140</v>
      </c>
      <c r="F515" s="12">
        <v>3</v>
      </c>
      <c r="G515" s="22">
        <f t="shared" si="42"/>
        <v>1</v>
      </c>
      <c r="H515" s="66">
        <v>12</v>
      </c>
      <c r="I515" s="7"/>
      <c r="J515" s="48"/>
    </row>
    <row r="516" spans="1:10" customFormat="1" ht="16.5" x14ac:dyDescent="0.3">
      <c r="A516" s="36">
        <f t="shared" si="41"/>
        <v>4872</v>
      </c>
      <c r="B516" s="49" t="s">
        <v>380</v>
      </c>
      <c r="C516" s="12"/>
      <c r="D516" s="12"/>
      <c r="E516" s="22" t="s">
        <v>140</v>
      </c>
      <c r="F516" s="12">
        <v>3</v>
      </c>
      <c r="G516" s="22">
        <f t="shared" si="42"/>
        <v>1</v>
      </c>
      <c r="H516" s="66">
        <v>12</v>
      </c>
      <c r="I516" s="7"/>
      <c r="J516" s="48"/>
    </row>
    <row r="517" spans="1:10" ht="15.95" customHeight="1" x14ac:dyDescent="0.3">
      <c r="A517" s="36">
        <f t="shared" si="41"/>
        <v>4884</v>
      </c>
      <c r="B517" s="49" t="s">
        <v>381</v>
      </c>
      <c r="C517" s="12"/>
      <c r="D517" s="12"/>
      <c r="E517" s="22" t="s">
        <v>140</v>
      </c>
      <c r="F517" s="12">
        <v>3</v>
      </c>
      <c r="G517" s="22">
        <f t="shared" si="42"/>
        <v>1</v>
      </c>
      <c r="H517" s="66">
        <v>12</v>
      </c>
    </row>
    <row r="518" spans="1:10" customFormat="1" ht="16.5" x14ac:dyDescent="0.3">
      <c r="A518" s="36">
        <f t="shared" si="41"/>
        <v>4896</v>
      </c>
      <c r="B518" s="49" t="s">
        <v>382</v>
      </c>
      <c r="C518" s="12"/>
      <c r="D518" s="12"/>
      <c r="E518" s="22" t="s">
        <v>140</v>
      </c>
      <c r="F518" s="12">
        <v>3</v>
      </c>
      <c r="G518" s="22">
        <f t="shared" si="42"/>
        <v>1</v>
      </c>
      <c r="H518" s="66">
        <v>12</v>
      </c>
      <c r="I518" s="7"/>
      <c r="J518" s="48"/>
    </row>
    <row r="519" spans="1:10" customFormat="1" ht="16.5" customHeight="1" x14ac:dyDescent="0.3">
      <c r="A519" s="36">
        <f t="shared" si="41"/>
        <v>4908</v>
      </c>
      <c r="B519" s="49" t="s">
        <v>383</v>
      </c>
      <c r="C519" s="12"/>
      <c r="D519" s="12"/>
      <c r="E519" s="22" t="s">
        <v>140</v>
      </c>
      <c r="F519" s="12">
        <v>3</v>
      </c>
      <c r="G519" s="22">
        <f t="shared" si="42"/>
        <v>1</v>
      </c>
      <c r="H519" s="66">
        <v>12</v>
      </c>
      <c r="I519" s="7"/>
      <c r="J519" s="48"/>
    </row>
    <row r="520" spans="1:10" customFormat="1" ht="16.5" x14ac:dyDescent="0.3">
      <c r="A520" s="36">
        <f t="shared" si="41"/>
        <v>4920</v>
      </c>
      <c r="B520" s="49" t="s">
        <v>384</v>
      </c>
      <c r="C520" s="12"/>
      <c r="D520" s="12"/>
      <c r="E520" s="22" t="s">
        <v>140</v>
      </c>
      <c r="F520" s="12">
        <v>3</v>
      </c>
      <c r="G520" s="22">
        <f t="shared" si="42"/>
        <v>1</v>
      </c>
      <c r="H520" s="66">
        <v>12</v>
      </c>
      <c r="I520" s="7"/>
      <c r="J520" s="48"/>
    </row>
    <row r="521" spans="1:10" customFormat="1" ht="16.5" x14ac:dyDescent="0.3">
      <c r="A521" s="36">
        <f t="shared" si="41"/>
        <v>4932</v>
      </c>
      <c r="B521" s="49" t="s">
        <v>385</v>
      </c>
      <c r="C521" s="12"/>
      <c r="D521" s="12"/>
      <c r="E521" s="22" t="s">
        <v>140</v>
      </c>
      <c r="F521" s="12">
        <v>3</v>
      </c>
      <c r="G521" s="22">
        <f t="shared" si="42"/>
        <v>1</v>
      </c>
      <c r="H521" s="66">
        <v>12</v>
      </c>
      <c r="I521" s="7"/>
      <c r="J521" s="48"/>
    </row>
    <row r="522" spans="1:10" customFormat="1" ht="16.5" x14ac:dyDescent="0.3">
      <c r="A522" s="36">
        <f t="shared" si="41"/>
        <v>4944</v>
      </c>
      <c r="B522" s="49" t="s">
        <v>386</v>
      </c>
      <c r="C522" s="12"/>
      <c r="D522" s="12"/>
      <c r="E522" s="22" t="s">
        <v>140</v>
      </c>
      <c r="F522" s="12">
        <v>3</v>
      </c>
      <c r="G522" s="22">
        <f t="shared" si="42"/>
        <v>1</v>
      </c>
      <c r="H522" s="66">
        <v>12</v>
      </c>
      <c r="I522" s="7"/>
      <c r="J522" s="48"/>
    </row>
    <row r="523" spans="1:10" customFormat="1" ht="16.5" x14ac:dyDescent="0.3">
      <c r="A523" s="36">
        <f t="shared" si="41"/>
        <v>4956</v>
      </c>
      <c r="B523" s="49" t="s">
        <v>387</v>
      </c>
      <c r="C523" s="12"/>
      <c r="D523" s="12"/>
      <c r="E523" s="22" t="s">
        <v>140</v>
      </c>
      <c r="F523" s="12">
        <v>3</v>
      </c>
      <c r="G523" s="22">
        <f t="shared" si="42"/>
        <v>1</v>
      </c>
      <c r="H523" s="66">
        <v>12</v>
      </c>
      <c r="I523" s="7"/>
      <c r="J523" s="48"/>
    </row>
    <row r="524" spans="1:10" customFormat="1" ht="16.5" x14ac:dyDescent="0.3">
      <c r="A524" s="36">
        <f t="shared" si="41"/>
        <v>4968</v>
      </c>
      <c r="B524" s="49" t="s">
        <v>388</v>
      </c>
      <c r="C524" s="12"/>
      <c r="D524" s="12"/>
      <c r="E524" s="22" t="s">
        <v>140</v>
      </c>
      <c r="F524" s="12">
        <v>3</v>
      </c>
      <c r="G524" s="22">
        <f t="shared" si="42"/>
        <v>1</v>
      </c>
      <c r="H524" s="66">
        <v>12</v>
      </c>
      <c r="I524" s="7"/>
      <c r="J524" s="48"/>
    </row>
    <row r="525" spans="1:10" customFormat="1" ht="16.5" x14ac:dyDescent="0.3">
      <c r="A525" s="36">
        <f t="shared" si="41"/>
        <v>4980</v>
      </c>
      <c r="B525" s="14" t="s">
        <v>389</v>
      </c>
      <c r="C525" s="12"/>
      <c r="D525" s="12"/>
      <c r="E525" s="22" t="s">
        <v>140</v>
      </c>
      <c r="F525" s="12">
        <v>3</v>
      </c>
      <c r="G525" s="22">
        <f t="shared" si="42"/>
        <v>1</v>
      </c>
      <c r="H525" s="66">
        <v>12</v>
      </c>
      <c r="I525" s="7"/>
      <c r="J525" s="48"/>
    </row>
    <row r="526" spans="1:10" customFormat="1" ht="16.5" x14ac:dyDescent="0.3">
      <c r="A526" s="36">
        <f t="shared" si="41"/>
        <v>4992</v>
      </c>
      <c r="B526" s="14" t="s">
        <v>390</v>
      </c>
      <c r="C526" s="12"/>
      <c r="D526" s="12"/>
      <c r="E526" s="22" t="s">
        <v>140</v>
      </c>
      <c r="F526" s="12">
        <v>3</v>
      </c>
      <c r="G526" s="22">
        <f t="shared" ref="G526:G527" si="43">IF(OR(E526="U16", E526="S16"),1,IF(E526="TS",6,2))</f>
        <v>1</v>
      </c>
      <c r="H526" s="66">
        <v>12</v>
      </c>
      <c r="I526" s="7"/>
      <c r="J526" s="48"/>
    </row>
    <row r="527" spans="1:10" customFormat="1" ht="16.5" x14ac:dyDescent="0.3">
      <c r="A527" s="36">
        <f t="shared" si="41"/>
        <v>5004</v>
      </c>
      <c r="B527" s="14" t="s">
        <v>391</v>
      </c>
      <c r="C527" s="12"/>
      <c r="D527" s="12"/>
      <c r="E527" s="22" t="s">
        <v>140</v>
      </c>
      <c r="F527" s="12">
        <v>3</v>
      </c>
      <c r="G527" s="22">
        <f t="shared" si="43"/>
        <v>1</v>
      </c>
      <c r="H527" s="66">
        <v>12</v>
      </c>
      <c r="I527" s="7"/>
      <c r="J527" s="48"/>
    </row>
    <row r="528" spans="1:10" customFormat="1" ht="16.5" x14ac:dyDescent="0.3">
      <c r="A528" s="36">
        <f t="shared" si="41"/>
        <v>5016</v>
      </c>
      <c r="B528" s="14" t="s">
        <v>392</v>
      </c>
      <c r="C528" s="12"/>
      <c r="D528" s="12"/>
      <c r="E528" s="22" t="s">
        <v>140</v>
      </c>
      <c r="F528" s="12">
        <v>3</v>
      </c>
      <c r="G528" s="22">
        <f t="shared" ref="G528" si="44">IF(OR(E528="U16", E528="S16"),1,IF(E528="TS",6,2))</f>
        <v>1</v>
      </c>
      <c r="H528" s="66">
        <v>12</v>
      </c>
      <c r="I528" s="7"/>
      <c r="J528" s="48"/>
    </row>
    <row r="529" spans="1:10" customFormat="1" ht="16.5" x14ac:dyDescent="0.3">
      <c r="A529" s="36">
        <f t="shared" si="41"/>
        <v>5028</v>
      </c>
      <c r="B529" s="14" t="s">
        <v>393</v>
      </c>
      <c r="C529" s="119"/>
      <c r="D529" s="119"/>
      <c r="E529" s="22" t="s">
        <v>140</v>
      </c>
      <c r="F529" s="12">
        <v>3</v>
      </c>
      <c r="G529" s="22">
        <f t="shared" ref="G529:G533" si="45">IF(OR(E529="U16", E529="S16"),1,IF(E529="TS",6,2))</f>
        <v>1</v>
      </c>
      <c r="H529" s="66">
        <v>12</v>
      </c>
      <c r="I529" s="7"/>
      <c r="J529" s="48"/>
    </row>
    <row r="530" spans="1:10" customFormat="1" ht="16.5" x14ac:dyDescent="0.3">
      <c r="A530" s="36">
        <f t="shared" si="41"/>
        <v>5040</v>
      </c>
      <c r="B530" s="14" t="s">
        <v>394</v>
      </c>
      <c r="C530" s="119"/>
      <c r="D530" s="119"/>
      <c r="E530" s="22" t="s">
        <v>140</v>
      </c>
      <c r="F530" s="12">
        <v>3</v>
      </c>
      <c r="G530" s="22">
        <f t="shared" si="45"/>
        <v>1</v>
      </c>
      <c r="H530" s="66">
        <v>12</v>
      </c>
      <c r="I530" s="7"/>
      <c r="J530" s="48"/>
    </row>
    <row r="531" spans="1:10" customFormat="1" ht="16.5" x14ac:dyDescent="0.3">
      <c r="A531" s="36">
        <f t="shared" si="41"/>
        <v>5052</v>
      </c>
      <c r="B531" s="14" t="s">
        <v>395</v>
      </c>
      <c r="C531" s="119"/>
      <c r="D531" s="119"/>
      <c r="E531" s="22" t="s">
        <v>140</v>
      </c>
      <c r="F531" s="12">
        <v>3</v>
      </c>
      <c r="G531" s="22">
        <f t="shared" si="45"/>
        <v>1</v>
      </c>
      <c r="H531" s="66">
        <v>12</v>
      </c>
      <c r="I531" s="7"/>
      <c r="J531" s="48"/>
    </row>
    <row r="532" spans="1:10" customFormat="1" ht="16.5" x14ac:dyDescent="0.3">
      <c r="A532" s="36">
        <f t="shared" si="41"/>
        <v>5064</v>
      </c>
      <c r="B532" s="14" t="s">
        <v>396</v>
      </c>
      <c r="C532" s="119"/>
      <c r="D532" s="119"/>
      <c r="E532" s="22" t="s">
        <v>140</v>
      </c>
      <c r="F532" s="12">
        <v>3</v>
      </c>
      <c r="G532" s="22">
        <f t="shared" si="45"/>
        <v>1</v>
      </c>
      <c r="H532" s="66">
        <v>12</v>
      </c>
      <c r="I532" s="7"/>
      <c r="J532" s="48"/>
    </row>
    <row r="533" spans="1:10" customFormat="1" ht="16.5" x14ac:dyDescent="0.3">
      <c r="A533" s="36">
        <f t="shared" si="41"/>
        <v>5076</v>
      </c>
      <c r="B533" s="14" t="s">
        <v>476</v>
      </c>
      <c r="C533" s="119"/>
      <c r="D533" s="119"/>
      <c r="E533" s="22" t="s">
        <v>140</v>
      </c>
      <c r="F533" s="12">
        <v>3</v>
      </c>
      <c r="G533" s="22">
        <f t="shared" si="45"/>
        <v>1</v>
      </c>
      <c r="H533" s="66">
        <v>12</v>
      </c>
      <c r="I533" s="7"/>
      <c r="J533" s="48"/>
    </row>
    <row r="534" spans="1:10" customFormat="1" ht="17.25" thickBot="1" x14ac:dyDescent="0.35">
      <c r="A534" s="38">
        <f t="shared" si="41"/>
        <v>5088</v>
      </c>
      <c r="B534" s="60"/>
      <c r="C534" s="61"/>
      <c r="D534" s="61"/>
      <c r="E534" s="62" t="s">
        <v>140</v>
      </c>
      <c r="F534" s="61">
        <v>3</v>
      </c>
      <c r="G534" s="62">
        <f t="shared" ref="G534" si="46">IF(OR(E534="U16", E534="S16"),1,IF(E534="TS",6,2))</f>
        <v>1</v>
      </c>
      <c r="H534" s="41">
        <v>2</v>
      </c>
      <c r="I534" s="7"/>
      <c r="J534" s="48"/>
    </row>
    <row r="535" spans="1:10" customFormat="1" ht="17.25" thickBot="1" x14ac:dyDescent="0.35">
      <c r="A535" s="190" t="s">
        <v>858</v>
      </c>
      <c r="B535" s="191"/>
      <c r="C535" s="191"/>
      <c r="D535" s="191"/>
      <c r="E535" s="191"/>
      <c r="F535" s="191"/>
      <c r="G535" s="191"/>
      <c r="H535" s="192"/>
      <c r="I535" s="7"/>
      <c r="J535" s="48"/>
    </row>
    <row r="536" spans="1:10" customFormat="1" ht="16.5" x14ac:dyDescent="0.3">
      <c r="A536" s="32">
        <f>A534+(G534*H534)</f>
        <v>5090</v>
      </c>
      <c r="B536" s="79" t="s">
        <v>853</v>
      </c>
      <c r="C536" s="58"/>
      <c r="D536" s="58"/>
      <c r="E536" s="53" t="s">
        <v>140</v>
      </c>
      <c r="F536" s="53">
        <v>3</v>
      </c>
      <c r="G536" s="53">
        <f t="shared" ref="G536:G545" si="47">IF(OR(E536="U16", E536="S16"),1,IF(E536="TS",6,2))</f>
        <v>1</v>
      </c>
      <c r="H536" s="35">
        <v>1</v>
      </c>
      <c r="I536" s="7"/>
      <c r="J536" s="48"/>
    </row>
    <row r="537" spans="1:10" customFormat="1" ht="16.5" x14ac:dyDescent="0.3">
      <c r="A537" s="36">
        <f>A536+(G536*H536)</f>
        <v>5091</v>
      </c>
      <c r="B537" s="16" t="s">
        <v>854</v>
      </c>
      <c r="C537" s="12"/>
      <c r="D537" s="12"/>
      <c r="E537" s="22" t="s">
        <v>140</v>
      </c>
      <c r="F537" s="22">
        <v>3</v>
      </c>
      <c r="G537" s="22">
        <f t="shared" si="47"/>
        <v>1</v>
      </c>
      <c r="H537" s="37">
        <v>1</v>
      </c>
      <c r="I537" s="7"/>
      <c r="J537" s="48"/>
    </row>
    <row r="538" spans="1:10" customFormat="1" ht="16.5" x14ac:dyDescent="0.3">
      <c r="A538" s="36">
        <f t="shared" ref="A538:A545" si="48">A537+(G537*H537)</f>
        <v>5092</v>
      </c>
      <c r="B538" s="16" t="s">
        <v>857</v>
      </c>
      <c r="C538" s="12"/>
      <c r="D538" s="12"/>
      <c r="E538" s="22" t="s">
        <v>140</v>
      </c>
      <c r="F538" s="22">
        <v>3</v>
      </c>
      <c r="G538" s="22">
        <f t="shared" si="47"/>
        <v>1</v>
      </c>
      <c r="H538" s="37">
        <v>1</v>
      </c>
      <c r="I538" s="7"/>
      <c r="J538" s="48"/>
    </row>
    <row r="539" spans="1:10" customFormat="1" ht="16.5" customHeight="1" x14ac:dyDescent="0.3">
      <c r="A539" s="36">
        <f t="shared" si="48"/>
        <v>5093</v>
      </c>
      <c r="B539" s="16" t="s">
        <v>855</v>
      </c>
      <c r="C539" s="12"/>
      <c r="D539" s="12"/>
      <c r="E539" s="22" t="s">
        <v>140</v>
      </c>
      <c r="F539" s="22">
        <v>3</v>
      </c>
      <c r="G539" s="22">
        <f t="shared" si="47"/>
        <v>1</v>
      </c>
      <c r="H539" s="37">
        <v>1</v>
      </c>
      <c r="I539" s="7"/>
      <c r="J539" s="48"/>
    </row>
    <row r="540" spans="1:10" ht="15.75" customHeight="1" x14ac:dyDescent="0.3">
      <c r="A540" s="36">
        <f t="shared" si="48"/>
        <v>5094</v>
      </c>
      <c r="B540" s="16" t="s">
        <v>856</v>
      </c>
      <c r="C540" s="12"/>
      <c r="D540" s="12"/>
      <c r="E540" s="22" t="s">
        <v>140</v>
      </c>
      <c r="F540" s="22">
        <v>3</v>
      </c>
      <c r="G540" s="22">
        <f t="shared" si="47"/>
        <v>1</v>
      </c>
      <c r="H540" s="37">
        <v>1</v>
      </c>
    </row>
    <row r="541" spans="1:10" ht="15.95" customHeight="1" x14ac:dyDescent="0.3">
      <c r="A541" s="36">
        <f t="shared" si="48"/>
        <v>5095</v>
      </c>
      <c r="B541" s="16" t="s">
        <v>866</v>
      </c>
      <c r="C541" s="12"/>
      <c r="D541" s="12"/>
      <c r="E541" s="22" t="s">
        <v>140</v>
      </c>
      <c r="F541" s="22">
        <v>3</v>
      </c>
      <c r="G541" s="22">
        <f t="shared" si="47"/>
        <v>1</v>
      </c>
      <c r="H541" s="37">
        <v>1</v>
      </c>
    </row>
    <row r="542" spans="1:10" ht="15.95" customHeight="1" x14ac:dyDescent="0.3">
      <c r="A542" s="36">
        <f t="shared" si="48"/>
        <v>5096</v>
      </c>
      <c r="B542" s="16"/>
      <c r="C542" s="12"/>
      <c r="D542" s="12"/>
      <c r="E542" s="22" t="s">
        <v>140</v>
      </c>
      <c r="F542" s="22">
        <v>3</v>
      </c>
      <c r="G542" s="22">
        <f t="shared" si="47"/>
        <v>1</v>
      </c>
      <c r="H542" s="37">
        <v>1</v>
      </c>
    </row>
    <row r="543" spans="1:10" ht="15.95" customHeight="1" x14ac:dyDescent="0.3">
      <c r="A543" s="36">
        <f t="shared" si="48"/>
        <v>5097</v>
      </c>
      <c r="B543" s="16"/>
      <c r="C543" s="12"/>
      <c r="D543" s="12"/>
      <c r="E543" s="22" t="s">
        <v>140</v>
      </c>
      <c r="F543" s="22">
        <v>3</v>
      </c>
      <c r="G543" s="22">
        <f t="shared" si="47"/>
        <v>1</v>
      </c>
      <c r="H543" s="37">
        <v>1</v>
      </c>
    </row>
    <row r="544" spans="1:10" customFormat="1" ht="16.5" x14ac:dyDescent="0.3">
      <c r="A544" s="36">
        <f t="shared" si="48"/>
        <v>5098</v>
      </c>
      <c r="B544" s="16"/>
      <c r="C544" s="12"/>
      <c r="D544" s="12"/>
      <c r="E544" s="22" t="s">
        <v>140</v>
      </c>
      <c r="F544" s="22">
        <v>3</v>
      </c>
      <c r="G544" s="22">
        <f t="shared" si="47"/>
        <v>1</v>
      </c>
      <c r="H544" s="37">
        <v>1</v>
      </c>
      <c r="I544" s="7"/>
      <c r="J544" s="48"/>
    </row>
    <row r="545" spans="1:10" customFormat="1" ht="16.5" customHeight="1" thickBot="1" x14ac:dyDescent="0.35">
      <c r="A545" s="36">
        <f t="shared" si="48"/>
        <v>5099</v>
      </c>
      <c r="B545" s="16"/>
      <c r="C545" s="12"/>
      <c r="D545" s="12"/>
      <c r="E545" s="22" t="s">
        <v>140</v>
      </c>
      <c r="F545" s="22">
        <v>3</v>
      </c>
      <c r="G545" s="22">
        <f t="shared" si="47"/>
        <v>1</v>
      </c>
      <c r="H545" s="37">
        <v>1</v>
      </c>
      <c r="I545" s="7"/>
      <c r="J545" s="48"/>
    </row>
    <row r="546" spans="1:10" customFormat="1" ht="17.25" thickBot="1" x14ac:dyDescent="0.35">
      <c r="A546" s="204" t="s">
        <v>721</v>
      </c>
      <c r="B546" s="205"/>
      <c r="C546" s="205"/>
      <c r="D546" s="205"/>
      <c r="E546" s="205"/>
      <c r="F546" s="205"/>
      <c r="G546" s="205"/>
      <c r="H546" s="206"/>
      <c r="I546" s="7"/>
      <c r="J546" s="48"/>
    </row>
    <row r="547" spans="1:10" customFormat="1" ht="16.5" x14ac:dyDescent="0.3">
      <c r="A547" s="32">
        <f>A545+(G545*H545)</f>
        <v>5100</v>
      </c>
      <c r="B547" s="57" t="s">
        <v>701</v>
      </c>
      <c r="C547" s="58"/>
      <c r="D547" s="58"/>
      <c r="E547" s="53" t="s">
        <v>702</v>
      </c>
      <c r="F547" s="53">
        <v>3</v>
      </c>
      <c r="G547" s="53">
        <f t="shared" ref="G547:G576" si="49">IF(OR(E547="U16", E547="S16"),1,IF(E547="TS",6,2))</f>
        <v>2</v>
      </c>
      <c r="H547" s="35">
        <v>1</v>
      </c>
      <c r="I547" s="7"/>
      <c r="J547" s="48"/>
    </row>
    <row r="548" spans="1:10" customFormat="1" ht="16.5" customHeight="1" x14ac:dyDescent="0.3">
      <c r="A548" s="36">
        <f t="shared" ref="A548:A595" si="50">A547+(G547*H547)</f>
        <v>5102</v>
      </c>
      <c r="B548" s="14" t="s">
        <v>728</v>
      </c>
      <c r="C548" s="12"/>
      <c r="D548" s="12"/>
      <c r="E548" s="22" t="s">
        <v>643</v>
      </c>
      <c r="F548" s="22">
        <v>3</v>
      </c>
      <c r="G548" s="22">
        <f t="shared" si="49"/>
        <v>2</v>
      </c>
      <c r="H548" s="37">
        <v>1</v>
      </c>
      <c r="I548" s="7"/>
      <c r="J548" s="48"/>
    </row>
    <row r="549" spans="1:10" customFormat="1" ht="16.5" x14ac:dyDescent="0.3">
      <c r="A549" s="36">
        <f t="shared" si="50"/>
        <v>5104</v>
      </c>
      <c r="B549" s="14" t="s">
        <v>183</v>
      </c>
      <c r="C549" s="14"/>
      <c r="D549" s="14"/>
      <c r="E549" s="22" t="s">
        <v>643</v>
      </c>
      <c r="F549" s="22">
        <v>3</v>
      </c>
      <c r="G549" s="22">
        <f t="shared" si="49"/>
        <v>2</v>
      </c>
      <c r="H549" s="37">
        <v>1</v>
      </c>
      <c r="I549" s="7"/>
      <c r="J549" s="48"/>
    </row>
    <row r="550" spans="1:10" customFormat="1" ht="16.5" x14ac:dyDescent="0.3">
      <c r="A550" s="36">
        <f t="shared" si="50"/>
        <v>5106</v>
      </c>
      <c r="B550" s="14" t="s">
        <v>184</v>
      </c>
      <c r="C550" s="14"/>
      <c r="D550" s="14"/>
      <c r="E550" s="22" t="s">
        <v>643</v>
      </c>
      <c r="F550" s="22">
        <v>3</v>
      </c>
      <c r="G550" s="22">
        <f t="shared" si="49"/>
        <v>2</v>
      </c>
      <c r="H550" s="37">
        <v>1</v>
      </c>
      <c r="I550" s="7"/>
      <c r="J550" s="48"/>
    </row>
    <row r="551" spans="1:10" customFormat="1" ht="16.5" x14ac:dyDescent="0.3">
      <c r="A551" s="36">
        <f t="shared" si="50"/>
        <v>5108</v>
      </c>
      <c r="B551" s="14" t="s">
        <v>729</v>
      </c>
      <c r="C551" s="14"/>
      <c r="D551" s="14"/>
      <c r="E551" s="22" t="s">
        <v>643</v>
      </c>
      <c r="F551" s="22">
        <v>3</v>
      </c>
      <c r="G551" s="22">
        <f t="shared" si="49"/>
        <v>2</v>
      </c>
      <c r="H551" s="37">
        <v>1</v>
      </c>
      <c r="I551" s="7"/>
      <c r="J551" s="48"/>
    </row>
    <row r="552" spans="1:10" customFormat="1" ht="16.5" x14ac:dyDescent="0.3">
      <c r="A552" s="36">
        <f t="shared" si="50"/>
        <v>5110</v>
      </c>
      <c r="B552" s="14" t="s">
        <v>704</v>
      </c>
      <c r="C552" s="14"/>
      <c r="D552" s="14"/>
      <c r="E552" s="22" t="s">
        <v>643</v>
      </c>
      <c r="F552" s="22">
        <v>3</v>
      </c>
      <c r="G552" s="22">
        <f t="shared" si="49"/>
        <v>2</v>
      </c>
      <c r="H552" s="37">
        <v>1</v>
      </c>
      <c r="I552" s="7"/>
      <c r="J552" s="48"/>
    </row>
    <row r="553" spans="1:10" customFormat="1" ht="16.5" x14ac:dyDescent="0.3">
      <c r="A553" s="36">
        <f t="shared" si="50"/>
        <v>5112</v>
      </c>
      <c r="B553" s="14" t="s">
        <v>705</v>
      </c>
      <c r="C553" s="14"/>
      <c r="D553" s="14"/>
      <c r="E553" s="22" t="s">
        <v>643</v>
      </c>
      <c r="F553" s="22">
        <v>3</v>
      </c>
      <c r="G553" s="22">
        <f t="shared" si="49"/>
        <v>2</v>
      </c>
      <c r="H553" s="37">
        <v>1</v>
      </c>
      <c r="I553" s="7"/>
      <c r="J553" s="48"/>
    </row>
    <row r="554" spans="1:10" customFormat="1" ht="16.5" x14ac:dyDescent="0.3">
      <c r="A554" s="36">
        <f t="shared" si="50"/>
        <v>5114</v>
      </c>
      <c r="B554" s="14" t="s">
        <v>738</v>
      </c>
      <c r="C554" s="14"/>
      <c r="D554" s="14"/>
      <c r="E554" s="22" t="s">
        <v>643</v>
      </c>
      <c r="F554" s="22">
        <v>3</v>
      </c>
      <c r="G554" s="22">
        <f>IF(OR(E554="U16", E554="S16"),1,IF(E554="TS",6,2))</f>
        <v>2</v>
      </c>
      <c r="H554" s="37">
        <v>1</v>
      </c>
      <c r="I554" s="7"/>
      <c r="J554" s="48"/>
    </row>
    <row r="555" spans="1:10" customFormat="1" ht="16.5" x14ac:dyDescent="0.3">
      <c r="A555" s="36">
        <f t="shared" si="50"/>
        <v>5116</v>
      </c>
      <c r="B555" s="14" t="s">
        <v>739</v>
      </c>
      <c r="C555" s="14"/>
      <c r="D555" s="14"/>
      <c r="E555" s="22" t="s">
        <v>643</v>
      </c>
      <c r="F555" s="22">
        <v>3</v>
      </c>
      <c r="G555" s="22">
        <f>IF(OR(E555="U16", E555="S16"),1,IF(E555="TS",6,2))</f>
        <v>2</v>
      </c>
      <c r="H555" s="37">
        <v>1</v>
      </c>
      <c r="I555" s="7"/>
      <c r="J555" s="48"/>
    </row>
    <row r="556" spans="1:10" customFormat="1" ht="16.5" x14ac:dyDescent="0.3">
      <c r="A556" s="36">
        <f t="shared" si="50"/>
        <v>5118</v>
      </c>
      <c r="B556" s="14" t="s">
        <v>740</v>
      </c>
      <c r="C556" s="14"/>
      <c r="D556" s="14"/>
      <c r="E556" s="22" t="s">
        <v>643</v>
      </c>
      <c r="F556" s="22">
        <v>3</v>
      </c>
      <c r="G556" s="22">
        <f>IF(OR(E556="U16", E556="S16"),1,IF(E556="TS",6,2))</f>
        <v>2</v>
      </c>
      <c r="H556" s="37">
        <v>1</v>
      </c>
      <c r="I556" s="7"/>
      <c r="J556" s="48"/>
    </row>
    <row r="557" spans="1:10" customFormat="1" ht="16.5" x14ac:dyDescent="0.3">
      <c r="A557" s="36">
        <f t="shared" si="50"/>
        <v>5120</v>
      </c>
      <c r="B557" s="14" t="s">
        <v>732</v>
      </c>
      <c r="C557" s="14"/>
      <c r="D557" s="14"/>
      <c r="E557" s="22" t="s">
        <v>643</v>
      </c>
      <c r="F557" s="22">
        <v>3</v>
      </c>
      <c r="G557" s="22">
        <f t="shared" si="49"/>
        <v>2</v>
      </c>
      <c r="H557" s="37">
        <v>1</v>
      </c>
      <c r="I557" s="7"/>
      <c r="J557" s="48"/>
    </row>
    <row r="558" spans="1:10" ht="15.95" customHeight="1" x14ac:dyDescent="0.3">
      <c r="A558" s="36">
        <f t="shared" si="50"/>
        <v>5122</v>
      </c>
      <c r="B558" s="14" t="s">
        <v>733</v>
      </c>
      <c r="C558" s="14"/>
      <c r="D558" s="14"/>
      <c r="E558" s="22" t="s">
        <v>643</v>
      </c>
      <c r="F558" s="22">
        <v>3</v>
      </c>
      <c r="G558" s="22">
        <f t="shared" si="49"/>
        <v>2</v>
      </c>
      <c r="H558" s="37">
        <v>1</v>
      </c>
    </row>
    <row r="559" spans="1:10" customFormat="1" ht="16.5" x14ac:dyDescent="0.3">
      <c r="A559" s="36">
        <f t="shared" si="50"/>
        <v>5124</v>
      </c>
      <c r="B559" s="14" t="s">
        <v>708</v>
      </c>
      <c r="C559" s="14"/>
      <c r="D559" s="14"/>
      <c r="E559" s="22" t="s">
        <v>643</v>
      </c>
      <c r="F559" s="22">
        <v>3</v>
      </c>
      <c r="G559" s="22">
        <f t="shared" si="49"/>
        <v>2</v>
      </c>
      <c r="H559" s="37">
        <v>1</v>
      </c>
      <c r="I559" s="7"/>
      <c r="J559" s="48"/>
    </row>
    <row r="560" spans="1:10" customFormat="1" ht="16.5" customHeight="1" x14ac:dyDescent="0.3">
      <c r="A560" s="36">
        <f t="shared" si="50"/>
        <v>5126</v>
      </c>
      <c r="B560" s="14" t="s">
        <v>1</v>
      </c>
      <c r="C560" s="14"/>
      <c r="D560" s="14"/>
      <c r="E560" s="22" t="s">
        <v>643</v>
      </c>
      <c r="F560" s="22">
        <v>3</v>
      </c>
      <c r="G560" s="22">
        <f t="shared" si="49"/>
        <v>2</v>
      </c>
      <c r="H560" s="37">
        <v>1</v>
      </c>
      <c r="I560" s="7"/>
      <c r="J560" s="48"/>
    </row>
    <row r="561" spans="1:10" customFormat="1" ht="16.5" x14ac:dyDescent="0.3">
      <c r="A561" s="36">
        <f t="shared" si="50"/>
        <v>5128</v>
      </c>
      <c r="B561" s="14" t="s">
        <v>2</v>
      </c>
      <c r="C561" s="14"/>
      <c r="D561" s="14"/>
      <c r="E561" s="22" t="s">
        <v>643</v>
      </c>
      <c r="F561" s="22">
        <v>3</v>
      </c>
      <c r="G561" s="22">
        <f t="shared" si="49"/>
        <v>2</v>
      </c>
      <c r="H561" s="37">
        <v>1</v>
      </c>
      <c r="I561" s="7"/>
      <c r="J561" s="48"/>
    </row>
    <row r="562" spans="1:10" customFormat="1" ht="16.5" x14ac:dyDescent="0.3">
      <c r="A562" s="36">
        <f t="shared" si="50"/>
        <v>5130</v>
      </c>
      <c r="B562" s="14" t="s">
        <v>735</v>
      </c>
      <c r="C562" s="14"/>
      <c r="D562" s="14"/>
      <c r="E562" s="22" t="s">
        <v>643</v>
      </c>
      <c r="F562" s="22">
        <v>3</v>
      </c>
      <c r="G562" s="22">
        <f t="shared" si="49"/>
        <v>2</v>
      </c>
      <c r="H562" s="37">
        <v>1</v>
      </c>
      <c r="I562" s="7"/>
      <c r="J562" s="15"/>
    </row>
    <row r="563" spans="1:10" customFormat="1" ht="16.5" x14ac:dyDescent="0.3">
      <c r="A563" s="36">
        <f t="shared" si="50"/>
        <v>5132</v>
      </c>
      <c r="B563" s="14" t="s">
        <v>709</v>
      </c>
      <c r="C563" s="14"/>
      <c r="D563" s="14"/>
      <c r="E563" s="22" t="s">
        <v>643</v>
      </c>
      <c r="F563" s="22">
        <v>3</v>
      </c>
      <c r="G563" s="22">
        <f t="shared" si="49"/>
        <v>2</v>
      </c>
      <c r="H563" s="37">
        <v>1</v>
      </c>
      <c r="I563" s="7"/>
      <c r="J563" s="15"/>
    </row>
    <row r="564" spans="1:10" customFormat="1" ht="16.5" x14ac:dyDescent="0.3">
      <c r="A564" s="36">
        <f t="shared" si="50"/>
        <v>5134</v>
      </c>
      <c r="B564" s="14" t="s">
        <v>706</v>
      </c>
      <c r="C564" s="14"/>
      <c r="D564" s="14"/>
      <c r="E564" s="22" t="s">
        <v>643</v>
      </c>
      <c r="F564" s="22">
        <v>3</v>
      </c>
      <c r="G564" s="22">
        <f t="shared" si="49"/>
        <v>2</v>
      </c>
      <c r="H564" s="37">
        <v>1</v>
      </c>
      <c r="I564" s="7"/>
      <c r="J564" s="48"/>
    </row>
    <row r="565" spans="1:10" customFormat="1" ht="16.5" x14ac:dyDescent="0.3">
      <c r="A565" s="36">
        <f t="shared" si="50"/>
        <v>5136</v>
      </c>
      <c r="B565" s="14" t="s">
        <v>707</v>
      </c>
      <c r="C565" s="14"/>
      <c r="D565" s="14"/>
      <c r="E565" s="22" t="s">
        <v>643</v>
      </c>
      <c r="F565" s="22">
        <v>3</v>
      </c>
      <c r="G565" s="22">
        <f t="shared" si="49"/>
        <v>2</v>
      </c>
      <c r="H565" s="37">
        <v>1</v>
      </c>
      <c r="I565" s="7"/>
      <c r="J565" s="48"/>
    </row>
    <row r="566" spans="1:10" customFormat="1" ht="16.5" x14ac:dyDescent="0.3">
      <c r="A566" s="36">
        <f t="shared" si="50"/>
        <v>5138</v>
      </c>
      <c r="B566" s="14" t="s">
        <v>710</v>
      </c>
      <c r="C566" s="14"/>
      <c r="D566" s="14"/>
      <c r="E566" s="22" t="s">
        <v>643</v>
      </c>
      <c r="F566" s="22">
        <v>3</v>
      </c>
      <c r="G566" s="22">
        <f t="shared" si="49"/>
        <v>2</v>
      </c>
      <c r="H566" s="37">
        <v>1</v>
      </c>
      <c r="I566" s="7"/>
      <c r="J566" s="48"/>
    </row>
    <row r="567" spans="1:10" customFormat="1" ht="16.5" x14ac:dyDescent="0.3">
      <c r="A567" s="36">
        <f t="shared" si="50"/>
        <v>5140</v>
      </c>
      <c r="B567" s="14" t="s">
        <v>711</v>
      </c>
      <c r="C567" s="14"/>
      <c r="D567" s="14"/>
      <c r="E567" s="22" t="s">
        <v>643</v>
      </c>
      <c r="F567" s="22">
        <v>3</v>
      </c>
      <c r="G567" s="22">
        <f t="shared" si="49"/>
        <v>2</v>
      </c>
      <c r="H567" s="37">
        <v>1</v>
      </c>
      <c r="I567" s="7"/>
      <c r="J567" s="48"/>
    </row>
    <row r="568" spans="1:10" customFormat="1" ht="16.5" x14ac:dyDescent="0.3">
      <c r="A568" s="36">
        <f t="shared" si="50"/>
        <v>5142</v>
      </c>
      <c r="B568" s="14" t="s">
        <v>712</v>
      </c>
      <c r="C568" s="12"/>
      <c r="D568" s="12"/>
      <c r="E568" s="22" t="s">
        <v>643</v>
      </c>
      <c r="F568" s="22">
        <v>3</v>
      </c>
      <c r="G568" s="22">
        <f t="shared" si="49"/>
        <v>2</v>
      </c>
      <c r="H568" s="37">
        <v>1</v>
      </c>
      <c r="I568" s="7"/>
      <c r="J568" s="48"/>
    </row>
    <row r="569" spans="1:10" customFormat="1" ht="16.5" x14ac:dyDescent="0.3">
      <c r="A569" s="36">
        <f t="shared" si="50"/>
        <v>5144</v>
      </c>
      <c r="B569" s="14" t="s">
        <v>713</v>
      </c>
      <c r="C569" s="12"/>
      <c r="D569" s="12"/>
      <c r="E569" s="22" t="s">
        <v>643</v>
      </c>
      <c r="F569" s="22">
        <v>3</v>
      </c>
      <c r="G569" s="22">
        <f t="shared" si="49"/>
        <v>2</v>
      </c>
      <c r="H569" s="37">
        <v>1</v>
      </c>
      <c r="I569" s="7"/>
      <c r="J569" s="48"/>
    </row>
    <row r="570" spans="1:10" ht="15.95" customHeight="1" x14ac:dyDescent="0.3">
      <c r="A570" s="36">
        <f t="shared" si="50"/>
        <v>5146</v>
      </c>
      <c r="B570" s="14" t="s">
        <v>714</v>
      </c>
      <c r="C570" s="12"/>
      <c r="D570" s="12"/>
      <c r="E570" s="22" t="s">
        <v>643</v>
      </c>
      <c r="F570" s="22">
        <v>3</v>
      </c>
      <c r="G570" s="22">
        <f t="shared" si="49"/>
        <v>2</v>
      </c>
      <c r="H570" s="37">
        <v>1</v>
      </c>
    </row>
    <row r="571" spans="1:10" ht="15.95" customHeight="1" x14ac:dyDescent="0.3">
      <c r="A571" s="36">
        <f t="shared" si="50"/>
        <v>5148</v>
      </c>
      <c r="B571" s="14" t="s">
        <v>715</v>
      </c>
      <c r="C571" s="12"/>
      <c r="D571" s="12"/>
      <c r="E571" s="22" t="s">
        <v>643</v>
      </c>
      <c r="F571" s="22">
        <v>3</v>
      </c>
      <c r="G571" s="22">
        <f t="shared" si="49"/>
        <v>2</v>
      </c>
      <c r="H571" s="37">
        <v>1</v>
      </c>
    </row>
    <row r="572" spans="1:10" ht="15.95" customHeight="1" x14ac:dyDescent="0.3">
      <c r="A572" s="36">
        <f t="shared" si="50"/>
        <v>5150</v>
      </c>
      <c r="B572" s="14" t="s">
        <v>730</v>
      </c>
      <c r="C572" s="12"/>
      <c r="D572" s="12"/>
      <c r="E572" s="22" t="s">
        <v>643</v>
      </c>
      <c r="F572" s="22">
        <v>3</v>
      </c>
      <c r="G572" s="22">
        <f t="shared" si="49"/>
        <v>2</v>
      </c>
      <c r="H572" s="37">
        <v>1</v>
      </c>
    </row>
    <row r="573" spans="1:10" customFormat="1" ht="16.5" x14ac:dyDescent="0.3">
      <c r="A573" s="36">
        <f t="shared" si="50"/>
        <v>5152</v>
      </c>
      <c r="B573" s="14" t="s">
        <v>731</v>
      </c>
      <c r="C573" s="12"/>
      <c r="D573" s="12"/>
      <c r="E573" s="22" t="s">
        <v>643</v>
      </c>
      <c r="F573" s="22">
        <v>3</v>
      </c>
      <c r="G573" s="22">
        <f t="shared" si="49"/>
        <v>2</v>
      </c>
      <c r="H573" s="37">
        <v>1</v>
      </c>
      <c r="I573" s="7"/>
      <c r="J573" s="48"/>
    </row>
    <row r="574" spans="1:10" customFormat="1" ht="16.5" customHeight="1" x14ac:dyDescent="0.3">
      <c r="A574" s="36">
        <f t="shared" si="50"/>
        <v>5154</v>
      </c>
      <c r="B574" s="14" t="s">
        <v>716</v>
      </c>
      <c r="C574" s="12"/>
      <c r="D574" s="12"/>
      <c r="E574" s="22" t="s">
        <v>643</v>
      </c>
      <c r="F574" s="22">
        <v>3</v>
      </c>
      <c r="G574" s="22">
        <f t="shared" si="49"/>
        <v>2</v>
      </c>
      <c r="H574" s="37">
        <v>1</v>
      </c>
      <c r="I574" s="7"/>
      <c r="J574" s="48"/>
    </row>
    <row r="575" spans="1:10" customFormat="1" ht="16.5" x14ac:dyDescent="0.3">
      <c r="A575" s="36">
        <f t="shared" si="50"/>
        <v>5156</v>
      </c>
      <c r="B575" s="14" t="s">
        <v>717</v>
      </c>
      <c r="C575" s="12"/>
      <c r="D575" s="12"/>
      <c r="E575" s="22" t="s">
        <v>643</v>
      </c>
      <c r="F575" s="22">
        <v>3</v>
      </c>
      <c r="G575" s="22">
        <f t="shared" si="49"/>
        <v>2</v>
      </c>
      <c r="H575" s="37">
        <v>1</v>
      </c>
      <c r="I575" s="7"/>
      <c r="J575" s="48"/>
    </row>
    <row r="576" spans="1:10" customFormat="1" ht="16.5" x14ac:dyDescent="0.3">
      <c r="A576" s="36">
        <f t="shared" si="50"/>
        <v>5158</v>
      </c>
      <c r="B576" s="14" t="s">
        <v>718</v>
      </c>
      <c r="C576" s="12"/>
      <c r="D576" s="12"/>
      <c r="E576" s="22" t="s">
        <v>643</v>
      </c>
      <c r="F576" s="22">
        <v>3</v>
      </c>
      <c r="G576" s="22">
        <f t="shared" si="49"/>
        <v>2</v>
      </c>
      <c r="H576" s="37">
        <v>1</v>
      </c>
      <c r="I576" s="7"/>
      <c r="J576" s="48"/>
    </row>
    <row r="577" spans="1:10" customFormat="1" ht="16.5" x14ac:dyDescent="0.3">
      <c r="A577" s="36">
        <f t="shared" si="50"/>
        <v>5160</v>
      </c>
      <c r="B577" s="14" t="s">
        <v>719</v>
      </c>
      <c r="C577" s="12"/>
      <c r="D577" s="12"/>
      <c r="E577" s="22" t="s">
        <v>643</v>
      </c>
      <c r="F577" s="22">
        <v>3</v>
      </c>
      <c r="G577" s="22">
        <f t="shared" ref="G577:G594" si="51">IF(OR(E577="U16", E577="S16"),1,IF(E577="TS",6,2))</f>
        <v>2</v>
      </c>
      <c r="H577" s="37">
        <v>1</v>
      </c>
      <c r="I577" s="7"/>
      <c r="J577" s="48"/>
    </row>
    <row r="578" spans="1:10" customFormat="1" ht="16.5" x14ac:dyDescent="0.3">
      <c r="A578" s="36">
        <f t="shared" si="50"/>
        <v>5162</v>
      </c>
      <c r="B578" s="14" t="s">
        <v>720</v>
      </c>
      <c r="C578" s="14"/>
      <c r="D578" s="14"/>
      <c r="E578" s="22" t="s">
        <v>643</v>
      </c>
      <c r="F578" s="22">
        <v>3</v>
      </c>
      <c r="G578" s="22">
        <f t="shared" si="51"/>
        <v>2</v>
      </c>
      <c r="H578" s="37">
        <v>1</v>
      </c>
      <c r="I578" s="7"/>
      <c r="J578" s="48"/>
    </row>
    <row r="579" spans="1:10" ht="15.95" customHeight="1" x14ac:dyDescent="0.3">
      <c r="A579" s="36">
        <f t="shared" si="50"/>
        <v>5164</v>
      </c>
      <c r="B579" s="15" t="s">
        <v>722</v>
      </c>
      <c r="C579" s="14"/>
      <c r="D579" s="14"/>
      <c r="E579" s="22" t="s">
        <v>643</v>
      </c>
      <c r="F579" s="22">
        <v>3</v>
      </c>
      <c r="G579" s="22">
        <f t="shared" si="51"/>
        <v>2</v>
      </c>
      <c r="H579" s="37">
        <v>1</v>
      </c>
    </row>
    <row r="580" spans="1:10" ht="15.95" customHeight="1" x14ac:dyDescent="0.3">
      <c r="A580" s="36">
        <f t="shared" si="50"/>
        <v>5166</v>
      </c>
      <c r="B580" s="14" t="s">
        <v>734</v>
      </c>
      <c r="C580" s="14"/>
      <c r="D580" s="14"/>
      <c r="E580" s="22" t="s">
        <v>643</v>
      </c>
      <c r="F580" s="22">
        <v>3</v>
      </c>
      <c r="G580" s="22">
        <f t="shared" si="51"/>
        <v>2</v>
      </c>
      <c r="H580" s="37">
        <v>1</v>
      </c>
    </row>
    <row r="581" spans="1:10" ht="15.95" customHeight="1" x14ac:dyDescent="0.3">
      <c r="A581" s="36">
        <f t="shared" si="50"/>
        <v>5168</v>
      </c>
      <c r="B581" s="14" t="s">
        <v>723</v>
      </c>
      <c r="C581" s="14"/>
      <c r="D581" s="14"/>
      <c r="E581" s="22" t="s">
        <v>643</v>
      </c>
      <c r="F581" s="22">
        <v>3</v>
      </c>
      <c r="G581" s="22">
        <f t="shared" si="51"/>
        <v>2</v>
      </c>
      <c r="H581" s="37">
        <v>1</v>
      </c>
    </row>
    <row r="582" spans="1:10" customFormat="1" ht="16.5" x14ac:dyDescent="0.3">
      <c r="A582" s="36">
        <f t="shared" si="50"/>
        <v>5170</v>
      </c>
      <c r="B582" s="14" t="s">
        <v>724</v>
      </c>
      <c r="C582" s="196" t="s">
        <v>736</v>
      </c>
      <c r="D582" s="12"/>
      <c r="E582" s="22" t="s">
        <v>643</v>
      </c>
      <c r="F582" s="22">
        <v>3</v>
      </c>
      <c r="G582" s="22">
        <f t="shared" si="51"/>
        <v>2</v>
      </c>
      <c r="H582" s="37">
        <v>1</v>
      </c>
      <c r="I582" s="7"/>
      <c r="J582" s="48"/>
    </row>
    <row r="583" spans="1:10" customFormat="1" ht="16.5" customHeight="1" x14ac:dyDescent="0.3">
      <c r="A583" s="36">
        <f t="shared" si="50"/>
        <v>5172</v>
      </c>
      <c r="B583" s="14" t="s">
        <v>725</v>
      </c>
      <c r="C583" s="196"/>
      <c r="D583" s="12"/>
      <c r="E583" s="22" t="s">
        <v>643</v>
      </c>
      <c r="F583" s="22">
        <v>3</v>
      </c>
      <c r="G583" s="22">
        <f t="shared" si="51"/>
        <v>2</v>
      </c>
      <c r="H583" s="37">
        <v>1</v>
      </c>
      <c r="I583" s="7"/>
      <c r="J583" s="48"/>
    </row>
    <row r="584" spans="1:10" customFormat="1" ht="16.5" x14ac:dyDescent="0.3">
      <c r="A584" s="36">
        <f t="shared" si="50"/>
        <v>5174</v>
      </c>
      <c r="B584" s="14" t="s">
        <v>726</v>
      </c>
      <c r="C584" s="196"/>
      <c r="D584" s="12"/>
      <c r="E584" s="22" t="s">
        <v>643</v>
      </c>
      <c r="F584" s="22">
        <v>3</v>
      </c>
      <c r="G584" s="22">
        <f t="shared" si="51"/>
        <v>2</v>
      </c>
      <c r="H584" s="37">
        <v>1</v>
      </c>
      <c r="I584" s="7"/>
      <c r="J584" s="48"/>
    </row>
    <row r="585" spans="1:10" customFormat="1" ht="16.5" x14ac:dyDescent="0.3">
      <c r="A585" s="36">
        <f t="shared" si="50"/>
        <v>5176</v>
      </c>
      <c r="B585" s="14" t="s">
        <v>727</v>
      </c>
      <c r="C585" s="196"/>
      <c r="D585" s="12"/>
      <c r="E585" s="22" t="s">
        <v>643</v>
      </c>
      <c r="F585" s="22">
        <v>3</v>
      </c>
      <c r="G585" s="22">
        <f t="shared" si="51"/>
        <v>2</v>
      </c>
      <c r="H585" s="37">
        <v>1</v>
      </c>
      <c r="I585" s="7"/>
      <c r="J585" s="48"/>
    </row>
    <row r="586" spans="1:10" customFormat="1" ht="16.5" x14ac:dyDescent="0.3">
      <c r="A586" s="36">
        <f t="shared" si="50"/>
        <v>5178</v>
      </c>
      <c r="B586" s="14" t="s">
        <v>93</v>
      </c>
      <c r="C586" s="193" t="s">
        <v>737</v>
      </c>
      <c r="D586" s="119"/>
      <c r="E586" s="22" t="s">
        <v>129</v>
      </c>
      <c r="F586" s="22">
        <v>3</v>
      </c>
      <c r="G586" s="22">
        <f t="shared" si="51"/>
        <v>1</v>
      </c>
      <c r="H586" s="37">
        <v>24</v>
      </c>
      <c r="I586" s="7"/>
      <c r="J586" s="48"/>
    </row>
    <row r="587" spans="1:10" customFormat="1" ht="16.5" x14ac:dyDescent="0.3">
      <c r="A587" s="36">
        <f t="shared" si="50"/>
        <v>5202</v>
      </c>
      <c r="B587" s="14" t="s">
        <v>94</v>
      </c>
      <c r="C587" s="194"/>
      <c r="D587" s="120"/>
      <c r="E587" s="22" t="s">
        <v>129</v>
      </c>
      <c r="F587" s="22">
        <v>3</v>
      </c>
      <c r="G587" s="22">
        <f t="shared" si="51"/>
        <v>1</v>
      </c>
      <c r="H587" s="37">
        <v>24</v>
      </c>
      <c r="I587" s="7"/>
      <c r="J587" s="48"/>
    </row>
    <row r="588" spans="1:10" customFormat="1" ht="16.5" x14ac:dyDescent="0.3">
      <c r="A588" s="36">
        <f t="shared" si="50"/>
        <v>5226</v>
      </c>
      <c r="B588" s="14" t="s">
        <v>95</v>
      </c>
      <c r="C588" s="194"/>
      <c r="D588" s="120"/>
      <c r="E588" s="22" t="s">
        <v>129</v>
      </c>
      <c r="F588" s="22">
        <v>3</v>
      </c>
      <c r="G588" s="22">
        <f t="shared" si="51"/>
        <v>1</v>
      </c>
      <c r="H588" s="37">
        <v>24</v>
      </c>
      <c r="I588" s="7"/>
      <c r="J588" s="48"/>
    </row>
    <row r="589" spans="1:10" ht="16.5" customHeight="1" x14ac:dyDescent="0.3">
      <c r="A589" s="36">
        <f t="shared" si="50"/>
        <v>5250</v>
      </c>
      <c r="B589" s="14" t="s">
        <v>96</v>
      </c>
      <c r="C589" s="194"/>
      <c r="D589" s="120"/>
      <c r="E589" s="22" t="s">
        <v>129</v>
      </c>
      <c r="F589" s="22">
        <v>3</v>
      </c>
      <c r="G589" s="22">
        <f t="shared" si="51"/>
        <v>1</v>
      </c>
      <c r="H589" s="37">
        <v>24</v>
      </c>
      <c r="J589" s="15" t="s">
        <v>802</v>
      </c>
    </row>
    <row r="590" spans="1:10" ht="16.5" customHeight="1" x14ac:dyDescent="0.3">
      <c r="A590" s="36">
        <f t="shared" si="50"/>
        <v>5274</v>
      </c>
      <c r="B590" s="14" t="s">
        <v>97</v>
      </c>
      <c r="C590" s="194"/>
      <c r="D590" s="120"/>
      <c r="E590" s="22" t="s">
        <v>129</v>
      </c>
      <c r="F590" s="22">
        <v>3</v>
      </c>
      <c r="G590" s="22">
        <f t="shared" si="51"/>
        <v>1</v>
      </c>
      <c r="H590" s="37">
        <v>24</v>
      </c>
    </row>
    <row r="591" spans="1:10" ht="16.5" customHeight="1" x14ac:dyDescent="0.3">
      <c r="A591" s="36">
        <f t="shared" si="50"/>
        <v>5298</v>
      </c>
      <c r="B591" s="14" t="s">
        <v>98</v>
      </c>
      <c r="C591" s="194"/>
      <c r="D591" s="120"/>
      <c r="E591" s="22" t="s">
        <v>129</v>
      </c>
      <c r="F591" s="22">
        <v>3</v>
      </c>
      <c r="G591" s="22">
        <f t="shared" si="51"/>
        <v>1</v>
      </c>
      <c r="H591" s="37">
        <v>24</v>
      </c>
      <c r="J591" s="15" t="s">
        <v>803</v>
      </c>
    </row>
    <row r="592" spans="1:10" ht="16.5" customHeight="1" x14ac:dyDescent="0.3">
      <c r="A592" s="36">
        <f t="shared" si="50"/>
        <v>5322</v>
      </c>
      <c r="B592" s="14" t="s">
        <v>99</v>
      </c>
      <c r="C592" s="194"/>
      <c r="D592" s="120"/>
      <c r="E592" s="22" t="s">
        <v>129</v>
      </c>
      <c r="F592" s="22">
        <v>3</v>
      </c>
      <c r="G592" s="22">
        <f t="shared" si="51"/>
        <v>1</v>
      </c>
      <c r="H592" s="37">
        <v>24</v>
      </c>
    </row>
    <row r="593" spans="1:8" ht="16.5" customHeight="1" x14ac:dyDescent="0.3">
      <c r="A593" s="36">
        <f t="shared" si="50"/>
        <v>5346</v>
      </c>
      <c r="B593" s="14" t="s">
        <v>100</v>
      </c>
      <c r="C593" s="194"/>
      <c r="D593" s="120"/>
      <c r="E593" s="22" t="s">
        <v>129</v>
      </c>
      <c r="F593" s="22">
        <v>3</v>
      </c>
      <c r="G593" s="22">
        <f t="shared" si="51"/>
        <v>1</v>
      </c>
      <c r="H593" s="37">
        <v>24</v>
      </c>
    </row>
    <row r="594" spans="1:8" ht="16.5" customHeight="1" x14ac:dyDescent="0.3">
      <c r="A594" s="36">
        <f t="shared" si="50"/>
        <v>5370</v>
      </c>
      <c r="B594" s="14" t="s">
        <v>101</v>
      </c>
      <c r="C594" s="195"/>
      <c r="D594" s="11"/>
      <c r="E594" s="22" t="s">
        <v>129</v>
      </c>
      <c r="F594" s="22">
        <v>3</v>
      </c>
      <c r="G594" s="22">
        <f t="shared" si="51"/>
        <v>1</v>
      </c>
      <c r="H594" s="37">
        <v>24</v>
      </c>
    </row>
    <row r="595" spans="1:8" ht="16.5" customHeight="1" thickBot="1" x14ac:dyDescent="0.35">
      <c r="A595" s="38">
        <f t="shared" si="50"/>
        <v>5394</v>
      </c>
      <c r="B595" s="60" t="s">
        <v>703</v>
      </c>
      <c r="C595" s="61"/>
      <c r="D595" s="61"/>
      <c r="E595" s="62" t="s">
        <v>345</v>
      </c>
      <c r="F595" s="62"/>
      <c r="G595" s="62">
        <f>IF(OR(E595="U16", E595="S16"),1,IF(E595="TS",6,2))</f>
        <v>1</v>
      </c>
      <c r="H595" s="41">
        <v>6</v>
      </c>
    </row>
    <row r="596" spans="1:8" ht="16.5" customHeight="1" thickBot="1" x14ac:dyDescent="0.35">
      <c r="A596" s="201" t="s">
        <v>800</v>
      </c>
      <c r="B596" s="202"/>
      <c r="C596" s="202"/>
      <c r="D596" s="202"/>
      <c r="E596" s="202"/>
      <c r="F596" s="202"/>
      <c r="G596" s="202"/>
      <c r="H596" s="203"/>
    </row>
    <row r="597" spans="1:8" ht="16.5" customHeight="1" x14ac:dyDescent="0.3">
      <c r="A597" s="32">
        <f>A595+(G595*H595)</f>
        <v>5400</v>
      </c>
      <c r="B597" s="57" t="s">
        <v>801</v>
      </c>
      <c r="C597" s="58"/>
      <c r="D597" s="58"/>
      <c r="E597" s="58" t="s">
        <v>702</v>
      </c>
      <c r="F597" s="58">
        <v>3</v>
      </c>
      <c r="G597" s="58">
        <f t="shared" ref="G597:G604" si="52">IF(OR(E597="U16", E597="S16"),1,IF(E597="TS",6,2))</f>
        <v>2</v>
      </c>
      <c r="H597" s="35">
        <v>1</v>
      </c>
    </row>
    <row r="598" spans="1:8" ht="16.5" customHeight="1" x14ac:dyDescent="0.3">
      <c r="A598" s="36">
        <f t="shared" ref="A598:A654" si="53">A597+(G597*H597)</f>
        <v>5402</v>
      </c>
      <c r="B598" s="14" t="s">
        <v>751</v>
      </c>
      <c r="C598" s="12"/>
      <c r="D598" s="12"/>
      <c r="E598" s="22" t="s">
        <v>57</v>
      </c>
      <c r="F598" s="22">
        <v>3</v>
      </c>
      <c r="G598" s="22">
        <f>IF(OR(E598="U16", E598="S16"),1,IF(E598="TS",6,2))</f>
        <v>2</v>
      </c>
      <c r="H598" s="37">
        <v>1</v>
      </c>
    </row>
    <row r="599" spans="1:8" ht="16.5" customHeight="1" x14ac:dyDescent="0.3">
      <c r="A599" s="36">
        <f t="shared" si="53"/>
        <v>5404</v>
      </c>
      <c r="B599" s="14" t="s">
        <v>752</v>
      </c>
      <c r="C599" s="12"/>
      <c r="D599" s="12"/>
      <c r="E599" s="22" t="s">
        <v>57</v>
      </c>
      <c r="F599" s="22">
        <v>3</v>
      </c>
      <c r="G599" s="22">
        <f t="shared" si="52"/>
        <v>2</v>
      </c>
      <c r="H599" s="37">
        <v>1</v>
      </c>
    </row>
    <row r="600" spans="1:8" ht="16.5" customHeight="1" x14ac:dyDescent="0.3">
      <c r="A600" s="36">
        <f t="shared" si="53"/>
        <v>5406</v>
      </c>
      <c r="B600" s="14" t="s">
        <v>749</v>
      </c>
      <c r="C600" s="14"/>
      <c r="D600" s="14"/>
      <c r="E600" s="22" t="s">
        <v>57</v>
      </c>
      <c r="F600" s="22">
        <v>3</v>
      </c>
      <c r="G600" s="22">
        <f t="shared" si="52"/>
        <v>2</v>
      </c>
      <c r="H600" s="37">
        <v>1</v>
      </c>
    </row>
    <row r="601" spans="1:8" ht="16.5" customHeight="1" x14ac:dyDescent="0.3">
      <c r="A601" s="36">
        <f t="shared" si="53"/>
        <v>5408</v>
      </c>
      <c r="B601" s="14" t="s">
        <v>750</v>
      </c>
      <c r="C601" s="14"/>
      <c r="D601" s="14"/>
      <c r="E601" s="22" t="s">
        <v>57</v>
      </c>
      <c r="F601" s="22">
        <v>3</v>
      </c>
      <c r="G601" s="22">
        <f t="shared" si="52"/>
        <v>2</v>
      </c>
      <c r="H601" s="37">
        <v>1</v>
      </c>
    </row>
    <row r="602" spans="1:8" ht="16.5" customHeight="1" x14ac:dyDescent="0.3">
      <c r="A602" s="36">
        <f t="shared" si="53"/>
        <v>5410</v>
      </c>
      <c r="B602" s="14" t="s">
        <v>753</v>
      </c>
      <c r="C602" s="14"/>
      <c r="D602" s="14"/>
      <c r="E602" s="22" t="s">
        <v>57</v>
      </c>
      <c r="F602" s="22">
        <v>3</v>
      </c>
      <c r="G602" s="22">
        <f t="shared" si="52"/>
        <v>2</v>
      </c>
      <c r="H602" s="37">
        <v>4</v>
      </c>
    </row>
    <row r="603" spans="1:8" ht="16.5" customHeight="1" x14ac:dyDescent="0.3">
      <c r="A603" s="36">
        <f t="shared" si="53"/>
        <v>5418</v>
      </c>
      <c r="B603" s="14" t="s">
        <v>754</v>
      </c>
      <c r="C603" s="14"/>
      <c r="D603" s="14"/>
      <c r="E603" s="22" t="s">
        <v>57</v>
      </c>
      <c r="F603" s="22">
        <v>3</v>
      </c>
      <c r="G603" s="22">
        <f t="shared" si="52"/>
        <v>2</v>
      </c>
      <c r="H603" s="37">
        <v>4</v>
      </c>
    </row>
    <row r="604" spans="1:8" ht="16.5" customHeight="1" x14ac:dyDescent="0.3">
      <c r="A604" s="36">
        <f t="shared" si="53"/>
        <v>5426</v>
      </c>
      <c r="B604" s="14" t="s">
        <v>755</v>
      </c>
      <c r="C604" s="14"/>
      <c r="D604" s="14"/>
      <c r="E604" s="22" t="s">
        <v>57</v>
      </c>
      <c r="F604" s="22">
        <v>3</v>
      </c>
      <c r="G604" s="22">
        <f t="shared" si="52"/>
        <v>2</v>
      </c>
      <c r="H604" s="37">
        <v>4</v>
      </c>
    </row>
    <row r="605" spans="1:8" ht="16.5" customHeight="1" x14ac:dyDescent="0.3">
      <c r="A605" s="36">
        <f t="shared" si="53"/>
        <v>5434</v>
      </c>
      <c r="B605" s="14" t="s">
        <v>756</v>
      </c>
      <c r="C605" s="14"/>
      <c r="D605" s="14"/>
      <c r="E605" s="22" t="s">
        <v>57</v>
      </c>
      <c r="F605" s="22">
        <v>3</v>
      </c>
      <c r="G605" s="22">
        <f>IF(OR(E605="U16", E605="S16"),1,IF(E605="TS",6,2))</f>
        <v>2</v>
      </c>
      <c r="H605" s="37">
        <v>4</v>
      </c>
    </row>
    <row r="606" spans="1:8" ht="16.5" customHeight="1" x14ac:dyDescent="0.3">
      <c r="A606" s="36">
        <f t="shared" si="53"/>
        <v>5442</v>
      </c>
      <c r="B606" s="14" t="s">
        <v>757</v>
      </c>
      <c r="C606" s="14"/>
      <c r="D606" s="14"/>
      <c r="E606" s="22" t="s">
        <v>57</v>
      </c>
      <c r="F606" s="22">
        <v>3</v>
      </c>
      <c r="G606" s="22">
        <f>IF(OR(E606="U16", E606="S16"),1,IF(E606="TS",6,2))</f>
        <v>2</v>
      </c>
      <c r="H606" s="37">
        <v>4</v>
      </c>
    </row>
    <row r="607" spans="1:8" ht="16.5" customHeight="1" x14ac:dyDescent="0.3">
      <c r="A607" s="36">
        <f t="shared" si="53"/>
        <v>5450</v>
      </c>
      <c r="B607" s="14" t="s">
        <v>758</v>
      </c>
      <c r="C607" s="14"/>
      <c r="D607" s="14"/>
      <c r="E607" s="22" t="s">
        <v>57</v>
      </c>
      <c r="F607" s="22">
        <v>3</v>
      </c>
      <c r="G607" s="22">
        <f>IF(OR(E607="U16", E607="S16"),1,IF(E607="TS",6,2))</f>
        <v>2</v>
      </c>
      <c r="H607" s="37">
        <v>4</v>
      </c>
    </row>
    <row r="608" spans="1:8" ht="16.5" customHeight="1" x14ac:dyDescent="0.3">
      <c r="A608" s="36">
        <f t="shared" si="53"/>
        <v>5458</v>
      </c>
      <c r="B608" s="14" t="s">
        <v>759</v>
      </c>
      <c r="C608" s="14"/>
      <c r="D608" s="14"/>
      <c r="E608" s="22" t="s">
        <v>57</v>
      </c>
      <c r="F608" s="22">
        <v>3</v>
      </c>
      <c r="G608" s="22">
        <f t="shared" ref="G608:G631" si="54">IF(OR(E608="U16", E608="S16"),1,IF(E608="TS",6,2))</f>
        <v>2</v>
      </c>
      <c r="H608" s="37">
        <v>4</v>
      </c>
    </row>
    <row r="609" spans="1:8" ht="16.5" customHeight="1" x14ac:dyDescent="0.3">
      <c r="A609" s="36">
        <f t="shared" si="53"/>
        <v>5466</v>
      </c>
      <c r="B609" s="14" t="s">
        <v>760</v>
      </c>
      <c r="C609" s="14"/>
      <c r="D609" s="14"/>
      <c r="E609" s="22" t="s">
        <v>57</v>
      </c>
      <c r="F609" s="22">
        <v>3</v>
      </c>
      <c r="G609" s="22">
        <f t="shared" si="54"/>
        <v>2</v>
      </c>
      <c r="H609" s="37">
        <v>4</v>
      </c>
    </row>
    <row r="610" spans="1:8" ht="16.5" customHeight="1" x14ac:dyDescent="0.3">
      <c r="A610" s="36">
        <f t="shared" si="53"/>
        <v>5474</v>
      </c>
      <c r="B610" s="14" t="s">
        <v>761</v>
      </c>
      <c r="C610" s="14"/>
      <c r="D610" s="14"/>
      <c r="E610" s="22" t="s">
        <v>57</v>
      </c>
      <c r="F610" s="22">
        <v>3</v>
      </c>
      <c r="G610" s="22">
        <f t="shared" si="54"/>
        <v>2</v>
      </c>
      <c r="H610" s="37">
        <v>4</v>
      </c>
    </row>
    <row r="611" spans="1:8" ht="16.5" customHeight="1" x14ac:dyDescent="0.3">
      <c r="A611" s="36">
        <f t="shared" si="53"/>
        <v>5482</v>
      </c>
      <c r="B611" s="14" t="s">
        <v>762</v>
      </c>
      <c r="C611" s="14"/>
      <c r="D611" s="14"/>
      <c r="E611" s="22" t="s">
        <v>57</v>
      </c>
      <c r="F611" s="22">
        <v>3</v>
      </c>
      <c r="G611" s="22">
        <f t="shared" si="54"/>
        <v>2</v>
      </c>
      <c r="H611" s="37">
        <v>4</v>
      </c>
    </row>
    <row r="612" spans="1:8" ht="16.5" customHeight="1" x14ac:dyDescent="0.3">
      <c r="A612" s="36">
        <f t="shared" si="53"/>
        <v>5490</v>
      </c>
      <c r="B612" s="14" t="s">
        <v>763</v>
      </c>
      <c r="C612" s="14"/>
      <c r="D612" s="14"/>
      <c r="E612" s="22" t="s">
        <v>57</v>
      </c>
      <c r="F612" s="22">
        <v>3</v>
      </c>
      <c r="G612" s="22">
        <f t="shared" si="54"/>
        <v>2</v>
      </c>
      <c r="H612" s="37">
        <v>4</v>
      </c>
    </row>
    <row r="613" spans="1:8" ht="16.5" customHeight="1" x14ac:dyDescent="0.3">
      <c r="A613" s="36">
        <f t="shared" si="53"/>
        <v>5498</v>
      </c>
      <c r="B613" s="14" t="s">
        <v>764</v>
      </c>
      <c r="C613" s="14"/>
      <c r="D613" s="14"/>
      <c r="E613" s="22" t="s">
        <v>57</v>
      </c>
      <c r="F613" s="22">
        <v>3</v>
      </c>
      <c r="G613" s="22">
        <f t="shared" si="54"/>
        <v>2</v>
      </c>
      <c r="H613" s="37">
        <v>4</v>
      </c>
    </row>
    <row r="614" spans="1:8" ht="16.5" customHeight="1" x14ac:dyDescent="0.3">
      <c r="A614" s="36">
        <f t="shared" si="53"/>
        <v>5506</v>
      </c>
      <c r="B614" s="14" t="s">
        <v>765</v>
      </c>
      <c r="C614" s="14"/>
      <c r="D614" s="14"/>
      <c r="E614" s="22" t="s">
        <v>57</v>
      </c>
      <c r="F614" s="22">
        <v>3</v>
      </c>
      <c r="G614" s="22">
        <f t="shared" si="54"/>
        <v>2</v>
      </c>
      <c r="H614" s="37">
        <v>4</v>
      </c>
    </row>
    <row r="615" spans="1:8" ht="16.5" customHeight="1" x14ac:dyDescent="0.3">
      <c r="A615" s="36">
        <f t="shared" si="53"/>
        <v>5514</v>
      </c>
      <c r="B615" s="14" t="s">
        <v>766</v>
      </c>
      <c r="C615" s="14"/>
      <c r="D615" s="14"/>
      <c r="E615" s="22" t="s">
        <v>57</v>
      </c>
      <c r="F615" s="22">
        <v>3</v>
      </c>
      <c r="G615" s="22">
        <f t="shared" si="54"/>
        <v>2</v>
      </c>
      <c r="H615" s="37">
        <v>4</v>
      </c>
    </row>
    <row r="616" spans="1:8" ht="16.5" customHeight="1" x14ac:dyDescent="0.3">
      <c r="A616" s="36">
        <f t="shared" si="53"/>
        <v>5522</v>
      </c>
      <c r="B616" s="14" t="s">
        <v>767</v>
      </c>
      <c r="C616" s="14"/>
      <c r="D616" s="14"/>
      <c r="E616" s="22" t="s">
        <v>57</v>
      </c>
      <c r="F616" s="22">
        <v>3</v>
      </c>
      <c r="G616" s="22">
        <f t="shared" si="54"/>
        <v>2</v>
      </c>
      <c r="H616" s="37">
        <v>4</v>
      </c>
    </row>
    <row r="617" spans="1:8" ht="16.5" customHeight="1" x14ac:dyDescent="0.3">
      <c r="A617" s="36">
        <f t="shared" si="53"/>
        <v>5530</v>
      </c>
      <c r="B617" s="14" t="s">
        <v>768</v>
      </c>
      <c r="C617" s="14"/>
      <c r="D617" s="14"/>
      <c r="E617" s="22" t="s">
        <v>57</v>
      </c>
      <c r="F617" s="22">
        <v>3</v>
      </c>
      <c r="G617" s="22">
        <f t="shared" si="54"/>
        <v>2</v>
      </c>
      <c r="H617" s="37">
        <v>4</v>
      </c>
    </row>
    <row r="618" spans="1:8" ht="16.5" customHeight="1" x14ac:dyDescent="0.3">
      <c r="A618" s="36">
        <f t="shared" si="53"/>
        <v>5538</v>
      </c>
      <c r="B618" s="14" t="s">
        <v>769</v>
      </c>
      <c r="C618" s="14"/>
      <c r="D618" s="14"/>
      <c r="E618" s="22" t="s">
        <v>57</v>
      </c>
      <c r="F618" s="22">
        <v>3</v>
      </c>
      <c r="G618" s="22">
        <f t="shared" si="54"/>
        <v>2</v>
      </c>
      <c r="H618" s="37">
        <v>4</v>
      </c>
    </row>
    <row r="619" spans="1:8" ht="16.5" customHeight="1" x14ac:dyDescent="0.3">
      <c r="A619" s="36">
        <f t="shared" si="53"/>
        <v>5546</v>
      </c>
      <c r="B619" s="14" t="s">
        <v>770</v>
      </c>
      <c r="C619" s="12"/>
      <c r="D619" s="12"/>
      <c r="E619" s="22" t="s">
        <v>57</v>
      </c>
      <c r="F619" s="22">
        <v>3</v>
      </c>
      <c r="G619" s="22">
        <f t="shared" si="54"/>
        <v>2</v>
      </c>
      <c r="H619" s="37">
        <v>4</v>
      </c>
    </row>
    <row r="620" spans="1:8" ht="16.5" customHeight="1" x14ac:dyDescent="0.3">
      <c r="A620" s="36">
        <f t="shared" si="53"/>
        <v>5554</v>
      </c>
      <c r="B620" s="14" t="s">
        <v>771</v>
      </c>
      <c r="C620" s="12"/>
      <c r="D620" s="12"/>
      <c r="E620" s="22" t="s">
        <v>57</v>
      </c>
      <c r="F620" s="22">
        <v>3</v>
      </c>
      <c r="G620" s="22">
        <f t="shared" si="54"/>
        <v>2</v>
      </c>
      <c r="H620" s="37">
        <v>4</v>
      </c>
    </row>
    <row r="621" spans="1:8" ht="16.5" customHeight="1" x14ac:dyDescent="0.3">
      <c r="A621" s="36">
        <f t="shared" si="53"/>
        <v>5562</v>
      </c>
      <c r="B621" s="14" t="s">
        <v>772</v>
      </c>
      <c r="C621" s="12"/>
      <c r="D621" s="12"/>
      <c r="E621" s="22" t="s">
        <v>57</v>
      </c>
      <c r="F621" s="22">
        <v>3</v>
      </c>
      <c r="G621" s="22">
        <f t="shared" si="54"/>
        <v>2</v>
      </c>
      <c r="H621" s="37">
        <v>4</v>
      </c>
    </row>
    <row r="622" spans="1:8" ht="16.5" customHeight="1" x14ac:dyDescent="0.3">
      <c r="A622" s="36">
        <f t="shared" si="53"/>
        <v>5570</v>
      </c>
      <c r="B622" s="14" t="s">
        <v>773</v>
      </c>
      <c r="C622" s="12"/>
      <c r="D622" s="12"/>
      <c r="E622" s="22" t="s">
        <v>57</v>
      </c>
      <c r="F622" s="22">
        <v>3</v>
      </c>
      <c r="G622" s="22">
        <f t="shared" si="54"/>
        <v>2</v>
      </c>
      <c r="H622" s="37">
        <v>4</v>
      </c>
    </row>
    <row r="623" spans="1:8" ht="16.5" customHeight="1" x14ac:dyDescent="0.3">
      <c r="A623" s="36">
        <f t="shared" si="53"/>
        <v>5578</v>
      </c>
      <c r="B623" s="14" t="s">
        <v>774</v>
      </c>
      <c r="C623" s="12"/>
      <c r="D623" s="12"/>
      <c r="E623" s="22" t="s">
        <v>57</v>
      </c>
      <c r="F623" s="22">
        <v>3</v>
      </c>
      <c r="G623" s="22">
        <f t="shared" si="54"/>
        <v>2</v>
      </c>
      <c r="H623" s="37">
        <v>4</v>
      </c>
    </row>
    <row r="624" spans="1:8" ht="16.5" customHeight="1" x14ac:dyDescent="0.3">
      <c r="A624" s="36">
        <f t="shared" si="53"/>
        <v>5586</v>
      </c>
      <c r="B624" s="14" t="s">
        <v>775</v>
      </c>
      <c r="C624" s="12"/>
      <c r="D624" s="12"/>
      <c r="E624" s="22" t="s">
        <v>57</v>
      </c>
      <c r="F624" s="22">
        <v>3</v>
      </c>
      <c r="G624" s="22">
        <f t="shared" si="54"/>
        <v>2</v>
      </c>
      <c r="H624" s="37">
        <v>4</v>
      </c>
    </row>
    <row r="625" spans="1:8" ht="16.5" customHeight="1" thickBot="1" x14ac:dyDescent="0.35">
      <c r="A625" s="38">
        <f t="shared" si="53"/>
        <v>5594</v>
      </c>
      <c r="B625" s="60"/>
      <c r="C625" s="61"/>
      <c r="D625" s="61"/>
      <c r="E625" s="62" t="s">
        <v>799</v>
      </c>
      <c r="F625" s="62">
        <v>3</v>
      </c>
      <c r="G625" s="62">
        <f t="shared" si="54"/>
        <v>1</v>
      </c>
      <c r="H625" s="41">
        <v>6</v>
      </c>
    </row>
    <row r="626" spans="1:8" ht="16.5" customHeight="1" x14ac:dyDescent="0.3">
      <c r="A626" s="69">
        <f t="shared" si="53"/>
        <v>5600</v>
      </c>
      <c r="B626" s="49" t="s">
        <v>801</v>
      </c>
      <c r="C626" s="11"/>
      <c r="D626" s="11"/>
      <c r="E626" s="11" t="s">
        <v>702</v>
      </c>
      <c r="F626" s="56">
        <v>3</v>
      </c>
      <c r="G626" s="11">
        <f>IF(OR(E626="U16", E626="S16"),1,IF(E626="TS",6,2))</f>
        <v>2</v>
      </c>
      <c r="H626" s="66">
        <v>1</v>
      </c>
    </row>
    <row r="627" spans="1:8" ht="16.5" customHeight="1" x14ac:dyDescent="0.3">
      <c r="A627" s="36">
        <f t="shared" si="53"/>
        <v>5602</v>
      </c>
      <c r="B627" s="49" t="s">
        <v>751</v>
      </c>
      <c r="C627" s="11"/>
      <c r="D627" s="11"/>
      <c r="E627" s="22" t="s">
        <v>57</v>
      </c>
      <c r="F627" s="22">
        <v>3</v>
      </c>
      <c r="G627" s="56">
        <f t="shared" si="54"/>
        <v>2</v>
      </c>
      <c r="H627" s="66">
        <v>1</v>
      </c>
    </row>
    <row r="628" spans="1:8" ht="16.5" customHeight="1" x14ac:dyDescent="0.3">
      <c r="A628" s="36">
        <f t="shared" si="53"/>
        <v>5604</v>
      </c>
      <c r="B628" s="14" t="s">
        <v>752</v>
      </c>
      <c r="C628" s="12"/>
      <c r="D628" s="12"/>
      <c r="E628" s="22" t="s">
        <v>57</v>
      </c>
      <c r="F628" s="22">
        <v>3</v>
      </c>
      <c r="G628" s="22">
        <f t="shared" si="54"/>
        <v>2</v>
      </c>
      <c r="H628" s="37">
        <v>1</v>
      </c>
    </row>
    <row r="629" spans="1:8" ht="16.5" customHeight="1" x14ac:dyDescent="0.3">
      <c r="A629" s="36">
        <f t="shared" si="53"/>
        <v>5606</v>
      </c>
      <c r="B629" s="14" t="s">
        <v>749</v>
      </c>
      <c r="C629" s="14"/>
      <c r="D629" s="14"/>
      <c r="E629" s="22" t="s">
        <v>57</v>
      </c>
      <c r="F629" s="22">
        <v>3</v>
      </c>
      <c r="G629" s="22">
        <f t="shared" si="54"/>
        <v>2</v>
      </c>
      <c r="H629" s="37">
        <v>1</v>
      </c>
    </row>
    <row r="630" spans="1:8" ht="16.5" customHeight="1" x14ac:dyDescent="0.3">
      <c r="A630" s="36">
        <f t="shared" si="53"/>
        <v>5608</v>
      </c>
      <c r="B630" s="14" t="s">
        <v>750</v>
      </c>
      <c r="C630" s="14"/>
      <c r="D630" s="14"/>
      <c r="E630" s="22" t="s">
        <v>57</v>
      </c>
      <c r="F630" s="22">
        <v>3</v>
      </c>
      <c r="G630" s="22">
        <f t="shared" si="54"/>
        <v>2</v>
      </c>
      <c r="H630" s="37">
        <v>1</v>
      </c>
    </row>
    <row r="631" spans="1:8" ht="16.5" customHeight="1" x14ac:dyDescent="0.3">
      <c r="A631" s="36">
        <f t="shared" si="53"/>
        <v>5610</v>
      </c>
      <c r="B631" s="14" t="s">
        <v>776</v>
      </c>
      <c r="C631" s="14"/>
      <c r="D631" s="14"/>
      <c r="E631" s="22" t="s">
        <v>57</v>
      </c>
      <c r="F631" s="22">
        <v>3</v>
      </c>
      <c r="G631" s="22">
        <f t="shared" si="54"/>
        <v>2</v>
      </c>
      <c r="H631" s="37">
        <v>4</v>
      </c>
    </row>
    <row r="632" spans="1:8" ht="16.5" customHeight="1" x14ac:dyDescent="0.3">
      <c r="A632" s="36">
        <f t="shared" si="53"/>
        <v>5618</v>
      </c>
      <c r="B632" s="14" t="s">
        <v>777</v>
      </c>
      <c r="C632" s="14"/>
      <c r="D632" s="14"/>
      <c r="E632" s="22" t="s">
        <v>57</v>
      </c>
      <c r="F632" s="22">
        <v>3</v>
      </c>
      <c r="G632" s="22">
        <f t="shared" ref="G632:G658" si="55">IF(OR(E632="U16", E632="S16"),1,IF(E632="TS",6,2))</f>
        <v>2</v>
      </c>
      <c r="H632" s="37">
        <v>4</v>
      </c>
    </row>
    <row r="633" spans="1:8" ht="16.5" customHeight="1" x14ac:dyDescent="0.3">
      <c r="A633" s="36">
        <f t="shared" si="53"/>
        <v>5626</v>
      </c>
      <c r="B633" s="14" t="s">
        <v>778</v>
      </c>
      <c r="C633" s="14"/>
      <c r="D633" s="14"/>
      <c r="E633" s="22" t="s">
        <v>57</v>
      </c>
      <c r="F633" s="22">
        <v>3</v>
      </c>
      <c r="G633" s="22">
        <f t="shared" si="55"/>
        <v>2</v>
      </c>
      <c r="H633" s="37">
        <v>4</v>
      </c>
    </row>
    <row r="634" spans="1:8" ht="16.5" customHeight="1" x14ac:dyDescent="0.3">
      <c r="A634" s="36">
        <f t="shared" si="53"/>
        <v>5634</v>
      </c>
      <c r="B634" s="14" t="s">
        <v>779</v>
      </c>
      <c r="C634" s="14"/>
      <c r="D634" s="14"/>
      <c r="E634" s="22" t="s">
        <v>57</v>
      </c>
      <c r="F634" s="22">
        <v>3</v>
      </c>
      <c r="G634" s="22">
        <f t="shared" si="55"/>
        <v>2</v>
      </c>
      <c r="H634" s="37">
        <v>4</v>
      </c>
    </row>
    <row r="635" spans="1:8" ht="16.5" customHeight="1" x14ac:dyDescent="0.3">
      <c r="A635" s="36">
        <f t="shared" si="53"/>
        <v>5642</v>
      </c>
      <c r="B635" s="14" t="s">
        <v>780</v>
      </c>
      <c r="C635" s="14"/>
      <c r="D635" s="14"/>
      <c r="E635" s="22" t="s">
        <v>57</v>
      </c>
      <c r="F635" s="22">
        <v>3</v>
      </c>
      <c r="G635" s="22">
        <f t="shared" si="55"/>
        <v>2</v>
      </c>
      <c r="H635" s="37">
        <v>4</v>
      </c>
    </row>
    <row r="636" spans="1:8" ht="16.5" customHeight="1" x14ac:dyDescent="0.3">
      <c r="A636" s="36">
        <f t="shared" si="53"/>
        <v>5650</v>
      </c>
      <c r="B636" s="14" t="s">
        <v>781</v>
      </c>
      <c r="C636" s="14"/>
      <c r="D636" s="14"/>
      <c r="E636" s="22" t="s">
        <v>57</v>
      </c>
      <c r="F636" s="22">
        <v>3</v>
      </c>
      <c r="G636" s="22">
        <f t="shared" si="55"/>
        <v>2</v>
      </c>
      <c r="H636" s="37">
        <v>4</v>
      </c>
    </row>
    <row r="637" spans="1:8" ht="16.5" customHeight="1" x14ac:dyDescent="0.3">
      <c r="A637" s="36">
        <f t="shared" si="53"/>
        <v>5658</v>
      </c>
      <c r="B637" s="14" t="s">
        <v>782</v>
      </c>
      <c r="C637" s="14"/>
      <c r="D637" s="14"/>
      <c r="E637" s="22" t="s">
        <v>57</v>
      </c>
      <c r="F637" s="22">
        <v>3</v>
      </c>
      <c r="G637" s="22">
        <f t="shared" si="55"/>
        <v>2</v>
      </c>
      <c r="H637" s="37">
        <v>4</v>
      </c>
    </row>
    <row r="638" spans="1:8" ht="16.5" customHeight="1" x14ac:dyDescent="0.3">
      <c r="A638" s="36">
        <f t="shared" si="53"/>
        <v>5666</v>
      </c>
      <c r="B638" s="14" t="s">
        <v>783</v>
      </c>
      <c r="C638" s="14"/>
      <c r="D638" s="14"/>
      <c r="E638" s="22" t="s">
        <v>57</v>
      </c>
      <c r="F638" s="22">
        <v>3</v>
      </c>
      <c r="G638" s="22">
        <f t="shared" si="55"/>
        <v>2</v>
      </c>
      <c r="H638" s="37">
        <v>4</v>
      </c>
    </row>
    <row r="639" spans="1:8" ht="16.5" customHeight="1" x14ac:dyDescent="0.3">
      <c r="A639" s="36">
        <f t="shared" si="53"/>
        <v>5674</v>
      </c>
      <c r="B639" s="14" t="s">
        <v>784</v>
      </c>
      <c r="C639" s="14"/>
      <c r="D639" s="14"/>
      <c r="E639" s="22" t="s">
        <v>57</v>
      </c>
      <c r="F639" s="22">
        <v>3</v>
      </c>
      <c r="G639" s="22">
        <f t="shared" si="55"/>
        <v>2</v>
      </c>
      <c r="H639" s="37">
        <v>4</v>
      </c>
    </row>
    <row r="640" spans="1:8" ht="16.5" customHeight="1" x14ac:dyDescent="0.3">
      <c r="A640" s="36">
        <f t="shared" si="53"/>
        <v>5682</v>
      </c>
      <c r="B640" s="14" t="s">
        <v>785</v>
      </c>
      <c r="C640" s="14"/>
      <c r="D640" s="14"/>
      <c r="E640" s="22" t="s">
        <v>57</v>
      </c>
      <c r="F640" s="22">
        <v>3</v>
      </c>
      <c r="G640" s="22">
        <f t="shared" si="55"/>
        <v>2</v>
      </c>
      <c r="H640" s="37">
        <v>4</v>
      </c>
    </row>
    <row r="641" spans="1:10" ht="16.5" customHeight="1" x14ac:dyDescent="0.3">
      <c r="A641" s="36">
        <f t="shared" si="53"/>
        <v>5690</v>
      </c>
      <c r="B641" s="14" t="s">
        <v>786</v>
      </c>
      <c r="C641" s="14"/>
      <c r="D641" s="14"/>
      <c r="E641" s="22" t="s">
        <v>57</v>
      </c>
      <c r="F641" s="22">
        <v>3</v>
      </c>
      <c r="G641" s="22">
        <f t="shared" si="55"/>
        <v>2</v>
      </c>
      <c r="H641" s="37">
        <v>4</v>
      </c>
    </row>
    <row r="642" spans="1:10" ht="16.5" customHeight="1" x14ac:dyDescent="0.3">
      <c r="A642" s="36">
        <f t="shared" si="53"/>
        <v>5698</v>
      </c>
      <c r="B642" s="14" t="s">
        <v>787</v>
      </c>
      <c r="C642" s="14"/>
      <c r="D642" s="14"/>
      <c r="E642" s="22" t="s">
        <v>57</v>
      </c>
      <c r="F642" s="22">
        <v>3</v>
      </c>
      <c r="G642" s="22">
        <f t="shared" si="55"/>
        <v>2</v>
      </c>
      <c r="H642" s="37">
        <v>4</v>
      </c>
    </row>
    <row r="643" spans="1:10" ht="16.5" customHeight="1" x14ac:dyDescent="0.3">
      <c r="A643" s="36">
        <f t="shared" si="53"/>
        <v>5706</v>
      </c>
      <c r="B643" s="14" t="s">
        <v>788</v>
      </c>
      <c r="C643" s="14"/>
      <c r="D643" s="14"/>
      <c r="E643" s="22" t="s">
        <v>57</v>
      </c>
      <c r="F643" s="22">
        <v>3</v>
      </c>
      <c r="G643" s="22">
        <f t="shared" si="55"/>
        <v>2</v>
      </c>
      <c r="H643" s="37">
        <v>4</v>
      </c>
    </row>
    <row r="644" spans="1:10" ht="16.5" customHeight="1" x14ac:dyDescent="0.3">
      <c r="A644" s="36">
        <f t="shared" si="53"/>
        <v>5714</v>
      </c>
      <c r="B644" s="14" t="s">
        <v>789</v>
      </c>
      <c r="C644" s="14"/>
      <c r="D644" s="14"/>
      <c r="E644" s="22" t="s">
        <v>57</v>
      </c>
      <c r="F644" s="22">
        <v>3</v>
      </c>
      <c r="G644" s="22">
        <f t="shared" si="55"/>
        <v>2</v>
      </c>
      <c r="H644" s="37">
        <v>4</v>
      </c>
    </row>
    <row r="645" spans="1:10" ht="16.5" customHeight="1" x14ac:dyDescent="0.3">
      <c r="A645" s="36">
        <f t="shared" si="53"/>
        <v>5722</v>
      </c>
      <c r="B645" s="14" t="s">
        <v>790</v>
      </c>
      <c r="C645" s="14"/>
      <c r="D645" s="14"/>
      <c r="E645" s="22" t="s">
        <v>57</v>
      </c>
      <c r="F645" s="22">
        <v>3</v>
      </c>
      <c r="G645" s="22">
        <f t="shared" si="55"/>
        <v>2</v>
      </c>
      <c r="H645" s="37">
        <v>4</v>
      </c>
    </row>
    <row r="646" spans="1:10" ht="16.5" customHeight="1" x14ac:dyDescent="0.3">
      <c r="A646" s="36">
        <f t="shared" si="53"/>
        <v>5730</v>
      </c>
      <c r="B646" s="14" t="s">
        <v>791</v>
      </c>
      <c r="C646" s="14"/>
      <c r="D646" s="14"/>
      <c r="E646" s="22" t="s">
        <v>57</v>
      </c>
      <c r="F646" s="22">
        <v>3</v>
      </c>
      <c r="G646" s="22">
        <f t="shared" si="55"/>
        <v>2</v>
      </c>
      <c r="H646" s="37">
        <v>4</v>
      </c>
    </row>
    <row r="647" spans="1:10" ht="16.5" customHeight="1" x14ac:dyDescent="0.3">
      <c r="A647" s="36">
        <f t="shared" si="53"/>
        <v>5738</v>
      </c>
      <c r="B647" s="14" t="s">
        <v>792</v>
      </c>
      <c r="C647" s="14"/>
      <c r="D647" s="14"/>
      <c r="E647" s="22" t="s">
        <v>57</v>
      </c>
      <c r="F647" s="22">
        <v>3</v>
      </c>
      <c r="G647" s="22">
        <f t="shared" si="55"/>
        <v>2</v>
      </c>
      <c r="H647" s="37">
        <v>4</v>
      </c>
    </row>
    <row r="648" spans="1:10" customFormat="1" ht="16.5" x14ac:dyDescent="0.3">
      <c r="A648" s="36">
        <f t="shared" si="53"/>
        <v>5746</v>
      </c>
      <c r="B648" s="14" t="s">
        <v>793</v>
      </c>
      <c r="C648" s="12"/>
      <c r="D648" s="12"/>
      <c r="E648" s="22" t="s">
        <v>57</v>
      </c>
      <c r="F648" s="22">
        <v>3</v>
      </c>
      <c r="G648" s="22">
        <f t="shared" si="55"/>
        <v>2</v>
      </c>
      <c r="H648" s="37">
        <v>4</v>
      </c>
      <c r="I648" s="7"/>
      <c r="J648" s="48" t="s">
        <v>808</v>
      </c>
    </row>
    <row r="649" spans="1:10" ht="15.95" customHeight="1" x14ac:dyDescent="0.3">
      <c r="A649" s="36">
        <f t="shared" si="53"/>
        <v>5754</v>
      </c>
      <c r="B649" s="14" t="s">
        <v>794</v>
      </c>
      <c r="C649" s="12"/>
      <c r="D649" s="12"/>
      <c r="E649" s="22" t="s">
        <v>57</v>
      </c>
      <c r="F649" s="22">
        <v>3</v>
      </c>
      <c r="G649" s="22">
        <f t="shared" si="55"/>
        <v>2</v>
      </c>
      <c r="H649" s="37">
        <v>4</v>
      </c>
    </row>
    <row r="650" spans="1:10" ht="15.95" customHeight="1" x14ac:dyDescent="0.3">
      <c r="A650" s="36">
        <f t="shared" si="53"/>
        <v>5762</v>
      </c>
      <c r="B650" s="14" t="s">
        <v>795</v>
      </c>
      <c r="C650" s="12"/>
      <c r="D650" s="12"/>
      <c r="E650" s="22" t="s">
        <v>57</v>
      </c>
      <c r="F650" s="22">
        <v>3</v>
      </c>
      <c r="G650" s="22">
        <f t="shared" si="55"/>
        <v>2</v>
      </c>
      <c r="H650" s="37">
        <v>4</v>
      </c>
    </row>
    <row r="651" spans="1:10" ht="15.95" customHeight="1" x14ac:dyDescent="0.3">
      <c r="A651" s="36">
        <f t="shared" si="53"/>
        <v>5770</v>
      </c>
      <c r="B651" s="14" t="s">
        <v>796</v>
      </c>
      <c r="C651" s="12"/>
      <c r="D651" s="12"/>
      <c r="E651" s="22" t="s">
        <v>57</v>
      </c>
      <c r="F651" s="22">
        <v>3</v>
      </c>
      <c r="G651" s="22">
        <f t="shared" si="55"/>
        <v>2</v>
      </c>
      <c r="H651" s="37">
        <v>4</v>
      </c>
    </row>
    <row r="652" spans="1:10" customFormat="1" ht="16.5" x14ac:dyDescent="0.3">
      <c r="A652" s="36">
        <f t="shared" si="53"/>
        <v>5778</v>
      </c>
      <c r="B652" s="14" t="s">
        <v>797</v>
      </c>
      <c r="C652" s="12"/>
      <c r="D652" s="12"/>
      <c r="E652" s="22" t="s">
        <v>57</v>
      </c>
      <c r="F652" s="22">
        <v>3</v>
      </c>
      <c r="G652" s="22">
        <f t="shared" si="55"/>
        <v>2</v>
      </c>
      <c r="H652" s="37">
        <v>4</v>
      </c>
      <c r="I652" s="7"/>
      <c r="J652" s="48"/>
    </row>
    <row r="653" spans="1:10" customFormat="1" ht="16.5" customHeight="1" x14ac:dyDescent="0.3">
      <c r="A653" s="36">
        <f t="shared" si="53"/>
        <v>5786</v>
      </c>
      <c r="B653" s="14" t="s">
        <v>798</v>
      </c>
      <c r="C653" s="12"/>
      <c r="D653" s="12"/>
      <c r="E653" s="22" t="s">
        <v>57</v>
      </c>
      <c r="F653" s="22">
        <v>3</v>
      </c>
      <c r="G653" s="22">
        <f t="shared" si="55"/>
        <v>2</v>
      </c>
      <c r="H653" s="37">
        <v>4</v>
      </c>
      <c r="I653" s="7" t="s">
        <v>811</v>
      </c>
      <c r="J653" s="48"/>
    </row>
    <row r="654" spans="1:10" customFormat="1" ht="17.25" thickBot="1" x14ac:dyDescent="0.35">
      <c r="A654" s="36">
        <f t="shared" si="53"/>
        <v>5794</v>
      </c>
      <c r="B654" s="49"/>
      <c r="C654" s="11"/>
      <c r="D654" s="11"/>
      <c r="E654" s="56" t="s">
        <v>799</v>
      </c>
      <c r="F654" s="22">
        <v>3</v>
      </c>
      <c r="G654" s="56">
        <f t="shared" si="55"/>
        <v>1</v>
      </c>
      <c r="H654" s="66">
        <v>6</v>
      </c>
      <c r="I654" s="7"/>
      <c r="J654" s="48"/>
    </row>
    <row r="655" spans="1:10" customFormat="1" ht="17.25" thickBot="1" x14ac:dyDescent="0.35">
      <c r="A655" s="204" t="s">
        <v>804</v>
      </c>
      <c r="B655" s="205"/>
      <c r="C655" s="205"/>
      <c r="D655" s="205"/>
      <c r="E655" s="205"/>
      <c r="F655" s="205"/>
      <c r="G655" s="205"/>
      <c r="H655" s="206"/>
      <c r="I655" s="7"/>
      <c r="J655" s="48"/>
    </row>
    <row r="656" spans="1:10" customFormat="1" ht="16.5" x14ac:dyDescent="0.3">
      <c r="A656" s="32">
        <f>A654+(G654*H654)</f>
        <v>5800</v>
      </c>
      <c r="B656" s="57" t="s">
        <v>807</v>
      </c>
      <c r="C656" s="58"/>
      <c r="D656" s="58"/>
      <c r="E656" s="53" t="s">
        <v>806</v>
      </c>
      <c r="F656" s="53">
        <v>3</v>
      </c>
      <c r="G656" s="53">
        <f t="shared" si="55"/>
        <v>2</v>
      </c>
      <c r="H656" s="35">
        <v>1</v>
      </c>
      <c r="I656" s="10"/>
      <c r="J656" s="48"/>
    </row>
    <row r="657" spans="1:10" customFormat="1" ht="16.5" x14ac:dyDescent="0.3">
      <c r="A657" s="36">
        <f>A656+(G656*H656)</f>
        <v>5802</v>
      </c>
      <c r="B657" s="14" t="s">
        <v>358</v>
      </c>
      <c r="C657" s="12"/>
      <c r="D657" s="12"/>
      <c r="E657" s="22" t="s">
        <v>58</v>
      </c>
      <c r="F657" s="22">
        <v>3</v>
      </c>
      <c r="G657" s="22">
        <f>IF(OR(E657="U16", E657="S16"),1,IF(E657="TS",6,2))</f>
        <v>2</v>
      </c>
      <c r="H657" s="37">
        <v>96</v>
      </c>
      <c r="I657" s="10"/>
      <c r="J657" s="48"/>
    </row>
    <row r="658" spans="1:10" customFormat="1" ht="17.25" thickBot="1" x14ac:dyDescent="0.35">
      <c r="A658" s="38">
        <f>A657+(G657*H657)</f>
        <v>5994</v>
      </c>
      <c r="B658" s="60" t="s">
        <v>813</v>
      </c>
      <c r="C658" s="61"/>
      <c r="D658" s="61"/>
      <c r="E658" s="62" t="s">
        <v>805</v>
      </c>
      <c r="F658" s="62">
        <v>3</v>
      </c>
      <c r="G658" s="62">
        <f t="shared" si="55"/>
        <v>1</v>
      </c>
      <c r="H658" s="41">
        <v>6</v>
      </c>
      <c r="I658" s="10"/>
      <c r="J658" s="48"/>
    </row>
    <row r="659" spans="1:10" customFormat="1" ht="17.25" thickBot="1" x14ac:dyDescent="0.35">
      <c r="A659" s="190" t="s">
        <v>810</v>
      </c>
      <c r="B659" s="191"/>
      <c r="C659" s="191"/>
      <c r="D659" s="191"/>
      <c r="E659" s="191"/>
      <c r="F659" s="191"/>
      <c r="G659" s="191"/>
      <c r="H659" s="192"/>
      <c r="I659" s="10"/>
      <c r="J659" s="48"/>
    </row>
    <row r="660" spans="1:10" customFormat="1" ht="16.5" x14ac:dyDescent="0.3">
      <c r="A660" s="32">
        <f>A658+(G658*H658)</f>
        <v>6000</v>
      </c>
      <c r="B660" s="57" t="s">
        <v>496</v>
      </c>
      <c r="C660" s="58"/>
      <c r="D660" s="58"/>
      <c r="E660" s="53" t="s">
        <v>129</v>
      </c>
      <c r="F660" s="53">
        <v>3</v>
      </c>
      <c r="G660" s="53">
        <f t="shared" ref="G660:G681" si="56">IF(OR(E660="U16", E660="S16"),1,IF(E660="TS",6,2))</f>
        <v>1</v>
      </c>
      <c r="H660" s="35">
        <v>1</v>
      </c>
      <c r="I660" s="7"/>
      <c r="J660" s="48"/>
    </row>
    <row r="661" spans="1:10" customFormat="1" ht="16.5" x14ac:dyDescent="0.3">
      <c r="A661" s="36">
        <f t="shared" ref="A661:A708" si="57">A660+(G660*H660)</f>
        <v>6001</v>
      </c>
      <c r="B661" s="14" t="s">
        <v>497</v>
      </c>
      <c r="C661" s="12"/>
      <c r="D661" s="12"/>
      <c r="E661" s="22" t="s">
        <v>129</v>
      </c>
      <c r="F661" s="22">
        <v>3</v>
      </c>
      <c r="G661" s="22">
        <f t="shared" si="56"/>
        <v>1</v>
      </c>
      <c r="H661" s="37">
        <v>1</v>
      </c>
      <c r="I661" s="7"/>
      <c r="J661" s="48"/>
    </row>
    <row r="662" spans="1:10" customFormat="1" ht="16.5" x14ac:dyDescent="0.3">
      <c r="A662" s="36">
        <f t="shared" si="57"/>
        <v>6002</v>
      </c>
      <c r="B662" s="14" t="s">
        <v>132</v>
      </c>
      <c r="C662" s="12"/>
      <c r="D662" s="12"/>
      <c r="E662" s="22" t="s">
        <v>91</v>
      </c>
      <c r="F662" s="56">
        <v>3</v>
      </c>
      <c r="G662" s="22">
        <f t="shared" si="56"/>
        <v>2</v>
      </c>
      <c r="H662" s="37">
        <v>1</v>
      </c>
      <c r="I662" s="7"/>
      <c r="J662" s="48"/>
    </row>
    <row r="663" spans="1:10" customFormat="1" ht="16.5" x14ac:dyDescent="0.3">
      <c r="A663" s="36">
        <f t="shared" si="57"/>
        <v>6004</v>
      </c>
      <c r="B663" s="14" t="s">
        <v>30</v>
      </c>
      <c r="C663" s="12"/>
      <c r="D663" s="12"/>
      <c r="E663" s="22" t="s">
        <v>58</v>
      </c>
      <c r="F663" s="22">
        <v>3</v>
      </c>
      <c r="G663" s="22">
        <f t="shared" si="56"/>
        <v>2</v>
      </c>
      <c r="H663" s="37">
        <v>4</v>
      </c>
      <c r="I663" s="7"/>
      <c r="J663" s="48"/>
    </row>
    <row r="664" spans="1:10" customFormat="1" ht="16.5" x14ac:dyDescent="0.3">
      <c r="A664" s="36">
        <f t="shared" si="57"/>
        <v>6012</v>
      </c>
      <c r="B664" s="14" t="s">
        <v>237</v>
      </c>
      <c r="C664" s="12"/>
      <c r="D664" s="12"/>
      <c r="E664" s="22" t="s">
        <v>57</v>
      </c>
      <c r="F664" s="56">
        <v>3</v>
      </c>
      <c r="G664" s="22">
        <f t="shared" si="56"/>
        <v>2</v>
      </c>
      <c r="H664" s="37">
        <v>4</v>
      </c>
      <c r="I664" s="7" t="s">
        <v>363</v>
      </c>
      <c r="J664" s="48"/>
    </row>
    <row r="665" spans="1:10" customFormat="1" ht="15.95" customHeight="1" x14ac:dyDescent="0.3">
      <c r="A665" s="36">
        <f t="shared" si="57"/>
        <v>6020</v>
      </c>
      <c r="B665" s="14" t="s">
        <v>182</v>
      </c>
      <c r="C665" s="12"/>
      <c r="D665" s="12"/>
      <c r="E665" s="22" t="s">
        <v>58</v>
      </c>
      <c r="F665" s="22">
        <v>3</v>
      </c>
      <c r="G665" s="22">
        <f t="shared" si="56"/>
        <v>2</v>
      </c>
      <c r="H665" s="37">
        <v>4</v>
      </c>
      <c r="I665" s="7"/>
      <c r="J665" s="48"/>
    </row>
    <row r="666" spans="1:10" customFormat="1" ht="16.5" x14ac:dyDescent="0.3">
      <c r="A666" s="36">
        <f t="shared" si="57"/>
        <v>6028</v>
      </c>
      <c r="B666" s="14" t="s">
        <v>183</v>
      </c>
      <c r="C666" s="12"/>
      <c r="D666" s="12"/>
      <c r="E666" s="22" t="s">
        <v>58</v>
      </c>
      <c r="F666" s="56">
        <v>3</v>
      </c>
      <c r="G666" s="22">
        <f t="shared" si="56"/>
        <v>2</v>
      </c>
      <c r="H666" s="37">
        <v>4</v>
      </c>
      <c r="I666" s="7"/>
      <c r="J666" s="48"/>
    </row>
    <row r="667" spans="1:10" customFormat="1" ht="16.5" x14ac:dyDescent="0.3">
      <c r="A667" s="36">
        <f t="shared" si="57"/>
        <v>6036</v>
      </c>
      <c r="B667" s="14" t="s">
        <v>184</v>
      </c>
      <c r="C667" s="12"/>
      <c r="D667" s="12"/>
      <c r="E667" s="22" t="s">
        <v>58</v>
      </c>
      <c r="F667" s="22">
        <v>3</v>
      </c>
      <c r="G667" s="22">
        <f t="shared" si="56"/>
        <v>2</v>
      </c>
      <c r="H667" s="37">
        <v>4</v>
      </c>
      <c r="I667" s="7"/>
      <c r="J667" s="48"/>
    </row>
    <row r="668" spans="1:10" customFormat="1" ht="16.5" x14ac:dyDescent="0.3">
      <c r="A668" s="36">
        <f t="shared" si="57"/>
        <v>6044</v>
      </c>
      <c r="B668" s="14" t="s">
        <v>185</v>
      </c>
      <c r="C668" s="12"/>
      <c r="D668" s="12"/>
      <c r="E668" s="22" t="s">
        <v>58</v>
      </c>
      <c r="F668" s="56">
        <v>3</v>
      </c>
      <c r="G668" s="22">
        <f t="shared" si="56"/>
        <v>2</v>
      </c>
      <c r="H668" s="37">
        <v>4</v>
      </c>
      <c r="I668" s="7"/>
      <c r="J668" s="48"/>
    </row>
    <row r="669" spans="1:10" customFormat="1" ht="16.5" x14ac:dyDescent="0.3">
      <c r="A669" s="36">
        <f t="shared" si="57"/>
        <v>6052</v>
      </c>
      <c r="B669" s="14" t="s">
        <v>186</v>
      </c>
      <c r="C669" s="12"/>
      <c r="D669" s="12"/>
      <c r="E669" s="22" t="s">
        <v>58</v>
      </c>
      <c r="F669" s="22">
        <v>3</v>
      </c>
      <c r="G669" s="22">
        <f t="shared" si="56"/>
        <v>2</v>
      </c>
      <c r="H669" s="37">
        <v>4</v>
      </c>
      <c r="I669" s="7"/>
      <c r="J669" s="48"/>
    </row>
    <row r="670" spans="1:10" customFormat="1" ht="16.5" x14ac:dyDescent="0.3">
      <c r="A670" s="36">
        <f t="shared" si="57"/>
        <v>6060</v>
      </c>
      <c r="B670" s="14" t="s">
        <v>187</v>
      </c>
      <c r="C670" s="12"/>
      <c r="D670" s="12"/>
      <c r="E670" s="22" t="s">
        <v>58</v>
      </c>
      <c r="F670" s="56">
        <v>3</v>
      </c>
      <c r="G670" s="22">
        <f t="shared" si="56"/>
        <v>2</v>
      </c>
      <c r="H670" s="37">
        <v>4</v>
      </c>
      <c r="I670" s="7"/>
      <c r="J670" s="48"/>
    </row>
    <row r="671" spans="1:10" customFormat="1" ht="16.5" x14ac:dyDescent="0.3">
      <c r="A671" s="36">
        <f t="shared" si="57"/>
        <v>6068</v>
      </c>
      <c r="B671" s="14" t="s">
        <v>188</v>
      </c>
      <c r="C671" s="12"/>
      <c r="D671" s="12"/>
      <c r="E671" s="22" t="s">
        <v>58</v>
      </c>
      <c r="F671" s="22">
        <v>3</v>
      </c>
      <c r="G671" s="22">
        <f t="shared" si="56"/>
        <v>2</v>
      </c>
      <c r="H671" s="37">
        <v>4</v>
      </c>
      <c r="I671" s="7"/>
      <c r="J671" s="48"/>
    </row>
    <row r="672" spans="1:10" customFormat="1" ht="16.5" x14ac:dyDescent="0.3">
      <c r="A672" s="36">
        <f t="shared" si="57"/>
        <v>6076</v>
      </c>
      <c r="B672" s="14" t="s">
        <v>189</v>
      </c>
      <c r="C672" s="12"/>
      <c r="D672" s="12"/>
      <c r="E672" s="22" t="s">
        <v>58</v>
      </c>
      <c r="F672" s="56">
        <v>3</v>
      </c>
      <c r="G672" s="22">
        <f t="shared" si="56"/>
        <v>2</v>
      </c>
      <c r="H672" s="37">
        <v>4</v>
      </c>
      <c r="I672" s="7"/>
      <c r="J672" s="48"/>
    </row>
    <row r="673" spans="1:10" customFormat="1" ht="16.5" x14ac:dyDescent="0.3">
      <c r="A673" s="36">
        <f t="shared" si="57"/>
        <v>6084</v>
      </c>
      <c r="B673" s="14" t="s">
        <v>0</v>
      </c>
      <c r="C673" s="12"/>
      <c r="D673" s="12"/>
      <c r="E673" s="22" t="s">
        <v>58</v>
      </c>
      <c r="F673" s="22">
        <v>3</v>
      </c>
      <c r="G673" s="22">
        <f t="shared" si="56"/>
        <v>2</v>
      </c>
      <c r="H673" s="37">
        <v>4</v>
      </c>
      <c r="I673" s="7"/>
      <c r="J673" s="48"/>
    </row>
    <row r="674" spans="1:10" customFormat="1" ht="16.5" x14ac:dyDescent="0.3">
      <c r="A674" s="36">
        <f t="shared" si="57"/>
        <v>6092</v>
      </c>
      <c r="B674" s="14" t="s">
        <v>134</v>
      </c>
      <c r="C674" s="12"/>
      <c r="D674" s="12"/>
      <c r="E674" s="22" t="s">
        <v>58</v>
      </c>
      <c r="F674" s="56">
        <v>3</v>
      </c>
      <c r="G674" s="22">
        <f t="shared" si="56"/>
        <v>2</v>
      </c>
      <c r="H674" s="37">
        <v>4</v>
      </c>
      <c r="I674" s="7"/>
      <c r="J674" s="48"/>
    </row>
    <row r="675" spans="1:10" customFormat="1" ht="16.5" x14ac:dyDescent="0.3">
      <c r="A675" s="36">
        <f t="shared" si="57"/>
        <v>6100</v>
      </c>
      <c r="B675" s="14" t="s">
        <v>135</v>
      </c>
      <c r="C675" s="12"/>
      <c r="D675" s="12"/>
      <c r="E675" s="22" t="s">
        <v>58</v>
      </c>
      <c r="F675" s="22">
        <v>3</v>
      </c>
      <c r="G675" s="22">
        <f t="shared" si="56"/>
        <v>2</v>
      </c>
      <c r="H675" s="37">
        <v>4</v>
      </c>
      <c r="I675" s="7"/>
      <c r="J675" s="48"/>
    </row>
    <row r="676" spans="1:10" customFormat="1" ht="16.5" x14ac:dyDescent="0.3">
      <c r="A676" s="36">
        <f t="shared" si="57"/>
        <v>6108</v>
      </c>
      <c r="B676" s="14" t="s">
        <v>146</v>
      </c>
      <c r="C676" s="12"/>
      <c r="D676" s="12"/>
      <c r="E676" s="22" t="s">
        <v>58</v>
      </c>
      <c r="F676" s="56">
        <v>3</v>
      </c>
      <c r="G676" s="22">
        <f t="shared" si="56"/>
        <v>2</v>
      </c>
      <c r="H676" s="37">
        <v>4</v>
      </c>
      <c r="I676" s="7"/>
      <c r="J676" s="48"/>
    </row>
    <row r="677" spans="1:10" customFormat="1" ht="16.5" x14ac:dyDescent="0.3">
      <c r="A677" s="36">
        <f t="shared" si="57"/>
        <v>6116</v>
      </c>
      <c r="B677" s="14" t="s">
        <v>148</v>
      </c>
      <c r="C677" s="12"/>
      <c r="D677" s="12"/>
      <c r="E677" s="22" t="s">
        <v>58</v>
      </c>
      <c r="F677" s="22">
        <v>3</v>
      </c>
      <c r="G677" s="22">
        <f t="shared" si="56"/>
        <v>2</v>
      </c>
      <c r="H677" s="37">
        <v>4</v>
      </c>
      <c r="I677" s="7"/>
      <c r="J677" s="48"/>
    </row>
    <row r="678" spans="1:10" customFormat="1" ht="16.5" x14ac:dyDescent="0.3">
      <c r="A678" s="36">
        <f t="shared" si="57"/>
        <v>6124</v>
      </c>
      <c r="B678" s="14" t="s">
        <v>137</v>
      </c>
      <c r="C678" s="12"/>
      <c r="D678" s="12"/>
      <c r="E678" s="22" t="s">
        <v>58</v>
      </c>
      <c r="F678" s="56">
        <v>3</v>
      </c>
      <c r="G678" s="22">
        <f t="shared" si="56"/>
        <v>2</v>
      </c>
      <c r="H678" s="37">
        <v>4</v>
      </c>
      <c r="I678" s="7"/>
      <c r="J678" s="48"/>
    </row>
    <row r="679" spans="1:10" customFormat="1" ht="16.5" x14ac:dyDescent="0.3">
      <c r="A679" s="36">
        <f t="shared" si="57"/>
        <v>6132</v>
      </c>
      <c r="B679" s="14" t="s">
        <v>147</v>
      </c>
      <c r="C679" s="12"/>
      <c r="D679" s="12"/>
      <c r="E679" s="22" t="s">
        <v>58</v>
      </c>
      <c r="F679" s="22">
        <v>3</v>
      </c>
      <c r="G679" s="22">
        <f t="shared" si="56"/>
        <v>2</v>
      </c>
      <c r="H679" s="37">
        <v>4</v>
      </c>
      <c r="I679" s="7"/>
      <c r="J679" s="48"/>
    </row>
    <row r="680" spans="1:10" customFormat="1" ht="16.5" x14ac:dyDescent="0.3">
      <c r="A680" s="36">
        <f t="shared" si="57"/>
        <v>6140</v>
      </c>
      <c r="B680" s="14" t="s">
        <v>59</v>
      </c>
      <c r="C680" s="12"/>
      <c r="D680" s="12"/>
      <c r="E680" s="22" t="s">
        <v>58</v>
      </c>
      <c r="F680" s="56">
        <v>3</v>
      </c>
      <c r="G680" s="22">
        <f t="shared" si="56"/>
        <v>2</v>
      </c>
      <c r="H680" s="37">
        <v>4</v>
      </c>
      <c r="I680" s="7"/>
      <c r="J680" s="48"/>
    </row>
    <row r="681" spans="1:10" customFormat="1" ht="16.5" x14ac:dyDescent="0.3">
      <c r="A681" s="36">
        <f t="shared" si="57"/>
        <v>6148</v>
      </c>
      <c r="B681" s="14" t="s">
        <v>3</v>
      </c>
      <c r="C681" s="12"/>
      <c r="D681" s="12"/>
      <c r="E681" s="22" t="s">
        <v>57</v>
      </c>
      <c r="F681" s="22">
        <v>3</v>
      </c>
      <c r="G681" s="22">
        <f t="shared" si="56"/>
        <v>2</v>
      </c>
      <c r="H681" s="37">
        <v>4</v>
      </c>
      <c r="I681" s="7"/>
      <c r="J681" s="48"/>
    </row>
    <row r="682" spans="1:10" customFormat="1" ht="16.5" x14ac:dyDescent="0.3">
      <c r="A682" s="36">
        <f t="shared" si="57"/>
        <v>6156</v>
      </c>
      <c r="B682" s="14" t="s">
        <v>4</v>
      </c>
      <c r="C682" s="12"/>
      <c r="D682" s="12"/>
      <c r="E682" s="22" t="s">
        <v>58</v>
      </c>
      <c r="F682" s="56">
        <v>3</v>
      </c>
      <c r="G682" s="22">
        <f>IF(OR(E682="U16", E682="S16"),1,IF(E682="TS",6,2))</f>
        <v>2</v>
      </c>
      <c r="H682" s="37">
        <v>4</v>
      </c>
      <c r="I682" s="7"/>
      <c r="J682" s="48"/>
    </row>
    <row r="683" spans="1:10" customFormat="1" ht="16.5" x14ac:dyDescent="0.3">
      <c r="A683" s="36">
        <f t="shared" si="57"/>
        <v>6164</v>
      </c>
      <c r="B683" s="14" t="s">
        <v>60</v>
      </c>
      <c r="C683" s="12"/>
      <c r="D683" s="12"/>
      <c r="E683" s="22" t="s">
        <v>58</v>
      </c>
      <c r="F683" s="22">
        <v>3</v>
      </c>
      <c r="G683" s="22">
        <f>IF(OR(E683="U16", E683="S16"),1,IF(E683="TS",6,2))</f>
        <v>2</v>
      </c>
      <c r="H683" s="37">
        <v>4</v>
      </c>
      <c r="I683" s="7"/>
      <c r="J683" s="48"/>
    </row>
    <row r="684" spans="1:10" customFormat="1" ht="16.5" x14ac:dyDescent="0.3">
      <c r="A684" s="36">
        <f t="shared" si="57"/>
        <v>6172</v>
      </c>
      <c r="B684" s="14" t="s">
        <v>61</v>
      </c>
      <c r="C684" s="12"/>
      <c r="D684" s="12"/>
      <c r="E684" s="22" t="s">
        <v>58</v>
      </c>
      <c r="F684" s="56">
        <v>3</v>
      </c>
      <c r="G684" s="22">
        <f>IF(OR(E684="U16", E684="S16"),1,IF(E684="TS",6,2))</f>
        <v>2</v>
      </c>
      <c r="H684" s="37">
        <v>4</v>
      </c>
      <c r="I684" s="7"/>
      <c r="J684" s="48"/>
    </row>
    <row r="685" spans="1:10" customFormat="1" ht="16.5" x14ac:dyDescent="0.3">
      <c r="A685" s="36">
        <f t="shared" si="57"/>
        <v>6180</v>
      </c>
      <c r="B685" s="14" t="s">
        <v>62</v>
      </c>
      <c r="C685" s="12"/>
      <c r="D685" s="12"/>
      <c r="E685" s="22" t="s">
        <v>58</v>
      </c>
      <c r="F685" s="22">
        <v>3</v>
      </c>
      <c r="G685" s="22">
        <f>IF(OR(E685="U16", E685="S16"),1,IF(E685="TS",6,2))</f>
        <v>2</v>
      </c>
      <c r="H685" s="37">
        <v>4</v>
      </c>
      <c r="I685" s="7"/>
      <c r="J685" s="48"/>
    </row>
    <row r="686" spans="1:10" customFormat="1" ht="16.5" x14ac:dyDescent="0.3">
      <c r="A686" s="36">
        <f t="shared" si="57"/>
        <v>6188</v>
      </c>
      <c r="B686" s="14" t="s">
        <v>63</v>
      </c>
      <c r="C686" s="12"/>
      <c r="D686" s="12"/>
      <c r="E686" s="22" t="s">
        <v>58</v>
      </c>
      <c r="F686" s="56">
        <v>3</v>
      </c>
      <c r="G686" s="22">
        <f t="shared" ref="G686:G703" si="58">IF(OR(E686="U16", E686="S16"),1,IF(E686="TS",6,2))</f>
        <v>2</v>
      </c>
      <c r="H686" s="37">
        <v>4</v>
      </c>
      <c r="I686" s="7"/>
      <c r="J686" s="48"/>
    </row>
    <row r="687" spans="1:10" customFormat="1" ht="16.5" x14ac:dyDescent="0.3">
      <c r="A687" s="36">
        <f t="shared" si="57"/>
        <v>6196</v>
      </c>
      <c r="B687" s="14" t="s">
        <v>64</v>
      </c>
      <c r="C687" s="12"/>
      <c r="D687" s="12"/>
      <c r="E687" s="22" t="s">
        <v>58</v>
      </c>
      <c r="F687" s="22">
        <v>3</v>
      </c>
      <c r="G687" s="22">
        <f t="shared" si="58"/>
        <v>2</v>
      </c>
      <c r="H687" s="37">
        <v>4</v>
      </c>
      <c r="I687" s="7"/>
      <c r="J687" s="48"/>
    </row>
    <row r="688" spans="1:10" customFormat="1" ht="16.5" x14ac:dyDescent="0.3">
      <c r="A688" s="36">
        <f t="shared" si="57"/>
        <v>6204</v>
      </c>
      <c r="B688" s="14" t="s">
        <v>65</v>
      </c>
      <c r="C688" s="12"/>
      <c r="D688" s="12"/>
      <c r="E688" s="22" t="s">
        <v>58</v>
      </c>
      <c r="F688" s="56">
        <v>3</v>
      </c>
      <c r="G688" s="22">
        <f t="shared" si="58"/>
        <v>2</v>
      </c>
      <c r="H688" s="37">
        <v>4</v>
      </c>
      <c r="I688" s="7"/>
      <c r="J688" s="48"/>
    </row>
    <row r="689" spans="1:10" customFormat="1" ht="16.5" x14ac:dyDescent="0.3">
      <c r="A689" s="36">
        <f t="shared" si="57"/>
        <v>6212</v>
      </c>
      <c r="B689" s="14" t="s">
        <v>6</v>
      </c>
      <c r="C689" s="12"/>
      <c r="D689" s="12"/>
      <c r="E689" s="22" t="s">
        <v>58</v>
      </c>
      <c r="F689" s="22">
        <v>3</v>
      </c>
      <c r="G689" s="22">
        <f t="shared" si="58"/>
        <v>2</v>
      </c>
      <c r="H689" s="37">
        <v>4</v>
      </c>
      <c r="I689" s="7"/>
      <c r="J689" s="48"/>
    </row>
    <row r="690" spans="1:10" customFormat="1" ht="16.5" x14ac:dyDescent="0.3">
      <c r="A690" s="36">
        <f t="shared" si="57"/>
        <v>6220</v>
      </c>
      <c r="B690" s="14" t="s">
        <v>7</v>
      </c>
      <c r="C690" s="12"/>
      <c r="D690" s="12"/>
      <c r="E690" s="22" t="s">
        <v>58</v>
      </c>
      <c r="F690" s="56">
        <v>3</v>
      </c>
      <c r="G690" s="22">
        <f t="shared" si="58"/>
        <v>2</v>
      </c>
      <c r="H690" s="37">
        <v>4</v>
      </c>
      <c r="I690" s="7"/>
      <c r="J690" s="48"/>
    </row>
    <row r="691" spans="1:10" customFormat="1" ht="16.5" x14ac:dyDescent="0.3">
      <c r="A691" s="36">
        <f t="shared" si="57"/>
        <v>6228</v>
      </c>
      <c r="B691" s="14" t="s">
        <v>66</v>
      </c>
      <c r="C691" s="12"/>
      <c r="D691" s="12"/>
      <c r="E691" s="22" t="s">
        <v>58</v>
      </c>
      <c r="F691" s="22">
        <v>3</v>
      </c>
      <c r="G691" s="22">
        <f t="shared" si="58"/>
        <v>2</v>
      </c>
      <c r="H691" s="37">
        <v>4</v>
      </c>
      <c r="I691" s="7"/>
      <c r="J691" s="48"/>
    </row>
    <row r="692" spans="1:10" customFormat="1" ht="16.5" x14ac:dyDescent="0.3">
      <c r="A692" s="36">
        <f t="shared" si="57"/>
        <v>6236</v>
      </c>
      <c r="B692" s="14" t="s">
        <v>150</v>
      </c>
      <c r="C692" s="12"/>
      <c r="D692" s="12"/>
      <c r="E692" s="22" t="s">
        <v>58</v>
      </c>
      <c r="F692" s="56">
        <v>3</v>
      </c>
      <c r="G692" s="22">
        <f t="shared" si="58"/>
        <v>2</v>
      </c>
      <c r="H692" s="37">
        <v>4</v>
      </c>
      <c r="I692" s="7"/>
      <c r="J692" s="48"/>
    </row>
    <row r="693" spans="1:10" ht="15.95" customHeight="1" x14ac:dyDescent="0.3">
      <c r="A693" s="36">
        <f t="shared" si="57"/>
        <v>6244</v>
      </c>
      <c r="B693" s="14" t="s">
        <v>151</v>
      </c>
      <c r="C693" s="12"/>
      <c r="D693" s="12"/>
      <c r="E693" s="22" t="s">
        <v>58</v>
      </c>
      <c r="F693" s="22">
        <v>3</v>
      </c>
      <c r="G693" s="22">
        <f t="shared" si="58"/>
        <v>2</v>
      </c>
      <c r="H693" s="37">
        <v>4</v>
      </c>
    </row>
    <row r="694" spans="1:10" customFormat="1" ht="16.5" x14ac:dyDescent="0.3">
      <c r="A694" s="36">
        <f t="shared" si="57"/>
        <v>6252</v>
      </c>
      <c r="B694" s="14" t="s">
        <v>152</v>
      </c>
      <c r="C694" s="12"/>
      <c r="D694" s="12"/>
      <c r="E694" s="22" t="s">
        <v>58</v>
      </c>
      <c r="F694" s="56">
        <v>3</v>
      </c>
      <c r="G694" s="22">
        <f t="shared" si="58"/>
        <v>2</v>
      </c>
      <c r="H694" s="37">
        <v>4</v>
      </c>
      <c r="I694" s="7"/>
      <c r="J694" s="48"/>
    </row>
    <row r="695" spans="1:10" customFormat="1" ht="16.5" x14ac:dyDescent="0.3">
      <c r="A695" s="36">
        <f t="shared" si="57"/>
        <v>6260</v>
      </c>
      <c r="B695" s="14" t="s">
        <v>80</v>
      </c>
      <c r="C695" s="12"/>
      <c r="D695" s="12"/>
      <c r="E695" s="22" t="s">
        <v>58</v>
      </c>
      <c r="F695" s="22">
        <v>3</v>
      </c>
      <c r="G695" s="22">
        <f t="shared" si="58"/>
        <v>2</v>
      </c>
      <c r="H695" s="37">
        <v>4</v>
      </c>
      <c r="I695" s="7"/>
      <c r="J695" s="48"/>
    </row>
    <row r="696" spans="1:10" customFormat="1" ht="16.5" x14ac:dyDescent="0.3">
      <c r="A696" s="36">
        <f t="shared" si="57"/>
        <v>6268</v>
      </c>
      <c r="B696" s="14" t="s">
        <v>335</v>
      </c>
      <c r="C696" s="12"/>
      <c r="D696" s="12"/>
      <c r="E696" s="22" t="s">
        <v>58</v>
      </c>
      <c r="F696" s="56">
        <v>3</v>
      </c>
      <c r="G696" s="22">
        <f t="shared" si="58"/>
        <v>2</v>
      </c>
      <c r="H696" s="37">
        <v>4</v>
      </c>
      <c r="I696" s="7"/>
      <c r="J696" s="48"/>
    </row>
    <row r="697" spans="1:10" customFormat="1" ht="16.5" x14ac:dyDescent="0.3">
      <c r="A697" s="36">
        <f t="shared" si="57"/>
        <v>6276</v>
      </c>
      <c r="B697" s="14" t="s">
        <v>336</v>
      </c>
      <c r="C697" s="12"/>
      <c r="D697" s="12"/>
      <c r="E697" s="22" t="s">
        <v>58</v>
      </c>
      <c r="F697" s="22">
        <v>3</v>
      </c>
      <c r="G697" s="22">
        <f t="shared" si="58"/>
        <v>2</v>
      </c>
      <c r="H697" s="37">
        <v>4</v>
      </c>
      <c r="I697" s="7"/>
      <c r="J697" s="48"/>
    </row>
    <row r="698" spans="1:10" customFormat="1" ht="16.5" x14ac:dyDescent="0.3">
      <c r="A698" s="36">
        <f t="shared" si="57"/>
        <v>6284</v>
      </c>
      <c r="B698" s="14" t="s">
        <v>337</v>
      </c>
      <c r="C698" s="12"/>
      <c r="D698" s="12"/>
      <c r="E698" s="22" t="s">
        <v>58</v>
      </c>
      <c r="F698" s="56">
        <v>3</v>
      </c>
      <c r="G698" s="22">
        <f t="shared" si="58"/>
        <v>2</v>
      </c>
      <c r="H698" s="37">
        <v>4</v>
      </c>
      <c r="I698" s="7"/>
      <c r="J698" s="48"/>
    </row>
    <row r="699" spans="1:10" customFormat="1" ht="16.5" x14ac:dyDescent="0.3">
      <c r="A699" s="36">
        <f t="shared" si="57"/>
        <v>6292</v>
      </c>
      <c r="B699" s="15" t="s">
        <v>338</v>
      </c>
      <c r="C699" s="12"/>
      <c r="D699" s="12"/>
      <c r="E699" s="22" t="s">
        <v>58</v>
      </c>
      <c r="F699" s="22">
        <v>3</v>
      </c>
      <c r="G699" s="22">
        <f t="shared" si="58"/>
        <v>2</v>
      </c>
      <c r="H699" s="37">
        <v>4</v>
      </c>
      <c r="I699" s="7"/>
      <c r="J699" s="48"/>
    </row>
    <row r="700" spans="1:10" customFormat="1" ht="16.5" x14ac:dyDescent="0.3">
      <c r="A700" s="36">
        <f t="shared" si="57"/>
        <v>6300</v>
      </c>
      <c r="B700" s="15" t="s">
        <v>339</v>
      </c>
      <c r="C700" s="12"/>
      <c r="D700" s="12"/>
      <c r="E700" s="22" t="s">
        <v>58</v>
      </c>
      <c r="F700" s="56">
        <v>3</v>
      </c>
      <c r="G700" s="22">
        <f t="shared" si="58"/>
        <v>2</v>
      </c>
      <c r="H700" s="37">
        <v>4</v>
      </c>
      <c r="I700" s="7"/>
      <c r="J700" s="48"/>
    </row>
    <row r="701" spans="1:10" customFormat="1" ht="16.5" x14ac:dyDescent="0.3">
      <c r="A701" s="36">
        <f t="shared" si="57"/>
        <v>6308</v>
      </c>
      <c r="B701" s="15" t="s">
        <v>340</v>
      </c>
      <c r="C701" s="12"/>
      <c r="D701" s="12"/>
      <c r="E701" s="22" t="s">
        <v>58</v>
      </c>
      <c r="F701" s="22">
        <v>3</v>
      </c>
      <c r="G701" s="22">
        <f t="shared" si="58"/>
        <v>2</v>
      </c>
      <c r="H701" s="37">
        <v>4</v>
      </c>
      <c r="I701" s="7"/>
      <c r="J701" s="48"/>
    </row>
    <row r="702" spans="1:10" customFormat="1" ht="16.5" x14ac:dyDescent="0.3">
      <c r="A702" s="36">
        <f t="shared" si="57"/>
        <v>6316</v>
      </c>
      <c r="B702" s="14" t="s">
        <v>341</v>
      </c>
      <c r="C702" s="12"/>
      <c r="D702" s="12"/>
      <c r="E702" s="22" t="s">
        <v>58</v>
      </c>
      <c r="F702" s="56">
        <v>3</v>
      </c>
      <c r="G702" s="22">
        <f t="shared" si="58"/>
        <v>2</v>
      </c>
      <c r="H702" s="37">
        <v>4</v>
      </c>
      <c r="I702" s="7"/>
      <c r="J702" s="48"/>
    </row>
    <row r="703" spans="1:10" customFormat="1" ht="16.5" x14ac:dyDescent="0.3">
      <c r="A703" s="36">
        <f t="shared" si="57"/>
        <v>6324</v>
      </c>
      <c r="B703" s="14" t="s">
        <v>25</v>
      </c>
      <c r="C703" s="12"/>
      <c r="D703" s="12"/>
      <c r="E703" s="22" t="s">
        <v>58</v>
      </c>
      <c r="F703" s="22">
        <v>3</v>
      </c>
      <c r="G703" s="22">
        <f t="shared" si="58"/>
        <v>2</v>
      </c>
      <c r="H703" s="37">
        <v>4</v>
      </c>
      <c r="I703" s="7"/>
      <c r="J703" s="48"/>
    </row>
    <row r="704" spans="1:10" customFormat="1" ht="16.5" x14ac:dyDescent="0.3">
      <c r="A704" s="36">
        <f t="shared" si="57"/>
        <v>6332</v>
      </c>
      <c r="B704" s="14" t="s">
        <v>26</v>
      </c>
      <c r="C704" s="12"/>
      <c r="D704" s="12"/>
      <c r="E704" s="22" t="s">
        <v>58</v>
      </c>
      <c r="F704" s="56">
        <v>3</v>
      </c>
      <c r="G704" s="22">
        <f>IF(OR(E704="U16", E704="S16"),1,IF(E704="TS",6,2))</f>
        <v>2</v>
      </c>
      <c r="H704" s="37">
        <v>4</v>
      </c>
      <c r="I704" s="7"/>
      <c r="J704" s="48"/>
    </row>
    <row r="705" spans="1:10" customFormat="1" ht="16.5" x14ac:dyDescent="0.3">
      <c r="A705" s="36">
        <f t="shared" si="57"/>
        <v>6340</v>
      </c>
      <c r="B705" s="14" t="s">
        <v>498</v>
      </c>
      <c r="C705" s="12"/>
      <c r="D705" s="12"/>
      <c r="E705" s="22" t="s">
        <v>352</v>
      </c>
      <c r="F705" s="22">
        <v>3</v>
      </c>
      <c r="G705" s="22">
        <f>IF(OR(E705="U16", E705="S16"),1,IF(E705="TS",6,2))</f>
        <v>2</v>
      </c>
      <c r="H705" s="37">
        <v>1</v>
      </c>
      <c r="I705" s="7"/>
      <c r="J705" s="48"/>
    </row>
    <row r="706" spans="1:10" customFormat="1" ht="16.5" customHeight="1" x14ac:dyDescent="0.3">
      <c r="A706" s="36">
        <f t="shared" si="57"/>
        <v>6342</v>
      </c>
      <c r="B706" s="14" t="s">
        <v>235</v>
      </c>
      <c r="C706" s="12"/>
      <c r="D706" s="12"/>
      <c r="E706" s="22" t="s">
        <v>140</v>
      </c>
      <c r="F706" s="56">
        <v>3</v>
      </c>
      <c r="G706" s="22">
        <f>IF(OR(E706="U16", E706="S16"),1,IF(E706="TS",6,2))</f>
        <v>1</v>
      </c>
      <c r="H706" s="37">
        <v>1</v>
      </c>
      <c r="I706" s="7"/>
      <c r="J706" s="48"/>
    </row>
    <row r="707" spans="1:10" customFormat="1" ht="54.75" customHeight="1" x14ac:dyDescent="0.3">
      <c r="A707" s="36">
        <f t="shared" si="57"/>
        <v>6343</v>
      </c>
      <c r="B707" s="14" t="s">
        <v>494</v>
      </c>
      <c r="C707" s="13"/>
      <c r="D707" s="13"/>
      <c r="E707" s="22" t="s">
        <v>140</v>
      </c>
      <c r="F707" s="22">
        <v>3</v>
      </c>
      <c r="G707" s="22">
        <f>IF(OR(E707="U16", E707="S16"),1,IF(E707="TS",6,2))</f>
        <v>1</v>
      </c>
      <c r="H707" s="37">
        <v>1</v>
      </c>
      <c r="I707" s="7"/>
      <c r="J707" s="48"/>
    </row>
    <row r="708" spans="1:10" customFormat="1" ht="16.5" customHeight="1" thickBot="1" x14ac:dyDescent="0.35">
      <c r="A708" s="36">
        <f t="shared" si="57"/>
        <v>6344</v>
      </c>
      <c r="B708" s="141"/>
      <c r="C708" s="142"/>
      <c r="D708" s="142"/>
      <c r="E708" s="62" t="s">
        <v>140</v>
      </c>
      <c r="F708" s="62"/>
      <c r="G708" s="62">
        <f>IF(OR(E708="U16", E708="S16"),1,IF(E708="TS",6,2))</f>
        <v>1</v>
      </c>
      <c r="H708" s="41">
        <v>56</v>
      </c>
      <c r="I708" s="7"/>
      <c r="J708" s="48"/>
    </row>
    <row r="709" spans="1:10" customFormat="1" ht="16.5" customHeight="1" thickBot="1" x14ac:dyDescent="0.35">
      <c r="A709" s="190"/>
      <c r="B709" s="191"/>
      <c r="C709" s="191"/>
      <c r="D709" s="191"/>
      <c r="E709" s="191"/>
      <c r="F709" s="191"/>
      <c r="G709" s="191"/>
      <c r="H709" s="192"/>
      <c r="I709" s="7"/>
      <c r="J709" s="48"/>
    </row>
    <row r="710" spans="1:10" customFormat="1" ht="16.5" customHeight="1" x14ac:dyDescent="0.3">
      <c r="A710" s="32">
        <f>A708+(G708*H708)</f>
        <v>6400</v>
      </c>
      <c r="B710" s="33"/>
      <c r="C710" s="33"/>
      <c r="D710" s="33"/>
      <c r="E710" s="34" t="s">
        <v>140</v>
      </c>
      <c r="F710" s="34">
        <v>3</v>
      </c>
      <c r="G710" s="34">
        <f>IF(OR(E710="U16", E710="S16"),1,IF(E710="TS",6,2))</f>
        <v>1</v>
      </c>
      <c r="H710" s="35">
        <v>2</v>
      </c>
      <c r="I710" s="7"/>
      <c r="J710" s="48"/>
    </row>
    <row r="711" spans="1:10" customFormat="1" ht="16.5" customHeight="1" thickBot="1" x14ac:dyDescent="0.35">
      <c r="A711" s="38">
        <f>A710+(G710*H710)</f>
        <v>6402</v>
      </c>
      <c r="B711" s="39" t="s">
        <v>647</v>
      </c>
      <c r="C711" s="39"/>
      <c r="D711" s="39"/>
      <c r="E711" s="40" t="s">
        <v>140</v>
      </c>
      <c r="F711" s="40"/>
      <c r="G711" s="40">
        <v>1</v>
      </c>
      <c r="H711" s="41">
        <v>98</v>
      </c>
      <c r="I711" s="7"/>
      <c r="J711" s="48"/>
    </row>
    <row r="712" spans="1:10" customFormat="1" ht="16.5" customHeight="1" thickBot="1" x14ac:dyDescent="0.35">
      <c r="A712" s="190"/>
      <c r="B712" s="191"/>
      <c r="C712" s="191"/>
      <c r="D712" s="191"/>
      <c r="E712" s="191"/>
      <c r="F712" s="191"/>
      <c r="G712" s="191"/>
      <c r="H712" s="192"/>
      <c r="I712" s="7"/>
      <c r="J712" s="48"/>
    </row>
    <row r="713" spans="1:10" customFormat="1" ht="16.5" x14ac:dyDescent="0.3">
      <c r="A713" s="32">
        <f>A711+(G711*H711)</f>
        <v>6500</v>
      </c>
      <c r="B713" s="106"/>
      <c r="C713" s="33"/>
      <c r="D713" s="33"/>
      <c r="E713" s="34" t="s">
        <v>345</v>
      </c>
      <c r="F713" s="34">
        <v>3</v>
      </c>
      <c r="G713" s="34">
        <f t="shared" ref="G713:G720" si="59">IF(OR(E713="U16", E713="S16"),1,IF(E713="TS",6,2))</f>
        <v>1</v>
      </c>
      <c r="H713" s="35">
        <v>1</v>
      </c>
      <c r="I713" s="7"/>
      <c r="J713" s="48"/>
    </row>
    <row r="714" spans="1:10" customFormat="1" ht="16.5" x14ac:dyDescent="0.3">
      <c r="A714" s="36">
        <f t="shared" ref="A714:A728" si="60">A713+(G713*H713)</f>
        <v>6501</v>
      </c>
      <c r="B714" s="105"/>
      <c r="C714" s="28"/>
      <c r="D714" s="28"/>
      <c r="E714" s="26" t="s">
        <v>345</v>
      </c>
      <c r="F714" s="26">
        <v>3</v>
      </c>
      <c r="G714" s="26">
        <f t="shared" si="59"/>
        <v>1</v>
      </c>
      <c r="H714" s="37">
        <v>1</v>
      </c>
      <c r="I714" s="7"/>
      <c r="J714" s="48"/>
    </row>
    <row r="715" spans="1:10" customFormat="1" ht="16.5" x14ac:dyDescent="0.3">
      <c r="A715" s="36">
        <f t="shared" si="60"/>
        <v>6502</v>
      </c>
      <c r="B715" s="3"/>
      <c r="C715" s="25"/>
      <c r="D715" s="25"/>
      <c r="E715" s="26" t="s">
        <v>345</v>
      </c>
      <c r="F715" s="26"/>
      <c r="G715" s="26">
        <f t="shared" si="59"/>
        <v>1</v>
      </c>
      <c r="H715" s="37">
        <v>1</v>
      </c>
      <c r="I715" s="7"/>
      <c r="J715" s="48"/>
    </row>
    <row r="716" spans="1:10" customFormat="1" ht="17.25" thickBot="1" x14ac:dyDescent="0.35">
      <c r="A716" s="38">
        <f t="shared" si="60"/>
        <v>6503</v>
      </c>
      <c r="B716" s="94"/>
      <c r="C716" s="39"/>
      <c r="D716" s="39"/>
      <c r="E716" s="40" t="s">
        <v>345</v>
      </c>
      <c r="F716" s="40"/>
      <c r="G716" s="40">
        <f t="shared" si="59"/>
        <v>1</v>
      </c>
      <c r="H716" s="41">
        <v>1</v>
      </c>
      <c r="I716" s="7"/>
      <c r="J716" s="48"/>
    </row>
    <row r="717" spans="1:10" customFormat="1" ht="16.5" x14ac:dyDescent="0.3">
      <c r="A717" s="32">
        <f t="shared" si="60"/>
        <v>6504</v>
      </c>
      <c r="B717" s="106"/>
      <c r="C717" s="33"/>
      <c r="D717" s="33"/>
      <c r="E717" s="34" t="s">
        <v>345</v>
      </c>
      <c r="F717" s="34">
        <v>3</v>
      </c>
      <c r="G717" s="34">
        <f t="shared" si="59"/>
        <v>1</v>
      </c>
      <c r="H717" s="35">
        <v>1</v>
      </c>
      <c r="I717" s="7"/>
      <c r="J717" s="48"/>
    </row>
    <row r="718" spans="1:10" customFormat="1" ht="16.5" x14ac:dyDescent="0.3">
      <c r="A718" s="36">
        <f t="shared" si="60"/>
        <v>6505</v>
      </c>
      <c r="B718" s="3"/>
      <c r="C718" s="25"/>
      <c r="D718" s="25"/>
      <c r="E718" s="26" t="s">
        <v>345</v>
      </c>
      <c r="F718" s="26"/>
      <c r="G718" s="26">
        <f t="shared" si="59"/>
        <v>1</v>
      </c>
      <c r="H718" s="37">
        <v>1</v>
      </c>
      <c r="I718" s="7"/>
      <c r="J718" s="48"/>
    </row>
    <row r="719" spans="1:10" customFormat="1" ht="16.5" x14ac:dyDescent="0.3">
      <c r="A719" s="36">
        <f t="shared" si="60"/>
        <v>6506</v>
      </c>
      <c r="B719" s="3"/>
      <c r="C719" s="25"/>
      <c r="D719" s="25"/>
      <c r="E719" s="26" t="s">
        <v>345</v>
      </c>
      <c r="F719" s="26"/>
      <c r="G719" s="26">
        <f t="shared" si="59"/>
        <v>1</v>
      </c>
      <c r="H719" s="37">
        <v>1</v>
      </c>
      <c r="I719" s="7"/>
      <c r="J719" s="48"/>
    </row>
    <row r="720" spans="1:10" customFormat="1" ht="17.25" thickBot="1" x14ac:dyDescent="0.35">
      <c r="A720" s="38">
        <f t="shared" si="60"/>
        <v>6507</v>
      </c>
      <c r="B720" s="94"/>
      <c r="C720" s="39"/>
      <c r="D720" s="39"/>
      <c r="E720" s="40" t="s">
        <v>345</v>
      </c>
      <c r="F720" s="40"/>
      <c r="G720" s="40">
        <f t="shared" si="59"/>
        <v>1</v>
      </c>
      <c r="H720" s="41">
        <v>1</v>
      </c>
      <c r="I720" s="7"/>
      <c r="J720" s="48"/>
    </row>
    <row r="721" spans="1:10" customFormat="1" ht="16.5" x14ac:dyDescent="0.3">
      <c r="A721" s="32">
        <f t="shared" si="60"/>
        <v>6508</v>
      </c>
      <c r="B721" s="106"/>
      <c r="C721" s="42"/>
      <c r="D721" s="42"/>
      <c r="E721" s="34" t="s">
        <v>346</v>
      </c>
      <c r="F721" s="34">
        <v>3</v>
      </c>
      <c r="G721" s="34">
        <v>1</v>
      </c>
      <c r="H721" s="35">
        <v>1</v>
      </c>
      <c r="I721" s="7"/>
      <c r="J721" s="48"/>
    </row>
    <row r="722" spans="1:10" customFormat="1" ht="16.5" x14ac:dyDescent="0.3">
      <c r="A722" s="36">
        <f t="shared" si="60"/>
        <v>6509</v>
      </c>
      <c r="B722" s="3"/>
      <c r="C722" s="27"/>
      <c r="D722" s="27"/>
      <c r="E722" s="26" t="s">
        <v>345</v>
      </c>
      <c r="F722" s="26"/>
      <c r="G722" s="26">
        <v>1</v>
      </c>
      <c r="H722" s="37">
        <v>1</v>
      </c>
      <c r="I722" s="7"/>
      <c r="J722" s="48"/>
    </row>
    <row r="723" spans="1:10" customFormat="1" ht="16.5" x14ac:dyDescent="0.3">
      <c r="A723" s="36">
        <f t="shared" si="60"/>
        <v>6510</v>
      </c>
      <c r="B723" s="3"/>
      <c r="C723" s="25"/>
      <c r="D723" s="25"/>
      <c r="E723" s="26" t="s">
        <v>345</v>
      </c>
      <c r="F723" s="26"/>
      <c r="G723" s="26">
        <v>1</v>
      </c>
      <c r="H723" s="37">
        <v>1</v>
      </c>
      <c r="I723" s="7"/>
      <c r="J723" s="48"/>
    </row>
    <row r="724" spans="1:10" customFormat="1" ht="17.25" thickBot="1" x14ac:dyDescent="0.35">
      <c r="A724" s="38">
        <f t="shared" si="60"/>
        <v>6511</v>
      </c>
      <c r="B724" s="94"/>
      <c r="C724" s="39"/>
      <c r="D724" s="39"/>
      <c r="E724" s="40" t="s">
        <v>345</v>
      </c>
      <c r="F724" s="40"/>
      <c r="G724" s="40">
        <v>1</v>
      </c>
      <c r="H724" s="41">
        <v>1</v>
      </c>
      <c r="I724" s="7"/>
      <c r="J724" s="48"/>
    </row>
    <row r="725" spans="1:10" customFormat="1" ht="16.5" x14ac:dyDescent="0.3">
      <c r="A725" s="32">
        <f t="shared" si="60"/>
        <v>6512</v>
      </c>
      <c r="B725" s="106"/>
      <c r="C725" s="33"/>
      <c r="D725" s="33"/>
      <c r="E725" s="34" t="s">
        <v>345</v>
      </c>
      <c r="F725" s="34"/>
      <c r="G725" s="34">
        <v>1</v>
      </c>
      <c r="H725" s="35">
        <v>1</v>
      </c>
      <c r="I725" s="7"/>
      <c r="J725" s="48"/>
    </row>
    <row r="726" spans="1:10" customFormat="1" ht="16.5" x14ac:dyDescent="0.3">
      <c r="A726" s="36">
        <f t="shared" si="60"/>
        <v>6513</v>
      </c>
      <c r="B726" s="107"/>
      <c r="C726" s="25"/>
      <c r="D726" s="25"/>
      <c r="E726" s="26" t="s">
        <v>345</v>
      </c>
      <c r="F726" s="26"/>
      <c r="G726" s="26">
        <v>1</v>
      </c>
      <c r="H726" s="37">
        <v>1</v>
      </c>
      <c r="I726" s="7"/>
      <c r="J726" s="48"/>
    </row>
    <row r="727" spans="1:10" customFormat="1" ht="16.5" x14ac:dyDescent="0.3">
      <c r="A727" s="36">
        <f t="shared" si="60"/>
        <v>6514</v>
      </c>
      <c r="B727" s="107"/>
      <c r="C727" s="25"/>
      <c r="D727" s="25"/>
      <c r="E727" s="26" t="s">
        <v>345</v>
      </c>
      <c r="F727" s="26"/>
      <c r="G727" s="26">
        <v>1</v>
      </c>
      <c r="H727" s="37">
        <v>1</v>
      </c>
      <c r="I727" s="7"/>
      <c r="J727" s="48"/>
    </row>
    <row r="728" spans="1:10" customFormat="1" ht="17.25" thickBot="1" x14ac:dyDescent="0.35">
      <c r="A728" s="38">
        <f t="shared" si="60"/>
        <v>6515</v>
      </c>
      <c r="B728" s="108"/>
      <c r="C728" s="39"/>
      <c r="D728" s="39"/>
      <c r="E728" s="40" t="s">
        <v>345</v>
      </c>
      <c r="F728" s="40"/>
      <c r="G728" s="40">
        <v>1</v>
      </c>
      <c r="H728" s="41">
        <v>1</v>
      </c>
      <c r="I728" s="7"/>
      <c r="J728" s="48"/>
    </row>
    <row r="729" spans="1:10" customFormat="1" ht="17.25" thickBot="1" x14ac:dyDescent="0.35">
      <c r="A729" s="146">
        <f>A728+(G728*H728)</f>
        <v>6516</v>
      </c>
      <c r="B729" s="147"/>
      <c r="C729" s="148"/>
      <c r="D729" s="148"/>
      <c r="E729" s="149" t="s">
        <v>345</v>
      </c>
      <c r="F729" s="149"/>
      <c r="G729" s="149">
        <v>1</v>
      </c>
      <c r="H729" s="150">
        <v>4</v>
      </c>
      <c r="I729" s="7"/>
      <c r="J729" s="48"/>
    </row>
    <row r="730" spans="1:10" ht="15.95" customHeight="1" thickBot="1" x14ac:dyDescent="0.35">
      <c r="A730" s="190" t="s">
        <v>347</v>
      </c>
      <c r="B730" s="191"/>
      <c r="C730" s="191"/>
      <c r="D730" s="191"/>
      <c r="E730" s="191"/>
      <c r="F730" s="191"/>
      <c r="G730" s="191"/>
      <c r="H730" s="192"/>
    </row>
    <row r="731" spans="1:10" ht="15.95" customHeight="1" x14ac:dyDescent="0.3">
      <c r="A731" s="32">
        <f>A729+(G729*H729)</f>
        <v>6520</v>
      </c>
      <c r="B731" s="33" t="s">
        <v>967</v>
      </c>
      <c r="C731" s="33"/>
      <c r="D731" s="33"/>
      <c r="E731" s="34" t="s">
        <v>345</v>
      </c>
      <c r="F731" s="34">
        <v>3</v>
      </c>
      <c r="G731" s="34">
        <f>IF(OR(E731="U16", E731="S16"),1,IF(E731="TS",6,2))</f>
        <v>1</v>
      </c>
      <c r="H731" s="35">
        <v>1</v>
      </c>
    </row>
    <row r="732" spans="1:10" ht="15.95" customHeight="1" x14ac:dyDescent="0.3">
      <c r="A732" s="36">
        <f>A731+(G731*H731)</f>
        <v>6521</v>
      </c>
      <c r="B732" s="25" t="s">
        <v>975</v>
      </c>
      <c r="C732" s="25" t="s">
        <v>1131</v>
      </c>
      <c r="D732" s="25"/>
      <c r="E732" s="26" t="s">
        <v>345</v>
      </c>
      <c r="F732" s="26">
        <v>3</v>
      </c>
      <c r="G732" s="26">
        <f>IF(OR(E732="U16", E732="S16"),1,IF(E732="TS",6,2))</f>
        <v>1</v>
      </c>
      <c r="H732" s="37">
        <v>1</v>
      </c>
    </row>
    <row r="733" spans="1:10" ht="15.95" customHeight="1" x14ac:dyDescent="0.3">
      <c r="A733" s="36">
        <f t="shared" ref="A733:A741" si="61">A732+(G732*H732)</f>
        <v>6522</v>
      </c>
      <c r="B733" s="25" t="s">
        <v>976</v>
      </c>
      <c r="C733" s="25"/>
      <c r="D733" s="25"/>
      <c r="E733" s="26" t="s">
        <v>345</v>
      </c>
      <c r="F733" s="26">
        <v>3</v>
      </c>
      <c r="G733" s="26">
        <f>IF(OR(E733="U16", E733="S16"),1,IF(E733="TS",6,2))</f>
        <v>1</v>
      </c>
      <c r="H733" s="37">
        <v>1</v>
      </c>
    </row>
    <row r="734" spans="1:10" ht="15.95" customHeight="1" x14ac:dyDescent="0.3">
      <c r="A734" s="36">
        <f t="shared" si="61"/>
        <v>6523</v>
      </c>
      <c r="B734" s="25" t="s">
        <v>977</v>
      </c>
      <c r="C734" s="25"/>
      <c r="D734" s="25"/>
      <c r="E734" s="26" t="s">
        <v>345</v>
      </c>
      <c r="F734" s="26">
        <v>3</v>
      </c>
      <c r="G734" s="26">
        <f>IF(OR(E734="U16", E734="S16"),1,IF(E734="TS",6,2))</f>
        <v>1</v>
      </c>
      <c r="H734" s="37">
        <v>1</v>
      </c>
    </row>
    <row r="735" spans="1:10" ht="15.95" customHeight="1" x14ac:dyDescent="0.3">
      <c r="A735" s="36">
        <f t="shared" si="61"/>
        <v>6524</v>
      </c>
      <c r="B735" s="25" t="s">
        <v>968</v>
      </c>
      <c r="C735" s="25" t="s">
        <v>41</v>
      </c>
      <c r="D735" s="25"/>
      <c r="E735" s="26" t="s">
        <v>345</v>
      </c>
      <c r="F735" s="26">
        <v>3</v>
      </c>
      <c r="G735" s="26">
        <f t="shared" ref="G735:G741" si="62">IF(OR(E735="U16", E735="S16"),1,IF(E735="TS",6,2))</f>
        <v>1</v>
      </c>
      <c r="H735" s="37">
        <v>32</v>
      </c>
    </row>
    <row r="736" spans="1:10" ht="15.95" customHeight="1" x14ac:dyDescent="0.3">
      <c r="A736" s="36">
        <f t="shared" si="61"/>
        <v>6556</v>
      </c>
      <c r="B736" s="25" t="s">
        <v>974</v>
      </c>
      <c r="C736" s="25"/>
      <c r="D736" s="25"/>
      <c r="E736" s="26" t="s">
        <v>345</v>
      </c>
      <c r="F736" s="1" t="s">
        <v>1075</v>
      </c>
      <c r="G736" s="26">
        <f t="shared" si="62"/>
        <v>1</v>
      </c>
      <c r="H736" s="37">
        <v>8</v>
      </c>
    </row>
    <row r="737" spans="1:8" ht="15.95" customHeight="1" x14ac:dyDescent="0.3">
      <c r="A737" s="36">
        <f t="shared" si="61"/>
        <v>6564</v>
      </c>
      <c r="B737" s="25" t="s">
        <v>969</v>
      </c>
      <c r="C737" s="25"/>
      <c r="D737" s="25"/>
      <c r="E737" s="26" t="s">
        <v>970</v>
      </c>
      <c r="F737" s="26">
        <v>3</v>
      </c>
      <c r="G737" s="26">
        <f t="shared" si="62"/>
        <v>2</v>
      </c>
      <c r="H737" s="37">
        <v>8</v>
      </c>
    </row>
    <row r="738" spans="1:8" ht="15.75" customHeight="1" x14ac:dyDescent="0.3">
      <c r="A738" s="36">
        <f t="shared" si="61"/>
        <v>6580</v>
      </c>
      <c r="B738" s="25" t="s">
        <v>971</v>
      </c>
      <c r="C738" s="25"/>
      <c r="D738" s="25"/>
      <c r="E738" s="26" t="s">
        <v>970</v>
      </c>
      <c r="F738" s="26">
        <v>3</v>
      </c>
      <c r="G738" s="26">
        <f t="shared" si="62"/>
        <v>2</v>
      </c>
      <c r="H738" s="37">
        <v>1</v>
      </c>
    </row>
    <row r="739" spans="1:8" ht="16.5" customHeight="1" x14ac:dyDescent="0.3">
      <c r="A739" s="36">
        <f t="shared" si="61"/>
        <v>6582</v>
      </c>
      <c r="B739" s="25" t="s">
        <v>972</v>
      </c>
      <c r="C739" s="25"/>
      <c r="D739" s="25"/>
      <c r="E739" s="26" t="s">
        <v>970</v>
      </c>
      <c r="F739" s="26">
        <v>3</v>
      </c>
      <c r="G739" s="26">
        <f t="shared" si="62"/>
        <v>2</v>
      </c>
      <c r="H739" s="37">
        <v>1</v>
      </c>
    </row>
    <row r="740" spans="1:8" ht="16.5" customHeight="1" x14ac:dyDescent="0.3">
      <c r="A740" s="36">
        <f t="shared" si="61"/>
        <v>6584</v>
      </c>
      <c r="B740" s="25" t="s">
        <v>973</v>
      </c>
      <c r="C740" s="25"/>
      <c r="D740" s="25"/>
      <c r="E740" s="26" t="s">
        <v>970</v>
      </c>
      <c r="F740" s="26">
        <v>3</v>
      </c>
      <c r="G740" s="26">
        <f t="shared" si="62"/>
        <v>2</v>
      </c>
      <c r="H740" s="37">
        <v>1</v>
      </c>
    </row>
    <row r="741" spans="1:8" ht="15.95" customHeight="1" thickBot="1" x14ac:dyDescent="0.35">
      <c r="A741" s="38">
        <f t="shared" si="61"/>
        <v>6586</v>
      </c>
      <c r="B741" s="94" t="s">
        <v>978</v>
      </c>
      <c r="C741" s="94"/>
      <c r="D741" s="94"/>
      <c r="E741" s="151" t="s">
        <v>345</v>
      </c>
      <c r="F741" s="151"/>
      <c r="G741" s="151">
        <f t="shared" si="62"/>
        <v>1</v>
      </c>
      <c r="H741" s="41">
        <v>54</v>
      </c>
    </row>
    <row r="742" spans="1:8" ht="15.95" customHeight="1" thickBot="1" x14ac:dyDescent="0.35">
      <c r="A742" s="190" t="s">
        <v>348</v>
      </c>
      <c r="B742" s="191"/>
      <c r="C742" s="191"/>
      <c r="D742" s="191"/>
      <c r="E742" s="191"/>
      <c r="F742" s="191"/>
      <c r="G742" s="191"/>
      <c r="H742" s="192"/>
    </row>
    <row r="743" spans="1:8" ht="15.95" customHeight="1" x14ac:dyDescent="0.3">
      <c r="A743" s="32">
        <f>A741+(G741*H741)</f>
        <v>6640</v>
      </c>
      <c r="B743" s="183" t="s">
        <v>178</v>
      </c>
      <c r="C743" s="58"/>
      <c r="D743" s="58"/>
      <c r="E743" s="53" t="s">
        <v>140</v>
      </c>
      <c r="F743" s="53">
        <v>3</v>
      </c>
      <c r="G743" s="53">
        <f t="shared" ref="G743:G748" si="63">IF(OR(E743="U16", E743="S16"),1,IF(E743="TS",6,2))</f>
        <v>1</v>
      </c>
      <c r="H743" s="35">
        <v>6</v>
      </c>
    </row>
    <row r="744" spans="1:8" ht="17.25" customHeight="1" x14ac:dyDescent="0.3">
      <c r="A744" s="36">
        <f t="shared" ref="A744:A756" si="64">A743+(G743*H743)</f>
        <v>6646</v>
      </c>
      <c r="B744" s="14" t="s">
        <v>181</v>
      </c>
      <c r="E744" s="22" t="s">
        <v>140</v>
      </c>
      <c r="F744" s="22">
        <v>3</v>
      </c>
      <c r="G744" s="22">
        <f t="shared" si="63"/>
        <v>1</v>
      </c>
      <c r="H744" s="37">
        <v>4</v>
      </c>
    </row>
    <row r="745" spans="1:8" ht="15.95" customHeight="1" x14ac:dyDescent="0.3">
      <c r="A745" s="36">
        <f t="shared" si="64"/>
        <v>6650</v>
      </c>
      <c r="B745" s="14" t="s">
        <v>206</v>
      </c>
      <c r="C745" s="12"/>
      <c r="D745" s="12"/>
      <c r="E745" s="22" t="s">
        <v>140</v>
      </c>
      <c r="F745" s="22">
        <v>3</v>
      </c>
      <c r="G745" s="22">
        <f t="shared" si="63"/>
        <v>1</v>
      </c>
      <c r="H745" s="37">
        <v>1</v>
      </c>
    </row>
    <row r="746" spans="1:8" ht="15.95" customHeight="1" x14ac:dyDescent="0.3">
      <c r="A746" s="36">
        <f t="shared" si="64"/>
        <v>6651</v>
      </c>
      <c r="B746" s="14" t="s">
        <v>179</v>
      </c>
      <c r="C746" s="12"/>
      <c r="D746" s="12"/>
      <c r="E746" s="22" t="s">
        <v>140</v>
      </c>
      <c r="F746" s="22">
        <v>3</v>
      </c>
      <c r="G746" s="22">
        <f t="shared" si="63"/>
        <v>1</v>
      </c>
      <c r="H746" s="37">
        <v>1</v>
      </c>
    </row>
    <row r="747" spans="1:8" ht="15" customHeight="1" x14ac:dyDescent="0.3">
      <c r="A747" s="36">
        <f t="shared" si="64"/>
        <v>6652</v>
      </c>
      <c r="B747" s="14" t="s">
        <v>180</v>
      </c>
      <c r="C747" s="12"/>
      <c r="D747" s="12"/>
      <c r="E747" s="22" t="s">
        <v>140</v>
      </c>
      <c r="F747" s="22">
        <v>3</v>
      </c>
      <c r="G747" s="22">
        <f t="shared" si="63"/>
        <v>1</v>
      </c>
      <c r="H747" s="37">
        <v>1</v>
      </c>
    </row>
    <row r="748" spans="1:8" ht="15" customHeight="1" x14ac:dyDescent="0.3">
      <c r="A748" s="36">
        <f t="shared" si="64"/>
        <v>6653</v>
      </c>
      <c r="B748" s="14" t="s">
        <v>684</v>
      </c>
      <c r="E748" s="22" t="s">
        <v>140</v>
      </c>
      <c r="F748" s="22">
        <v>3</v>
      </c>
      <c r="G748" s="22">
        <f t="shared" si="63"/>
        <v>1</v>
      </c>
      <c r="H748" s="37">
        <v>1</v>
      </c>
    </row>
    <row r="749" spans="1:8" ht="18" customHeight="1" x14ac:dyDescent="0.3">
      <c r="A749" s="36">
        <f t="shared" si="64"/>
        <v>6654</v>
      </c>
      <c r="B749" s="14" t="s">
        <v>685</v>
      </c>
      <c r="C749" s="12"/>
      <c r="D749" s="12"/>
      <c r="E749" s="22" t="s">
        <v>140</v>
      </c>
      <c r="F749" s="22">
        <v>3</v>
      </c>
      <c r="G749" s="22">
        <f t="shared" ref="G749:G756" si="65">IF(OR(E749="U16", E749="S16"),1,IF(E749="TS",6,2))</f>
        <v>1</v>
      </c>
      <c r="H749" s="37">
        <v>1</v>
      </c>
    </row>
    <row r="750" spans="1:8" ht="18" customHeight="1" x14ac:dyDescent="0.3">
      <c r="A750" s="36">
        <f t="shared" si="64"/>
        <v>6655</v>
      </c>
      <c r="B750" s="14" t="s">
        <v>686</v>
      </c>
      <c r="C750" s="12"/>
      <c r="D750" s="12"/>
      <c r="E750" s="22" t="s">
        <v>140</v>
      </c>
      <c r="F750" s="22">
        <v>3</v>
      </c>
      <c r="G750" s="22">
        <f t="shared" si="65"/>
        <v>1</v>
      </c>
      <c r="H750" s="37">
        <v>1</v>
      </c>
    </row>
    <row r="751" spans="1:8" ht="15.95" customHeight="1" x14ac:dyDescent="0.3">
      <c r="A751" s="36">
        <f t="shared" si="64"/>
        <v>6656</v>
      </c>
      <c r="B751" s="181" t="s">
        <v>1123</v>
      </c>
      <c r="C751" s="12" t="s">
        <v>1124</v>
      </c>
      <c r="D751" s="12"/>
      <c r="E751" s="22" t="s">
        <v>140</v>
      </c>
      <c r="F751" s="22">
        <v>3</v>
      </c>
      <c r="G751" s="22">
        <f t="shared" si="65"/>
        <v>1</v>
      </c>
      <c r="H751" s="37">
        <v>1</v>
      </c>
    </row>
    <row r="752" spans="1:8" ht="15.95" customHeight="1" x14ac:dyDescent="0.3">
      <c r="A752" s="36">
        <f t="shared" si="64"/>
        <v>6657</v>
      </c>
      <c r="B752" s="181" t="s">
        <v>1198</v>
      </c>
      <c r="C752" s="12" t="s">
        <v>1200</v>
      </c>
      <c r="D752" s="12"/>
      <c r="E752" s="22" t="s">
        <v>140</v>
      </c>
      <c r="F752" s="22">
        <v>3</v>
      </c>
      <c r="G752" s="22">
        <f t="shared" si="65"/>
        <v>1</v>
      </c>
      <c r="H752" s="37">
        <v>1</v>
      </c>
    </row>
    <row r="753" spans="1:9" ht="15.95" customHeight="1" x14ac:dyDescent="0.3">
      <c r="A753" s="36">
        <f t="shared" si="64"/>
        <v>6658</v>
      </c>
      <c r="B753" s="178" t="s">
        <v>1199</v>
      </c>
      <c r="C753" s="12"/>
      <c r="D753" s="12"/>
      <c r="E753" s="22" t="s">
        <v>140</v>
      </c>
      <c r="F753" s="22">
        <v>3</v>
      </c>
      <c r="G753" s="22">
        <f t="shared" si="65"/>
        <v>1</v>
      </c>
      <c r="H753" s="37">
        <v>1</v>
      </c>
    </row>
    <row r="754" spans="1:9" ht="15.95" customHeight="1" x14ac:dyDescent="0.3">
      <c r="A754" s="36">
        <f t="shared" si="64"/>
        <v>6659</v>
      </c>
      <c r="B754" s="178" t="s">
        <v>1229</v>
      </c>
      <c r="C754" s="193" t="s">
        <v>1231</v>
      </c>
      <c r="D754" s="12"/>
      <c r="E754" s="22" t="s">
        <v>140</v>
      </c>
      <c r="F754" s="22">
        <v>3</v>
      </c>
      <c r="G754" s="22">
        <f t="shared" si="65"/>
        <v>1</v>
      </c>
      <c r="H754" s="37">
        <v>1</v>
      </c>
    </row>
    <row r="755" spans="1:9" ht="15.95" customHeight="1" x14ac:dyDescent="0.3">
      <c r="A755" s="36">
        <f t="shared" si="64"/>
        <v>6660</v>
      </c>
      <c r="B755" s="178" t="s">
        <v>1230</v>
      </c>
      <c r="C755" s="195"/>
      <c r="D755" s="12"/>
      <c r="E755" s="22" t="s">
        <v>140</v>
      </c>
      <c r="F755" s="22">
        <v>3</v>
      </c>
      <c r="G755" s="22">
        <f t="shared" ref="G755" si="66">IF(OR(E755="U16", E755="S16"),1,IF(E755="TS",6,2))</f>
        <v>1</v>
      </c>
      <c r="H755" s="37">
        <v>1</v>
      </c>
      <c r="I755" s="10" t="s">
        <v>1181</v>
      </c>
    </row>
    <row r="756" spans="1:9" ht="14.25" thickBot="1" x14ac:dyDescent="0.35">
      <c r="A756" s="36">
        <f t="shared" si="64"/>
        <v>6661</v>
      </c>
      <c r="B756" s="184" t="s">
        <v>235</v>
      </c>
      <c r="C756" s="120"/>
      <c r="E756" s="24" t="s">
        <v>140</v>
      </c>
      <c r="F756" s="24"/>
      <c r="G756" s="24">
        <f t="shared" si="65"/>
        <v>1</v>
      </c>
      <c r="H756" s="54">
        <v>39</v>
      </c>
      <c r="I756" s="10" t="s">
        <v>1201</v>
      </c>
    </row>
    <row r="757" spans="1:9" ht="15.95" customHeight="1" thickBot="1" x14ac:dyDescent="0.35">
      <c r="A757" s="213" t="s">
        <v>927</v>
      </c>
      <c r="B757" s="214"/>
      <c r="C757" s="214"/>
      <c r="D757" s="214"/>
      <c r="E757" s="214"/>
      <c r="F757" s="214"/>
      <c r="G757" s="214"/>
      <c r="H757" s="215"/>
      <c r="I757" s="10" t="s">
        <v>1201</v>
      </c>
    </row>
    <row r="758" spans="1:9" ht="40.5" customHeight="1" thickBot="1" x14ac:dyDescent="0.35">
      <c r="A758" s="232" t="s">
        <v>342</v>
      </c>
      <c r="B758" s="233"/>
      <c r="C758" s="233"/>
      <c r="D758" s="233"/>
      <c r="E758" s="233"/>
      <c r="F758" s="233"/>
      <c r="G758" s="233"/>
      <c r="H758" s="234"/>
      <c r="I758" s="182" t="s">
        <v>1232</v>
      </c>
    </row>
    <row r="759" spans="1:9" ht="89.25" customHeight="1" x14ac:dyDescent="0.3">
      <c r="A759" s="32">
        <f>A756+(G756*H756)</f>
        <v>6700</v>
      </c>
      <c r="B759" s="57" t="s">
        <v>263</v>
      </c>
      <c r="C759" s="152"/>
      <c r="D759" s="152"/>
      <c r="E759" s="53" t="s">
        <v>140</v>
      </c>
      <c r="F759" s="53" t="s">
        <v>1076</v>
      </c>
      <c r="G759" s="53">
        <f t="shared" ref="G759:G777" si="67">IF(OR(E759="U16", E759="S16"),1,IF(E759="TS",6,2))</f>
        <v>1</v>
      </c>
      <c r="H759" s="35">
        <v>1</v>
      </c>
      <c r="I759" s="182" t="s">
        <v>1232</v>
      </c>
    </row>
    <row r="760" spans="1:9" ht="89.25" customHeight="1" x14ac:dyDescent="0.3">
      <c r="A760" s="36">
        <f t="shared" ref="A760:A836" si="68">A759+(G759*H759)</f>
        <v>6701</v>
      </c>
      <c r="B760" s="14" t="s">
        <v>238</v>
      </c>
      <c r="C760" s="12"/>
      <c r="D760" s="12"/>
      <c r="E760" s="22" t="s">
        <v>140</v>
      </c>
      <c r="F760" s="22" t="s">
        <v>1077</v>
      </c>
      <c r="G760" s="22">
        <f t="shared" si="67"/>
        <v>1</v>
      </c>
      <c r="H760" s="37">
        <v>1</v>
      </c>
    </row>
    <row r="761" spans="1:9" ht="89.25" customHeight="1" x14ac:dyDescent="0.3">
      <c r="A761" s="36">
        <f t="shared" si="68"/>
        <v>6702</v>
      </c>
      <c r="B761" s="14" t="s">
        <v>239</v>
      </c>
      <c r="C761" s="12"/>
      <c r="D761" s="12"/>
      <c r="E761" s="22" t="s">
        <v>140</v>
      </c>
      <c r="F761" s="22" t="s">
        <v>930</v>
      </c>
      <c r="G761" s="22">
        <f t="shared" si="67"/>
        <v>1</v>
      </c>
      <c r="H761" s="37">
        <v>1</v>
      </c>
    </row>
    <row r="762" spans="1:9" ht="15.95" customHeight="1" x14ac:dyDescent="0.3">
      <c r="A762" s="36">
        <f t="shared" si="68"/>
        <v>6703</v>
      </c>
      <c r="B762" s="14" t="s">
        <v>240</v>
      </c>
      <c r="C762" s="12"/>
      <c r="D762" s="12"/>
      <c r="E762" s="22" t="s">
        <v>140</v>
      </c>
      <c r="F762" s="22" t="s">
        <v>930</v>
      </c>
      <c r="G762" s="22">
        <f t="shared" si="67"/>
        <v>1</v>
      </c>
      <c r="H762" s="37">
        <v>1</v>
      </c>
    </row>
    <row r="763" spans="1:9" ht="62.25" customHeight="1" x14ac:dyDescent="0.3">
      <c r="A763" s="36">
        <f t="shared" si="68"/>
        <v>6704</v>
      </c>
      <c r="B763" s="18" t="s">
        <v>275</v>
      </c>
      <c r="C763" s="12"/>
      <c r="D763" s="12"/>
      <c r="E763" s="22" t="s">
        <v>140</v>
      </c>
      <c r="F763" s="22" t="s">
        <v>930</v>
      </c>
      <c r="G763" s="22">
        <f t="shared" si="67"/>
        <v>1</v>
      </c>
      <c r="H763" s="37">
        <v>4</v>
      </c>
    </row>
    <row r="764" spans="1:9" ht="111" customHeight="1" x14ac:dyDescent="0.3">
      <c r="A764" s="36">
        <f t="shared" si="68"/>
        <v>6708</v>
      </c>
      <c r="B764" s="18" t="s">
        <v>276</v>
      </c>
      <c r="C764" s="12"/>
      <c r="D764" s="12"/>
      <c r="E764" s="22" t="s">
        <v>140</v>
      </c>
      <c r="F764" s="22" t="s">
        <v>930</v>
      </c>
      <c r="G764" s="22">
        <f t="shared" si="67"/>
        <v>1</v>
      </c>
      <c r="H764" s="37">
        <v>4</v>
      </c>
    </row>
    <row r="765" spans="1:9" ht="67.5" customHeight="1" x14ac:dyDescent="0.3">
      <c r="A765" s="36">
        <f t="shared" si="68"/>
        <v>6712</v>
      </c>
      <c r="B765" s="18" t="s">
        <v>277</v>
      </c>
      <c r="C765" s="12"/>
      <c r="D765" s="12"/>
      <c r="E765" s="22" t="s">
        <v>140</v>
      </c>
      <c r="F765" s="22" t="s">
        <v>930</v>
      </c>
      <c r="G765" s="22">
        <f t="shared" si="67"/>
        <v>1</v>
      </c>
      <c r="H765" s="37">
        <v>4</v>
      </c>
    </row>
    <row r="766" spans="1:9" ht="15.95" customHeight="1" x14ac:dyDescent="0.3">
      <c r="A766" s="36">
        <f t="shared" si="68"/>
        <v>6716</v>
      </c>
      <c r="B766" s="18" t="s">
        <v>278</v>
      </c>
      <c r="C766" s="12"/>
      <c r="D766" s="12"/>
      <c r="E766" s="22" t="s">
        <v>140</v>
      </c>
      <c r="F766" s="22" t="s">
        <v>930</v>
      </c>
      <c r="G766" s="22">
        <f t="shared" si="67"/>
        <v>1</v>
      </c>
      <c r="H766" s="37">
        <v>4</v>
      </c>
    </row>
    <row r="767" spans="1:9" ht="15.95" customHeight="1" x14ac:dyDescent="0.3">
      <c r="A767" s="36">
        <f t="shared" si="68"/>
        <v>6720</v>
      </c>
      <c r="B767" s="125" t="s">
        <v>279</v>
      </c>
      <c r="C767" s="12"/>
      <c r="D767" s="12"/>
      <c r="E767" s="22" t="s">
        <v>140</v>
      </c>
      <c r="F767" s="22" t="s">
        <v>930</v>
      </c>
      <c r="G767" s="22">
        <f t="shared" si="67"/>
        <v>1</v>
      </c>
      <c r="H767" s="37">
        <v>4</v>
      </c>
    </row>
    <row r="768" spans="1:9" ht="15.95" customHeight="1" x14ac:dyDescent="0.3">
      <c r="A768" s="36">
        <f t="shared" si="68"/>
        <v>6724</v>
      </c>
      <c r="B768" s="18" t="s">
        <v>274</v>
      </c>
      <c r="C768" s="12"/>
      <c r="D768" s="12"/>
      <c r="E768" s="22" t="s">
        <v>140</v>
      </c>
      <c r="F768" s="22" t="s">
        <v>930</v>
      </c>
      <c r="G768" s="22">
        <f t="shared" si="67"/>
        <v>1</v>
      </c>
      <c r="H768" s="37">
        <v>16</v>
      </c>
    </row>
    <row r="769" spans="1:9" ht="15.95" customHeight="1" x14ac:dyDescent="0.3">
      <c r="A769" s="36">
        <f t="shared" si="68"/>
        <v>6740</v>
      </c>
      <c r="B769" s="18" t="s">
        <v>280</v>
      </c>
      <c r="C769" s="12"/>
      <c r="D769" s="12"/>
      <c r="E769" s="22" t="s">
        <v>140</v>
      </c>
      <c r="F769" s="22" t="s">
        <v>930</v>
      </c>
      <c r="G769" s="22">
        <f t="shared" si="67"/>
        <v>1</v>
      </c>
      <c r="H769" s="37">
        <v>1</v>
      </c>
    </row>
    <row r="770" spans="1:9" ht="15.95" customHeight="1" x14ac:dyDescent="0.3">
      <c r="A770" s="36">
        <f t="shared" si="68"/>
        <v>6741</v>
      </c>
      <c r="B770" s="18" t="s">
        <v>349</v>
      </c>
      <c r="C770" s="12"/>
      <c r="D770" s="12"/>
      <c r="E770" s="22" t="s">
        <v>140</v>
      </c>
      <c r="F770" s="22" t="s">
        <v>930</v>
      </c>
      <c r="G770" s="22">
        <f t="shared" si="67"/>
        <v>1</v>
      </c>
      <c r="H770" s="37">
        <v>1</v>
      </c>
    </row>
    <row r="771" spans="1:9" ht="39.75" customHeight="1" x14ac:dyDescent="0.3">
      <c r="A771" s="36">
        <f t="shared" si="68"/>
        <v>6742</v>
      </c>
      <c r="B771" s="109" t="s">
        <v>874</v>
      </c>
      <c r="C771" s="12"/>
      <c r="D771" s="12"/>
      <c r="E771" s="22" t="s">
        <v>140</v>
      </c>
      <c r="F771" s="22" t="s">
        <v>930</v>
      </c>
      <c r="G771" s="22">
        <f t="shared" si="67"/>
        <v>1</v>
      </c>
      <c r="H771" s="37">
        <v>1</v>
      </c>
    </row>
    <row r="772" spans="1:9" ht="39.75" customHeight="1" x14ac:dyDescent="0.3">
      <c r="A772" s="36">
        <f t="shared" si="68"/>
        <v>6743</v>
      </c>
      <c r="B772" s="86" t="s">
        <v>873</v>
      </c>
      <c r="C772" s="12"/>
      <c r="D772" s="12"/>
      <c r="E772" s="22" t="s">
        <v>140</v>
      </c>
      <c r="F772" s="22" t="s">
        <v>930</v>
      </c>
      <c r="G772" s="22">
        <f t="shared" si="67"/>
        <v>1</v>
      </c>
      <c r="H772" s="37">
        <v>1</v>
      </c>
      <c r="I772" s="10">
        <v>6360</v>
      </c>
    </row>
    <row r="773" spans="1:9" ht="15.95" customHeight="1" x14ac:dyDescent="0.3">
      <c r="A773" s="36">
        <f t="shared" si="68"/>
        <v>6744</v>
      </c>
      <c r="B773" s="14"/>
      <c r="C773" s="12"/>
      <c r="D773" s="12"/>
      <c r="E773" s="22" t="s">
        <v>140</v>
      </c>
      <c r="F773" s="22" t="s">
        <v>930</v>
      </c>
      <c r="G773" s="22">
        <f t="shared" si="67"/>
        <v>1</v>
      </c>
      <c r="H773" s="37">
        <v>1</v>
      </c>
    </row>
    <row r="774" spans="1:9" ht="15.95" customHeight="1" x14ac:dyDescent="0.3">
      <c r="A774" s="36">
        <f t="shared" si="68"/>
        <v>6745</v>
      </c>
      <c r="B774" s="18" t="s">
        <v>41</v>
      </c>
      <c r="C774" s="12"/>
      <c r="D774" s="12"/>
      <c r="E774" s="22" t="s">
        <v>140</v>
      </c>
      <c r="F774" s="22" t="s">
        <v>930</v>
      </c>
      <c r="G774" s="22">
        <f t="shared" si="67"/>
        <v>1</v>
      </c>
      <c r="H774" s="37">
        <v>1</v>
      </c>
    </row>
    <row r="775" spans="1:9" ht="141" customHeight="1" x14ac:dyDescent="0.3">
      <c r="A775" s="36">
        <f t="shared" si="68"/>
        <v>6746</v>
      </c>
      <c r="B775" s="18" t="s">
        <v>905</v>
      </c>
      <c r="C775" s="12"/>
      <c r="D775" s="12"/>
      <c r="E775" s="22" t="s">
        <v>140</v>
      </c>
      <c r="F775" s="22" t="s">
        <v>930</v>
      </c>
      <c r="G775" s="22">
        <f t="shared" si="67"/>
        <v>1</v>
      </c>
      <c r="H775" s="37">
        <v>4</v>
      </c>
    </row>
    <row r="776" spans="1:9" ht="69" customHeight="1" x14ac:dyDescent="0.3">
      <c r="A776" s="36">
        <f t="shared" si="68"/>
        <v>6750</v>
      </c>
      <c r="B776" s="82" t="s">
        <v>865</v>
      </c>
      <c r="C776" s="12" t="s">
        <v>41</v>
      </c>
      <c r="D776" s="12"/>
      <c r="E776" s="22" t="s">
        <v>140</v>
      </c>
      <c r="F776" s="22" t="s">
        <v>930</v>
      </c>
      <c r="G776" s="22">
        <f>IF(OR(E776="U16", E776="S16"),1,IF(E776="TS",6,2))</f>
        <v>1</v>
      </c>
      <c r="H776" s="37">
        <v>1</v>
      </c>
    </row>
    <row r="777" spans="1:9" ht="33.75" customHeight="1" x14ac:dyDescent="0.3">
      <c r="A777" s="36">
        <f t="shared" si="68"/>
        <v>6751</v>
      </c>
      <c r="B777" s="14" t="s">
        <v>912</v>
      </c>
      <c r="C777" s="12"/>
      <c r="D777" s="12"/>
      <c r="E777" s="12" t="s">
        <v>140</v>
      </c>
      <c r="F777" s="22" t="s">
        <v>930</v>
      </c>
      <c r="G777" s="12">
        <f t="shared" si="67"/>
        <v>1</v>
      </c>
      <c r="H777" s="37">
        <v>1</v>
      </c>
    </row>
    <row r="778" spans="1:9" ht="33.75" customHeight="1" x14ac:dyDescent="0.3">
      <c r="A778" s="36">
        <f t="shared" si="68"/>
        <v>6752</v>
      </c>
      <c r="B778" s="14" t="s">
        <v>909</v>
      </c>
      <c r="C778" s="12"/>
      <c r="D778" s="12"/>
      <c r="E778" s="12" t="s">
        <v>140</v>
      </c>
      <c r="F778" s="22" t="s">
        <v>930</v>
      </c>
      <c r="G778" s="12">
        <f t="shared" ref="G778:G784" si="69">IF(OR(E778="U16", E778="S16"),1,IF(E778="TS",6,2))</f>
        <v>1</v>
      </c>
      <c r="H778" s="37">
        <v>1</v>
      </c>
    </row>
    <row r="779" spans="1:9" ht="15.95" customHeight="1" x14ac:dyDescent="0.3">
      <c r="A779" s="36">
        <f t="shared" si="68"/>
        <v>6753</v>
      </c>
      <c r="B779" s="14" t="s">
        <v>906</v>
      </c>
      <c r="C779" s="12"/>
      <c r="D779" s="12"/>
      <c r="E779" s="12" t="s">
        <v>140</v>
      </c>
      <c r="F779" s="22" t="s">
        <v>930</v>
      </c>
      <c r="G779" s="12">
        <f t="shared" si="69"/>
        <v>1</v>
      </c>
      <c r="H779" s="37">
        <v>1</v>
      </c>
    </row>
    <row r="780" spans="1:9" ht="75.75" customHeight="1" x14ac:dyDescent="0.3">
      <c r="A780" s="36">
        <f t="shared" si="68"/>
        <v>6754</v>
      </c>
      <c r="B780" s="14" t="s">
        <v>910</v>
      </c>
      <c r="C780" s="12"/>
      <c r="D780" s="12"/>
      <c r="E780" s="12" t="s">
        <v>140</v>
      </c>
      <c r="F780" s="22" t="s">
        <v>930</v>
      </c>
      <c r="G780" s="12">
        <f t="shared" si="69"/>
        <v>1</v>
      </c>
      <c r="H780" s="37">
        <v>1</v>
      </c>
    </row>
    <row r="781" spans="1:9" ht="29.25" customHeight="1" x14ac:dyDescent="0.3">
      <c r="A781" s="36">
        <f t="shared" si="68"/>
        <v>6755</v>
      </c>
      <c r="B781" s="14" t="s">
        <v>907</v>
      </c>
      <c r="C781" s="12"/>
      <c r="D781" s="12"/>
      <c r="E781" s="12" t="s">
        <v>140</v>
      </c>
      <c r="F781" s="22" t="s">
        <v>930</v>
      </c>
      <c r="G781" s="12">
        <f t="shared" si="69"/>
        <v>1</v>
      </c>
      <c r="H781" s="37">
        <v>1</v>
      </c>
      <c r="I781" s="197" t="s">
        <v>911</v>
      </c>
    </row>
    <row r="782" spans="1:9" ht="29.25" customHeight="1" x14ac:dyDescent="0.3">
      <c r="A782" s="36">
        <f t="shared" si="68"/>
        <v>6756</v>
      </c>
      <c r="B782" s="14" t="s">
        <v>908</v>
      </c>
      <c r="C782" s="12"/>
      <c r="D782" s="12"/>
      <c r="E782" s="12" t="s">
        <v>140</v>
      </c>
      <c r="F782" s="22" t="s">
        <v>930</v>
      </c>
      <c r="G782" s="12">
        <f t="shared" si="69"/>
        <v>1</v>
      </c>
      <c r="H782" s="37">
        <v>1</v>
      </c>
      <c r="I782" s="197"/>
    </row>
    <row r="783" spans="1:9" ht="19.5" customHeight="1" x14ac:dyDescent="0.3">
      <c r="A783" s="36">
        <f t="shared" si="68"/>
        <v>6757</v>
      </c>
      <c r="B783" s="178" t="s">
        <v>1220</v>
      </c>
      <c r="C783" s="12" t="s">
        <v>1221</v>
      </c>
      <c r="D783" s="12"/>
      <c r="E783" s="22" t="s">
        <v>140</v>
      </c>
      <c r="F783" s="22"/>
      <c r="G783" s="22">
        <f t="shared" si="69"/>
        <v>1</v>
      </c>
      <c r="H783" s="37">
        <v>1</v>
      </c>
      <c r="I783" s="197"/>
    </row>
    <row r="784" spans="1:9" ht="32.25" customHeight="1" x14ac:dyDescent="0.3">
      <c r="A784" s="36">
        <f t="shared" si="68"/>
        <v>6758</v>
      </c>
      <c r="B784" s="178" t="s">
        <v>1222</v>
      </c>
      <c r="C784" s="12"/>
      <c r="D784" s="12" t="s">
        <v>1223</v>
      </c>
      <c r="E784" s="22" t="s">
        <v>140</v>
      </c>
      <c r="F784" s="22"/>
      <c r="G784" s="22">
        <f t="shared" si="69"/>
        <v>1</v>
      </c>
      <c r="H784" s="37">
        <v>1</v>
      </c>
      <c r="I784" s="197"/>
    </row>
    <row r="785" spans="1:9" ht="19.5" customHeight="1" thickBot="1" x14ac:dyDescent="0.35">
      <c r="A785" s="36">
        <f t="shared" si="68"/>
        <v>6759</v>
      </c>
      <c r="B785" s="153"/>
      <c r="C785" s="61"/>
      <c r="D785" s="61"/>
      <c r="E785" s="62" t="s">
        <v>140</v>
      </c>
      <c r="F785" s="62"/>
      <c r="G785" s="62">
        <f t="shared" ref="G785" si="70">IF(OR(E785="U16", E785="S16"),1,IF(E785="TS",6,2))</f>
        <v>1</v>
      </c>
      <c r="H785" s="41">
        <v>1</v>
      </c>
      <c r="I785" s="197"/>
    </row>
    <row r="786" spans="1:9" ht="19.5" customHeight="1" thickBot="1" x14ac:dyDescent="0.35">
      <c r="A786" s="238" t="s">
        <v>350</v>
      </c>
      <c r="B786" s="239"/>
      <c r="C786" s="239"/>
      <c r="D786" s="239"/>
      <c r="E786" s="239"/>
      <c r="F786" s="239"/>
      <c r="G786" s="239"/>
      <c r="H786" s="240"/>
      <c r="I786" s="197"/>
    </row>
    <row r="787" spans="1:9" ht="106.5" customHeight="1" x14ac:dyDescent="0.3">
      <c r="A787" s="32">
        <f>A785+(G785*H785)</f>
        <v>6760</v>
      </c>
      <c r="B787" s="79" t="s">
        <v>260</v>
      </c>
      <c r="C787" s="154"/>
      <c r="D787" s="154"/>
      <c r="E787" s="53" t="s">
        <v>140</v>
      </c>
      <c r="F787" s="53" t="s">
        <v>1078</v>
      </c>
      <c r="G787" s="53">
        <f t="shared" ref="G787:G792" si="71">IF(OR(E787="U16", E787="S16"),1,IF(E787="TS",6,2))</f>
        <v>1</v>
      </c>
      <c r="H787" s="35">
        <v>1</v>
      </c>
      <c r="I787" s="10" t="s">
        <v>1225</v>
      </c>
    </row>
    <row r="788" spans="1:9" ht="19.5" customHeight="1" x14ac:dyDescent="0.3">
      <c r="A788" s="36">
        <f>A787+(G787*H787)</f>
        <v>6761</v>
      </c>
      <c r="B788" s="16" t="s">
        <v>30</v>
      </c>
      <c r="C788" s="19"/>
      <c r="D788" s="19"/>
      <c r="E788" s="22" t="s">
        <v>140</v>
      </c>
      <c r="F788" s="22" t="s">
        <v>1079</v>
      </c>
      <c r="G788" s="22">
        <f t="shared" si="71"/>
        <v>1</v>
      </c>
      <c r="H788" s="37">
        <v>1</v>
      </c>
      <c r="I788" s="10" t="s">
        <v>1225</v>
      </c>
    </row>
    <row r="789" spans="1:9" ht="15.95" customHeight="1" x14ac:dyDescent="0.3">
      <c r="A789" s="36">
        <f>A788+(G788*H788)</f>
        <v>6762</v>
      </c>
      <c r="B789" s="16" t="s">
        <v>261</v>
      </c>
      <c r="C789" s="19"/>
      <c r="D789" s="19"/>
      <c r="E789" s="12" t="s">
        <v>271</v>
      </c>
      <c r="F789" s="12" t="s">
        <v>930</v>
      </c>
      <c r="G789" s="12">
        <f t="shared" si="71"/>
        <v>2</v>
      </c>
      <c r="H789" s="37">
        <v>1</v>
      </c>
    </row>
    <row r="790" spans="1:9" ht="15.95" customHeight="1" x14ac:dyDescent="0.3">
      <c r="A790" s="36">
        <f>A789+(G789*H789)</f>
        <v>6764</v>
      </c>
      <c r="B790" s="16" t="s">
        <v>273</v>
      </c>
      <c r="C790" s="19"/>
      <c r="D790" s="19"/>
      <c r="E790" s="12" t="s">
        <v>271</v>
      </c>
      <c r="F790" s="12" t="s">
        <v>930</v>
      </c>
      <c r="G790" s="12">
        <f t="shared" si="71"/>
        <v>2</v>
      </c>
      <c r="H790" s="37">
        <v>1</v>
      </c>
    </row>
    <row r="791" spans="1:9" ht="111.75" customHeight="1" x14ac:dyDescent="0.3">
      <c r="A791" s="36">
        <f>A790+(G790*H790)</f>
        <v>6766</v>
      </c>
      <c r="B791" s="16" t="s">
        <v>262</v>
      </c>
      <c r="C791" s="19"/>
      <c r="D791" s="19"/>
      <c r="E791" s="22" t="s">
        <v>140</v>
      </c>
      <c r="F791" s="22" t="s">
        <v>930</v>
      </c>
      <c r="G791" s="22">
        <f t="shared" si="71"/>
        <v>1</v>
      </c>
      <c r="H791" s="37">
        <v>1</v>
      </c>
      <c r="I791" s="10">
        <v>6360</v>
      </c>
    </row>
    <row r="792" spans="1:9" ht="18.75" customHeight="1" thickBot="1" x14ac:dyDescent="0.35">
      <c r="A792" s="38">
        <f>A791+(G791*H791)</f>
        <v>6767</v>
      </c>
      <c r="B792" s="80"/>
      <c r="C792" s="142"/>
      <c r="D792" s="142"/>
      <c r="E792" s="62" t="s">
        <v>140</v>
      </c>
      <c r="F792" s="62"/>
      <c r="G792" s="62">
        <f t="shared" si="71"/>
        <v>1</v>
      </c>
      <c r="H792" s="41">
        <v>3</v>
      </c>
    </row>
    <row r="793" spans="1:9" ht="15.95" customHeight="1" thickBot="1" x14ac:dyDescent="0.35">
      <c r="A793" s="190" t="s">
        <v>351</v>
      </c>
      <c r="B793" s="191"/>
      <c r="C793" s="191"/>
      <c r="D793" s="191"/>
      <c r="E793" s="191"/>
      <c r="F793" s="191"/>
      <c r="G793" s="191"/>
      <c r="H793" s="192"/>
    </row>
    <row r="794" spans="1:9" ht="15.95" customHeight="1" x14ac:dyDescent="0.3">
      <c r="A794" s="32">
        <f>A792+(G792*H792)</f>
        <v>6770</v>
      </c>
      <c r="B794" s="79" t="s">
        <v>243</v>
      </c>
      <c r="C794" s="58"/>
      <c r="D794" s="58"/>
      <c r="E794" s="53" t="s">
        <v>272</v>
      </c>
      <c r="F794" s="53" t="s">
        <v>1080</v>
      </c>
      <c r="G794" s="53">
        <f t="shared" ref="G794:G807" si="72">IF(OR(E794="U16", E794="S16"),1,IF(E794="TS",6,2))</f>
        <v>1</v>
      </c>
      <c r="H794" s="35">
        <v>1</v>
      </c>
    </row>
    <row r="795" spans="1:9" ht="15.95" customHeight="1" x14ac:dyDescent="0.3">
      <c r="A795" s="36">
        <f t="shared" si="68"/>
        <v>6771</v>
      </c>
      <c r="B795" s="16" t="s">
        <v>244</v>
      </c>
      <c r="C795" s="12"/>
      <c r="D795" s="12"/>
      <c r="E795" s="22" t="s">
        <v>272</v>
      </c>
      <c r="F795" s="22" t="s">
        <v>1076</v>
      </c>
      <c r="G795" s="22">
        <f t="shared" si="72"/>
        <v>1</v>
      </c>
      <c r="H795" s="37">
        <v>1</v>
      </c>
    </row>
    <row r="796" spans="1:9" ht="66" customHeight="1" x14ac:dyDescent="0.3">
      <c r="A796" s="36">
        <f t="shared" si="68"/>
        <v>6772</v>
      </c>
      <c r="B796" s="16" t="s">
        <v>859</v>
      </c>
      <c r="C796" s="12"/>
      <c r="D796" s="12"/>
      <c r="E796" s="22" t="s">
        <v>140</v>
      </c>
      <c r="F796" s="22" t="s">
        <v>930</v>
      </c>
      <c r="G796" s="22">
        <f t="shared" si="72"/>
        <v>1</v>
      </c>
      <c r="H796" s="37">
        <v>1</v>
      </c>
    </row>
    <row r="797" spans="1:9" ht="15.95" customHeight="1" x14ac:dyDescent="0.3">
      <c r="A797" s="36">
        <f t="shared" si="68"/>
        <v>6773</v>
      </c>
      <c r="B797" s="16" t="s">
        <v>245</v>
      </c>
      <c r="C797" s="12"/>
      <c r="D797" s="12"/>
      <c r="E797" s="22" t="s">
        <v>140</v>
      </c>
      <c r="F797" s="22" t="s">
        <v>930</v>
      </c>
      <c r="G797" s="22">
        <f t="shared" si="72"/>
        <v>1</v>
      </c>
      <c r="H797" s="37">
        <v>1</v>
      </c>
    </row>
    <row r="798" spans="1:9" ht="66" customHeight="1" x14ac:dyDescent="0.3">
      <c r="A798" s="36">
        <f t="shared" si="68"/>
        <v>6774</v>
      </c>
      <c r="B798" s="16" t="s">
        <v>492</v>
      </c>
      <c r="C798" s="12"/>
      <c r="D798" s="12"/>
      <c r="E798" s="22" t="s">
        <v>140</v>
      </c>
      <c r="F798" s="22" t="s">
        <v>930</v>
      </c>
      <c r="G798" s="22">
        <f t="shared" si="72"/>
        <v>1</v>
      </c>
      <c r="H798" s="37">
        <v>1</v>
      </c>
    </row>
    <row r="799" spans="1:9" ht="48.75" customHeight="1" x14ac:dyDescent="0.3">
      <c r="A799" s="36">
        <f t="shared" si="68"/>
        <v>6775</v>
      </c>
      <c r="B799" s="44" t="s">
        <v>253</v>
      </c>
      <c r="C799" s="43"/>
      <c r="D799" s="43"/>
      <c r="E799" s="45" t="s">
        <v>140</v>
      </c>
      <c r="F799" s="22" t="s">
        <v>930</v>
      </c>
      <c r="G799" s="45">
        <f t="shared" si="72"/>
        <v>1</v>
      </c>
      <c r="H799" s="155">
        <v>1</v>
      </c>
      <c r="I799" s="10">
        <f>A945-A867</f>
        <v>80</v>
      </c>
    </row>
    <row r="800" spans="1:9" ht="67.5" customHeight="1" x14ac:dyDescent="0.3">
      <c r="A800" s="36">
        <f t="shared" si="68"/>
        <v>6776</v>
      </c>
      <c r="B800" s="20" t="s">
        <v>254</v>
      </c>
      <c r="C800" s="12"/>
      <c r="D800" s="12"/>
      <c r="E800" s="22" t="s">
        <v>140</v>
      </c>
      <c r="F800" s="22" t="s">
        <v>930</v>
      </c>
      <c r="G800" s="22">
        <f t="shared" si="72"/>
        <v>1</v>
      </c>
      <c r="H800" s="37">
        <v>1</v>
      </c>
    </row>
    <row r="801" spans="1:9" ht="15.95" customHeight="1" x14ac:dyDescent="0.3">
      <c r="A801" s="36">
        <f t="shared" si="68"/>
        <v>6777</v>
      </c>
      <c r="B801" s="20" t="s">
        <v>255</v>
      </c>
      <c r="C801" s="12"/>
      <c r="D801" s="12"/>
      <c r="E801" s="22" t="s">
        <v>140</v>
      </c>
      <c r="F801" s="22" t="s">
        <v>930</v>
      </c>
      <c r="G801" s="22">
        <f t="shared" si="72"/>
        <v>1</v>
      </c>
      <c r="H801" s="37">
        <v>1</v>
      </c>
    </row>
    <row r="802" spans="1:9" ht="60" customHeight="1" x14ac:dyDescent="0.3">
      <c r="A802" s="36">
        <f t="shared" si="68"/>
        <v>6778</v>
      </c>
      <c r="B802" s="20" t="s">
        <v>256</v>
      </c>
      <c r="C802" s="12"/>
      <c r="D802" s="12"/>
      <c r="E802" s="22" t="s">
        <v>140</v>
      </c>
      <c r="F802" s="22" t="s">
        <v>930</v>
      </c>
      <c r="G802" s="22">
        <f t="shared" si="72"/>
        <v>1</v>
      </c>
      <c r="H802" s="37">
        <v>1</v>
      </c>
    </row>
    <row r="803" spans="1:9" ht="84" customHeight="1" x14ac:dyDescent="0.3">
      <c r="A803" s="36">
        <f t="shared" si="68"/>
        <v>6779</v>
      </c>
      <c r="B803" s="20" t="s">
        <v>257</v>
      </c>
      <c r="C803" s="12"/>
      <c r="D803" s="12"/>
      <c r="E803" s="22" t="s">
        <v>140</v>
      </c>
      <c r="F803" s="22" t="s">
        <v>930</v>
      </c>
      <c r="G803" s="22">
        <f t="shared" si="72"/>
        <v>1</v>
      </c>
      <c r="H803" s="37">
        <v>1</v>
      </c>
    </row>
    <row r="804" spans="1:9" ht="57" customHeight="1" x14ac:dyDescent="0.3">
      <c r="A804" s="36">
        <f t="shared" si="68"/>
        <v>6780</v>
      </c>
      <c r="B804" s="20" t="s">
        <v>258</v>
      </c>
      <c r="C804" s="19"/>
      <c r="D804" s="19"/>
      <c r="E804" s="22" t="s">
        <v>140</v>
      </c>
      <c r="F804" s="22" t="s">
        <v>930</v>
      </c>
      <c r="G804" s="22">
        <f t="shared" si="72"/>
        <v>1</v>
      </c>
      <c r="H804" s="37">
        <v>1</v>
      </c>
    </row>
    <row r="805" spans="1:9" ht="15.95" customHeight="1" x14ac:dyDescent="0.3">
      <c r="A805" s="36">
        <f t="shared" si="68"/>
        <v>6781</v>
      </c>
      <c r="B805" s="20" t="s">
        <v>259</v>
      </c>
      <c r="C805" s="19"/>
      <c r="D805" s="19"/>
      <c r="E805" s="22" t="s">
        <v>140</v>
      </c>
      <c r="F805" s="22" t="s">
        <v>930</v>
      </c>
      <c r="G805" s="22">
        <f t="shared" si="72"/>
        <v>1</v>
      </c>
      <c r="H805" s="37">
        <v>1</v>
      </c>
    </row>
    <row r="806" spans="1:9" ht="72" customHeight="1" x14ac:dyDescent="0.3">
      <c r="A806" s="36">
        <f t="shared" si="68"/>
        <v>6782</v>
      </c>
      <c r="B806" s="20" t="s">
        <v>827</v>
      </c>
      <c r="C806" s="13"/>
      <c r="D806" s="13"/>
      <c r="E806" s="22" t="s">
        <v>140</v>
      </c>
      <c r="F806" s="22" t="s">
        <v>930</v>
      </c>
      <c r="G806" s="22">
        <f t="shared" si="72"/>
        <v>1</v>
      </c>
      <c r="H806" s="37">
        <v>1</v>
      </c>
    </row>
    <row r="807" spans="1:9" ht="90" customHeight="1" x14ac:dyDescent="0.3">
      <c r="A807" s="36">
        <f t="shared" si="68"/>
        <v>6783</v>
      </c>
      <c r="B807" s="83" t="s">
        <v>828</v>
      </c>
      <c r="C807" s="13"/>
      <c r="D807" s="13"/>
      <c r="E807" s="22" t="s">
        <v>140</v>
      </c>
      <c r="F807" s="22" t="s">
        <v>930</v>
      </c>
      <c r="G807" s="22">
        <f t="shared" si="72"/>
        <v>1</v>
      </c>
      <c r="H807" s="37">
        <v>1</v>
      </c>
    </row>
    <row r="808" spans="1:9" ht="15.95" customHeight="1" thickBot="1" x14ac:dyDescent="0.35">
      <c r="A808" s="38">
        <f t="shared" si="68"/>
        <v>6784</v>
      </c>
      <c r="B808" s="156" t="s">
        <v>829</v>
      </c>
      <c r="C808" s="142"/>
      <c r="D808" s="142"/>
      <c r="E808" s="62" t="s">
        <v>140</v>
      </c>
      <c r="F808" s="62"/>
      <c r="G808" s="62">
        <f>IF(OR(E808="U16", E808="S16"),1,IF(E808="TS",6,2))</f>
        <v>1</v>
      </c>
      <c r="H808" s="41">
        <v>6</v>
      </c>
    </row>
    <row r="809" spans="1:9" ht="15.95" customHeight="1" thickBot="1" x14ac:dyDescent="0.35">
      <c r="A809" s="190" t="s">
        <v>343</v>
      </c>
      <c r="B809" s="191"/>
      <c r="C809" s="191"/>
      <c r="D809" s="191"/>
      <c r="E809" s="191"/>
      <c r="F809" s="191"/>
      <c r="G809" s="191"/>
      <c r="H809" s="192"/>
    </row>
    <row r="810" spans="1:9" ht="13.5" customHeight="1" x14ac:dyDescent="0.3">
      <c r="A810" s="32">
        <f>A808+(G808*H808)</f>
        <v>6790</v>
      </c>
      <c r="B810" s="79" t="s">
        <v>246</v>
      </c>
      <c r="C810" s="58"/>
      <c r="D810" s="58"/>
      <c r="E810" s="53" t="s">
        <v>140</v>
      </c>
      <c r="F810" s="53" t="s">
        <v>1077</v>
      </c>
      <c r="G810" s="53">
        <f t="shared" ref="G810:G818" si="73">IF(OR(E810="U16", E810="S16"),1,IF(E810="TS",6,2))</f>
        <v>1</v>
      </c>
      <c r="H810" s="35">
        <v>1</v>
      </c>
    </row>
    <row r="811" spans="1:9" ht="13.5" customHeight="1" x14ac:dyDescent="0.3">
      <c r="A811" s="36">
        <f>A810+(G810*H810)</f>
        <v>6791</v>
      </c>
      <c r="B811" s="16" t="s">
        <v>247</v>
      </c>
      <c r="C811" s="12"/>
      <c r="D811" s="12"/>
      <c r="E811" s="22" t="s">
        <v>140</v>
      </c>
      <c r="F811" s="22" t="s">
        <v>1077</v>
      </c>
      <c r="G811" s="22">
        <f t="shared" si="73"/>
        <v>1</v>
      </c>
      <c r="H811" s="37">
        <v>1</v>
      </c>
      <c r="I811" s="10" t="s">
        <v>236</v>
      </c>
    </row>
    <row r="812" spans="1:9" ht="60.75" customHeight="1" x14ac:dyDescent="0.3">
      <c r="A812" s="36">
        <f t="shared" ref="A812:A822" si="74">A811+(G811*H811)</f>
        <v>6792</v>
      </c>
      <c r="B812" s="20" t="s">
        <v>248</v>
      </c>
      <c r="C812" s="12" t="s">
        <v>1203</v>
      </c>
      <c r="D812" s="12"/>
      <c r="E812" s="22" t="s">
        <v>140</v>
      </c>
      <c r="F812" s="22" t="s">
        <v>930</v>
      </c>
      <c r="G812" s="22">
        <f t="shared" si="73"/>
        <v>1</v>
      </c>
      <c r="H812" s="37">
        <v>1</v>
      </c>
    </row>
    <row r="813" spans="1:9" ht="51.75" customHeight="1" x14ac:dyDescent="0.3">
      <c r="A813" s="36">
        <f t="shared" si="74"/>
        <v>6793</v>
      </c>
      <c r="B813" s="81" t="s">
        <v>860</v>
      </c>
      <c r="C813" s="12"/>
      <c r="D813" s="12"/>
      <c r="E813" s="22" t="s">
        <v>140</v>
      </c>
      <c r="F813" s="22" t="s">
        <v>930</v>
      </c>
      <c r="G813" s="22">
        <f t="shared" si="73"/>
        <v>1</v>
      </c>
      <c r="H813" s="37">
        <v>1</v>
      </c>
    </row>
    <row r="814" spans="1:9" ht="54.75" customHeight="1" x14ac:dyDescent="0.3">
      <c r="A814" s="36">
        <f t="shared" si="74"/>
        <v>6794</v>
      </c>
      <c r="B814" s="16" t="s">
        <v>861</v>
      </c>
      <c r="C814" s="12"/>
      <c r="D814" s="12"/>
      <c r="E814" s="12" t="s">
        <v>271</v>
      </c>
      <c r="F814" s="12" t="s">
        <v>930</v>
      </c>
      <c r="G814" s="12">
        <f t="shared" si="73"/>
        <v>2</v>
      </c>
      <c r="H814" s="37">
        <v>1</v>
      </c>
    </row>
    <row r="815" spans="1:9" ht="54.75" customHeight="1" x14ac:dyDescent="0.3">
      <c r="A815" s="36">
        <f t="shared" si="74"/>
        <v>6796</v>
      </c>
      <c r="B815" s="18" t="s">
        <v>241</v>
      </c>
      <c r="C815" s="12" t="s">
        <v>1204</v>
      </c>
      <c r="D815" s="12"/>
      <c r="E815" s="22" t="s">
        <v>140</v>
      </c>
      <c r="F815" s="22" t="s">
        <v>930</v>
      </c>
      <c r="G815" s="22">
        <f t="shared" si="73"/>
        <v>1</v>
      </c>
      <c r="H815" s="37">
        <v>1</v>
      </c>
    </row>
    <row r="816" spans="1:9" ht="27" x14ac:dyDescent="0.3">
      <c r="A816" s="36">
        <f t="shared" si="74"/>
        <v>6797</v>
      </c>
      <c r="B816" s="18" t="s">
        <v>242</v>
      </c>
      <c r="C816" s="12" t="s">
        <v>1205</v>
      </c>
      <c r="D816" s="12"/>
      <c r="E816" s="22" t="s">
        <v>140</v>
      </c>
      <c r="F816" s="22" t="s">
        <v>930</v>
      </c>
      <c r="G816" s="22">
        <f t="shared" si="73"/>
        <v>1</v>
      </c>
      <c r="H816" s="37">
        <v>1</v>
      </c>
    </row>
    <row r="817" spans="1:10" ht="27" x14ac:dyDescent="0.3">
      <c r="A817" s="36">
        <f t="shared" si="74"/>
        <v>6798</v>
      </c>
      <c r="B817" s="18" t="s">
        <v>1207</v>
      </c>
      <c r="C817" s="12" t="s">
        <v>1206</v>
      </c>
      <c r="D817" s="12"/>
      <c r="E817" s="22" t="s">
        <v>140</v>
      </c>
      <c r="F817" s="22" t="s">
        <v>930</v>
      </c>
      <c r="G817" s="22">
        <f t="shared" si="73"/>
        <v>1</v>
      </c>
      <c r="H817" s="37">
        <v>1</v>
      </c>
    </row>
    <row r="818" spans="1:10" ht="15.95" customHeight="1" x14ac:dyDescent="0.3">
      <c r="A818" s="36">
        <f t="shared" si="74"/>
        <v>6799</v>
      </c>
      <c r="B818" s="18" t="s">
        <v>864</v>
      </c>
      <c r="C818" s="12" t="s">
        <v>862</v>
      </c>
      <c r="D818" s="12"/>
      <c r="E818" s="22" t="s">
        <v>863</v>
      </c>
      <c r="F818" s="22" t="s">
        <v>930</v>
      </c>
      <c r="G818" s="22">
        <f t="shared" si="73"/>
        <v>1</v>
      </c>
      <c r="H818" s="37">
        <v>1</v>
      </c>
    </row>
    <row r="819" spans="1:10" ht="54" x14ac:dyDescent="0.3">
      <c r="A819" s="36">
        <f t="shared" si="74"/>
        <v>6800</v>
      </c>
      <c r="B819" s="110" t="s">
        <v>809</v>
      </c>
      <c r="C819" s="12" t="s">
        <v>1208</v>
      </c>
      <c r="D819" s="12"/>
      <c r="E819" s="22" t="s">
        <v>140</v>
      </c>
      <c r="F819" s="22" t="s">
        <v>930</v>
      </c>
      <c r="G819" s="22">
        <f>IF(OR(E819="U16", E819="S16"),1,IF(E819="TS",6,2))</f>
        <v>1</v>
      </c>
      <c r="H819" s="37">
        <v>1</v>
      </c>
    </row>
    <row r="820" spans="1:10" x14ac:dyDescent="0.3">
      <c r="A820" s="36">
        <f t="shared" si="74"/>
        <v>6801</v>
      </c>
      <c r="B820" s="178" t="s">
        <v>1190</v>
      </c>
      <c r="C820" s="12" t="s">
        <v>1212</v>
      </c>
      <c r="D820" s="12"/>
      <c r="E820" s="12" t="s">
        <v>140</v>
      </c>
      <c r="F820" s="22">
        <v>6</v>
      </c>
      <c r="G820" s="12">
        <f t="shared" ref="G820:G821" si="75">IF(OR(E820="U16", E820="S16"),1,IF(E820="TS",6,2))</f>
        <v>1</v>
      </c>
      <c r="H820" s="185">
        <v>1</v>
      </c>
    </row>
    <row r="821" spans="1:10" x14ac:dyDescent="0.3">
      <c r="A821" s="36">
        <f t="shared" si="74"/>
        <v>6802</v>
      </c>
      <c r="B821" s="178" t="s">
        <v>1193</v>
      </c>
      <c r="C821" s="12" t="s">
        <v>1192</v>
      </c>
      <c r="D821" s="12" t="s">
        <v>1191</v>
      </c>
      <c r="E821" s="12" t="s">
        <v>140</v>
      </c>
      <c r="F821" s="22">
        <v>6</v>
      </c>
      <c r="G821" s="12">
        <f t="shared" si="75"/>
        <v>1</v>
      </c>
      <c r="H821" s="185">
        <v>1</v>
      </c>
    </row>
    <row r="822" spans="1:10" ht="15.95" customHeight="1" thickBot="1" x14ac:dyDescent="0.35">
      <c r="A822" s="38">
        <f t="shared" si="74"/>
        <v>6803</v>
      </c>
      <c r="B822" s="76"/>
      <c r="C822" s="76"/>
      <c r="D822" s="76"/>
      <c r="E822" s="160" t="s">
        <v>140</v>
      </c>
      <c r="F822" s="160"/>
      <c r="G822" s="160">
        <f t="shared" ref="G822" si="76">IF(OR(E822="U16", E822="S16"),1,IF(E822="TS",6,2))</f>
        <v>1</v>
      </c>
      <c r="H822" s="186">
        <v>7</v>
      </c>
    </row>
    <row r="823" spans="1:10" ht="14.25" thickBot="1" x14ac:dyDescent="0.35">
      <c r="A823" s="198" t="s">
        <v>641</v>
      </c>
      <c r="B823" s="199"/>
      <c r="C823" s="199"/>
      <c r="D823" s="199"/>
      <c r="E823" s="199"/>
      <c r="F823" s="199"/>
      <c r="G823" s="199"/>
      <c r="H823" s="200"/>
    </row>
    <row r="824" spans="1:10" ht="15" customHeight="1" x14ac:dyDescent="0.3">
      <c r="A824" s="32">
        <f>A822+(G822*H822)</f>
        <v>6810</v>
      </c>
      <c r="B824" s="79" t="s">
        <v>249</v>
      </c>
      <c r="C824" s="67" t="s">
        <v>836</v>
      </c>
      <c r="D824" s="67"/>
      <c r="E824" s="53" t="s">
        <v>140</v>
      </c>
      <c r="F824" s="53" t="s">
        <v>1080</v>
      </c>
      <c r="G824" s="53">
        <f t="shared" ref="G824:G838" si="77">IF(OR(E824="U16", E824="S16"),1,IF(E824="TS",6,2))</f>
        <v>1</v>
      </c>
      <c r="H824" s="35">
        <v>1</v>
      </c>
      <c r="I824" s="187" t="s">
        <v>1211</v>
      </c>
      <c r="J824" s="15" t="s">
        <v>1194</v>
      </c>
    </row>
    <row r="825" spans="1:10" ht="15" customHeight="1" x14ac:dyDescent="0.3">
      <c r="A825" s="36">
        <f>A824+(G824*H824)</f>
        <v>6811</v>
      </c>
      <c r="B825" s="16" t="s">
        <v>250</v>
      </c>
      <c r="C825" s="65" t="s">
        <v>841</v>
      </c>
      <c r="D825" s="65"/>
      <c r="E825" s="22" t="s">
        <v>140</v>
      </c>
      <c r="F825" s="22" t="s">
        <v>1082</v>
      </c>
      <c r="G825" s="22">
        <f t="shared" si="77"/>
        <v>1</v>
      </c>
      <c r="H825" s="37">
        <v>1</v>
      </c>
      <c r="I825" s="187" t="s">
        <v>1211</v>
      </c>
    </row>
    <row r="826" spans="1:10" ht="15" customHeight="1" x14ac:dyDescent="0.3">
      <c r="A826" s="36">
        <f t="shared" si="68"/>
        <v>6812</v>
      </c>
      <c r="B826" s="16" t="s">
        <v>269</v>
      </c>
      <c r="C826" s="65" t="s">
        <v>852</v>
      </c>
      <c r="D826" s="65"/>
      <c r="E826" s="22" t="s">
        <v>140</v>
      </c>
      <c r="F826" s="22" t="s">
        <v>1082</v>
      </c>
      <c r="G826" s="22">
        <f t="shared" si="77"/>
        <v>1</v>
      </c>
      <c r="H826" s="37">
        <v>1</v>
      </c>
      <c r="I826" s="187"/>
    </row>
    <row r="827" spans="1:10" ht="13.5" customHeight="1" x14ac:dyDescent="0.3">
      <c r="A827" s="36">
        <f t="shared" si="68"/>
        <v>6813</v>
      </c>
      <c r="B827" s="16" t="s">
        <v>842</v>
      </c>
      <c r="C827" s="65"/>
      <c r="D827" s="65"/>
      <c r="E827" s="22" t="s">
        <v>140</v>
      </c>
      <c r="F827" s="22" t="s">
        <v>930</v>
      </c>
      <c r="G827" s="22">
        <f>IF(OR(E827="U16", E827="S16"),1,IF(E827="TS",6,2))</f>
        <v>1</v>
      </c>
      <c r="H827" s="37">
        <v>1</v>
      </c>
    </row>
    <row r="828" spans="1:10" ht="15" customHeight="1" thickBot="1" x14ac:dyDescent="0.35">
      <c r="A828" s="38">
        <f t="shared" si="68"/>
        <v>6814</v>
      </c>
      <c r="B828" s="179" t="s">
        <v>1171</v>
      </c>
      <c r="C828" s="180" t="s">
        <v>1169</v>
      </c>
      <c r="D828" s="68"/>
      <c r="E828" s="62" t="s">
        <v>140</v>
      </c>
      <c r="F828" s="62" t="s">
        <v>930</v>
      </c>
      <c r="G828" s="62">
        <f>IF(OR(E828="U16", E828="S16"),1,IF(E828="TS",6,2))</f>
        <v>1</v>
      </c>
      <c r="H828" s="41">
        <v>1</v>
      </c>
      <c r="I828" s="10">
        <v>6410</v>
      </c>
    </row>
    <row r="829" spans="1:10" ht="15" customHeight="1" x14ac:dyDescent="0.3">
      <c r="A829" s="32">
        <f t="shared" si="68"/>
        <v>6815</v>
      </c>
      <c r="B829" s="79" t="s">
        <v>281</v>
      </c>
      <c r="C829" s="67" t="s">
        <v>838</v>
      </c>
      <c r="D829" s="67"/>
      <c r="E829" s="53" t="s">
        <v>140</v>
      </c>
      <c r="F829" s="53" t="s">
        <v>930</v>
      </c>
      <c r="G829" s="53">
        <f t="shared" si="77"/>
        <v>1</v>
      </c>
      <c r="H829" s="35">
        <v>1</v>
      </c>
    </row>
    <row r="830" spans="1:10" ht="48.75" customHeight="1" x14ac:dyDescent="0.3">
      <c r="A830" s="36">
        <f t="shared" si="68"/>
        <v>6816</v>
      </c>
      <c r="B830" s="16" t="s">
        <v>251</v>
      </c>
      <c r="C830" s="65" t="s">
        <v>841</v>
      </c>
      <c r="D830" s="65"/>
      <c r="E830" s="22" t="s">
        <v>140</v>
      </c>
      <c r="F830" s="22" t="s">
        <v>930</v>
      </c>
      <c r="G830" s="22">
        <f t="shared" si="77"/>
        <v>1</v>
      </c>
      <c r="H830" s="37">
        <v>1</v>
      </c>
    </row>
    <row r="831" spans="1:10" ht="15" customHeight="1" x14ac:dyDescent="0.3">
      <c r="A831" s="36">
        <f t="shared" si="68"/>
        <v>6817</v>
      </c>
      <c r="B831" s="16" t="s">
        <v>269</v>
      </c>
      <c r="C831" s="65" t="s">
        <v>852</v>
      </c>
      <c r="D831" s="65"/>
      <c r="E831" s="22" t="s">
        <v>140</v>
      </c>
      <c r="F831" s="22" t="s">
        <v>930</v>
      </c>
      <c r="G831" s="22">
        <f t="shared" si="77"/>
        <v>1</v>
      </c>
      <c r="H831" s="37">
        <v>1</v>
      </c>
    </row>
    <row r="832" spans="1:10" ht="15" customHeight="1" x14ac:dyDescent="0.3">
      <c r="A832" s="36">
        <f t="shared" si="68"/>
        <v>6818</v>
      </c>
      <c r="B832" s="16" t="s">
        <v>842</v>
      </c>
      <c r="C832" s="65"/>
      <c r="D832" s="65"/>
      <c r="E832" s="22" t="s">
        <v>140</v>
      </c>
      <c r="F832" s="22" t="s">
        <v>930</v>
      </c>
      <c r="G832" s="22">
        <f t="shared" si="77"/>
        <v>1</v>
      </c>
      <c r="H832" s="37">
        <v>1</v>
      </c>
      <c r="I832" s="10" t="s">
        <v>1182</v>
      </c>
    </row>
    <row r="833" spans="1:10" ht="15" customHeight="1" thickBot="1" x14ac:dyDescent="0.35">
      <c r="A833" s="38">
        <f t="shared" si="68"/>
        <v>6819</v>
      </c>
      <c r="B833" s="80"/>
      <c r="C833" s="68"/>
      <c r="D833" s="68"/>
      <c r="E833" s="62" t="s">
        <v>140</v>
      </c>
      <c r="F833" s="62" t="s">
        <v>930</v>
      </c>
      <c r="G833" s="62">
        <f t="shared" si="77"/>
        <v>1</v>
      </c>
      <c r="H833" s="41">
        <v>1</v>
      </c>
    </row>
    <row r="834" spans="1:10" ht="15" customHeight="1" x14ac:dyDescent="0.3">
      <c r="A834" s="32">
        <f t="shared" si="68"/>
        <v>6820</v>
      </c>
      <c r="B834" s="79" t="s">
        <v>837</v>
      </c>
      <c r="C834" s="67" t="s">
        <v>839</v>
      </c>
      <c r="D834" s="67"/>
      <c r="E834" s="53" t="s">
        <v>140</v>
      </c>
      <c r="F834" s="53" t="s">
        <v>930</v>
      </c>
      <c r="G834" s="53">
        <f t="shared" si="77"/>
        <v>1</v>
      </c>
      <c r="H834" s="35">
        <v>1</v>
      </c>
    </row>
    <row r="835" spans="1:10" ht="58.5" customHeight="1" x14ac:dyDescent="0.3">
      <c r="A835" s="36">
        <f t="shared" si="68"/>
        <v>6821</v>
      </c>
      <c r="B835" s="16" t="s">
        <v>252</v>
      </c>
      <c r="C835" s="65" t="s">
        <v>841</v>
      </c>
      <c r="D835" s="65"/>
      <c r="E835" s="22" t="s">
        <v>140</v>
      </c>
      <c r="F835" s="22" t="s">
        <v>930</v>
      </c>
      <c r="G835" s="22">
        <f t="shared" si="77"/>
        <v>1</v>
      </c>
      <c r="H835" s="37">
        <v>1</v>
      </c>
    </row>
    <row r="836" spans="1:10" ht="15" customHeight="1" x14ac:dyDescent="0.3">
      <c r="A836" s="36">
        <f t="shared" si="68"/>
        <v>6822</v>
      </c>
      <c r="B836" s="16" t="s">
        <v>269</v>
      </c>
      <c r="C836" s="65" t="s">
        <v>852</v>
      </c>
      <c r="D836" s="65"/>
      <c r="E836" s="22" t="s">
        <v>140</v>
      </c>
      <c r="F836" s="22" t="s">
        <v>930</v>
      </c>
      <c r="G836" s="22">
        <f t="shared" si="77"/>
        <v>1</v>
      </c>
      <c r="H836" s="37">
        <v>1</v>
      </c>
    </row>
    <row r="837" spans="1:10" ht="15" customHeight="1" x14ac:dyDescent="0.3">
      <c r="A837" s="36">
        <f t="shared" ref="A837:A843" si="78">A836+(G836*H836)</f>
        <v>6823</v>
      </c>
      <c r="B837" s="16" t="s">
        <v>842</v>
      </c>
      <c r="C837" s="65"/>
      <c r="D837" s="65"/>
      <c r="E837" s="22" t="s">
        <v>140</v>
      </c>
      <c r="F837" s="22" t="s">
        <v>930</v>
      </c>
      <c r="G837" s="22">
        <f t="shared" si="77"/>
        <v>1</v>
      </c>
      <c r="H837" s="37">
        <v>1</v>
      </c>
    </row>
    <row r="838" spans="1:10" ht="15" customHeight="1" thickBot="1" x14ac:dyDescent="0.35">
      <c r="A838" s="38">
        <f t="shared" si="78"/>
        <v>6824</v>
      </c>
      <c r="B838" s="80"/>
      <c r="C838" s="68"/>
      <c r="D838" s="68"/>
      <c r="E838" s="62" t="s">
        <v>140</v>
      </c>
      <c r="F838" s="62" t="s">
        <v>930</v>
      </c>
      <c r="G838" s="62">
        <f t="shared" si="77"/>
        <v>1</v>
      </c>
      <c r="H838" s="41">
        <v>1</v>
      </c>
      <c r="J838" s="15" t="s">
        <v>831</v>
      </c>
    </row>
    <row r="839" spans="1:10" ht="15" customHeight="1" x14ac:dyDescent="0.3">
      <c r="A839" s="69">
        <f t="shared" si="78"/>
        <v>6825</v>
      </c>
      <c r="B839" s="145" t="s">
        <v>282</v>
      </c>
      <c r="C839" s="52" t="s">
        <v>840</v>
      </c>
      <c r="D839" s="52"/>
      <c r="E839" s="56" t="s">
        <v>140</v>
      </c>
      <c r="F839" s="56" t="s">
        <v>930</v>
      </c>
      <c r="G839" s="56">
        <f>IF(OR(E839="U16", E839="S16"),1,IF(E839="TS",6,2))</f>
        <v>1</v>
      </c>
      <c r="H839" s="66">
        <v>1</v>
      </c>
    </row>
    <row r="840" spans="1:10" ht="50.25" customHeight="1" x14ac:dyDescent="0.3">
      <c r="A840" s="36">
        <f t="shared" si="78"/>
        <v>6826</v>
      </c>
      <c r="B840" s="16" t="s">
        <v>283</v>
      </c>
      <c r="C840" s="65" t="s">
        <v>841</v>
      </c>
      <c r="D840" s="65"/>
      <c r="E840" s="22" t="s">
        <v>140</v>
      </c>
      <c r="F840" s="22" t="s">
        <v>930</v>
      </c>
      <c r="G840" s="22">
        <f>IF(OR(E840="U16", E840="S16"),1,IF(E840="TS",6,2))</f>
        <v>1</v>
      </c>
      <c r="H840" s="37">
        <v>1</v>
      </c>
    </row>
    <row r="841" spans="1:10" ht="15" customHeight="1" x14ac:dyDescent="0.3">
      <c r="A841" s="36">
        <f t="shared" si="78"/>
        <v>6827</v>
      </c>
      <c r="B841" s="16" t="s">
        <v>269</v>
      </c>
      <c r="C841" s="65" t="s">
        <v>852</v>
      </c>
      <c r="D841" s="65"/>
      <c r="E841" s="22" t="s">
        <v>140</v>
      </c>
      <c r="F841" s="22" t="s">
        <v>930</v>
      </c>
      <c r="G841" s="22">
        <f>IF(OR(E841="U16", E841="S16"),1,IF(E841="TS",6,2))</f>
        <v>1</v>
      </c>
      <c r="H841" s="37">
        <v>1</v>
      </c>
    </row>
    <row r="842" spans="1:10" ht="15" customHeight="1" x14ac:dyDescent="0.3">
      <c r="A842" s="36">
        <f t="shared" si="78"/>
        <v>6828</v>
      </c>
      <c r="B842" s="16" t="s">
        <v>842</v>
      </c>
      <c r="C842" s="65"/>
      <c r="D842" s="65"/>
      <c r="E842" s="22" t="s">
        <v>140</v>
      </c>
      <c r="F842" s="22" t="s">
        <v>930</v>
      </c>
      <c r="G842" s="22">
        <f>IF(OR(E842="U16", E842="S16"),1,IF(E842="TS",6,2))</f>
        <v>1</v>
      </c>
      <c r="H842" s="37">
        <v>1</v>
      </c>
    </row>
    <row r="843" spans="1:10" ht="15" customHeight="1" thickBot="1" x14ac:dyDescent="0.35">
      <c r="A843" s="38">
        <f t="shared" si="78"/>
        <v>6829</v>
      </c>
      <c r="B843" s="80"/>
      <c r="C843" s="61"/>
      <c r="D843" s="61"/>
      <c r="E843" s="62" t="s">
        <v>140</v>
      </c>
      <c r="F843" s="62"/>
      <c r="G843" s="62">
        <f>IF(OR(E843="U16", E843="S16"),1,IF(E843="TS",6,2))</f>
        <v>1</v>
      </c>
      <c r="H843" s="41">
        <v>1</v>
      </c>
    </row>
    <row r="844" spans="1:10" ht="15" customHeight="1" thickBot="1" x14ac:dyDescent="0.35">
      <c r="A844" s="204" t="s">
        <v>478</v>
      </c>
      <c r="B844" s="205"/>
      <c r="C844" s="205"/>
      <c r="D844" s="205"/>
      <c r="E844" s="205"/>
      <c r="F844" s="205"/>
      <c r="G844" s="205"/>
      <c r="H844" s="206"/>
    </row>
    <row r="845" spans="1:10" ht="42" customHeight="1" x14ac:dyDescent="0.3">
      <c r="A845" s="32">
        <f>A843+(G843*H843)</f>
        <v>6830</v>
      </c>
      <c r="B845" s="79" t="s">
        <v>483</v>
      </c>
      <c r="C845" s="67" t="s">
        <v>835</v>
      </c>
      <c r="D845" s="67"/>
      <c r="E845" s="53" t="s">
        <v>140</v>
      </c>
      <c r="F845" s="53" t="s">
        <v>930</v>
      </c>
      <c r="G845" s="53">
        <f t="shared" ref="G845:G853" si="79">IF(OR(E845="U16", E845="S16"),1,IF(E845="TS",6,2))</f>
        <v>1</v>
      </c>
      <c r="H845" s="35">
        <v>1</v>
      </c>
    </row>
    <row r="846" spans="1:10" ht="55.5" customHeight="1" x14ac:dyDescent="0.3">
      <c r="A846" s="36">
        <f>A845+(G845*H845)</f>
        <v>6831</v>
      </c>
      <c r="B846" s="16" t="s">
        <v>484</v>
      </c>
      <c r="C846" s="65" t="s">
        <v>833</v>
      </c>
      <c r="D846" s="65"/>
      <c r="E846" s="22" t="s">
        <v>140</v>
      </c>
      <c r="F846" s="22" t="s">
        <v>930</v>
      </c>
      <c r="G846" s="22">
        <f t="shared" si="79"/>
        <v>1</v>
      </c>
      <c r="H846" s="37">
        <v>1</v>
      </c>
    </row>
    <row r="847" spans="1:10" ht="15" customHeight="1" x14ac:dyDescent="0.3">
      <c r="A847" s="36">
        <f t="shared" ref="A847:A853" si="80">A846+(G846*H846)</f>
        <v>6832</v>
      </c>
      <c r="B847" s="16" t="s">
        <v>485</v>
      </c>
      <c r="C847" s="65" t="s">
        <v>834</v>
      </c>
      <c r="D847" s="65"/>
      <c r="E847" s="22" t="s">
        <v>140</v>
      </c>
      <c r="F847" s="22" t="s">
        <v>930</v>
      </c>
      <c r="G847" s="22">
        <f t="shared" si="79"/>
        <v>1</v>
      </c>
      <c r="H847" s="37">
        <v>1</v>
      </c>
    </row>
    <row r="848" spans="1:10" ht="13.5" customHeight="1" thickBot="1" x14ac:dyDescent="0.35">
      <c r="A848" s="38">
        <f t="shared" si="80"/>
        <v>6833</v>
      </c>
      <c r="B848" s="80" t="s">
        <v>486</v>
      </c>
      <c r="C848" s="68" t="s">
        <v>850</v>
      </c>
      <c r="D848" s="68"/>
      <c r="E848" s="62" t="s">
        <v>140</v>
      </c>
      <c r="F848" s="62" t="s">
        <v>930</v>
      </c>
      <c r="G848" s="62">
        <f t="shared" si="79"/>
        <v>1</v>
      </c>
      <c r="H848" s="41">
        <v>1</v>
      </c>
    </row>
    <row r="849" spans="1:9" ht="13.5" customHeight="1" x14ac:dyDescent="0.3">
      <c r="A849" s="32">
        <f t="shared" si="80"/>
        <v>6834</v>
      </c>
      <c r="B849" s="79" t="s">
        <v>479</v>
      </c>
      <c r="C849" s="67" t="s">
        <v>835</v>
      </c>
      <c r="D849" s="67"/>
      <c r="E849" s="53" t="s">
        <v>140</v>
      </c>
      <c r="F849" s="53" t="s">
        <v>930</v>
      </c>
      <c r="G849" s="53">
        <f t="shared" si="79"/>
        <v>1</v>
      </c>
      <c r="H849" s="35">
        <v>1</v>
      </c>
    </row>
    <row r="850" spans="1:9" ht="13.5" customHeight="1" x14ac:dyDescent="0.3">
      <c r="A850" s="36">
        <f t="shared" si="80"/>
        <v>6835</v>
      </c>
      <c r="B850" s="16" t="s">
        <v>480</v>
      </c>
      <c r="C850" s="65" t="s">
        <v>833</v>
      </c>
      <c r="D850" s="65"/>
      <c r="E850" s="22" t="s">
        <v>140</v>
      </c>
      <c r="F850" s="22" t="s">
        <v>930</v>
      </c>
      <c r="G850" s="22">
        <f t="shared" si="79"/>
        <v>1</v>
      </c>
      <c r="H850" s="37">
        <v>1</v>
      </c>
    </row>
    <row r="851" spans="1:9" ht="13.5" customHeight="1" x14ac:dyDescent="0.3">
      <c r="A851" s="36">
        <f t="shared" si="80"/>
        <v>6836</v>
      </c>
      <c r="B851" s="16" t="s">
        <v>481</v>
      </c>
      <c r="C851" s="65" t="s">
        <v>834</v>
      </c>
      <c r="D851" s="65"/>
      <c r="E851" s="22" t="s">
        <v>140</v>
      </c>
      <c r="F851" s="22" t="s">
        <v>930</v>
      </c>
      <c r="G851" s="22">
        <f t="shared" si="79"/>
        <v>1</v>
      </c>
      <c r="H851" s="37">
        <v>1</v>
      </c>
    </row>
    <row r="852" spans="1:9" ht="13.5" customHeight="1" thickBot="1" x14ac:dyDescent="0.35">
      <c r="A852" s="38">
        <f t="shared" si="80"/>
        <v>6837</v>
      </c>
      <c r="B852" s="80" t="s">
        <v>482</v>
      </c>
      <c r="C852" s="68" t="s">
        <v>851</v>
      </c>
      <c r="D852" s="68"/>
      <c r="E852" s="62" t="s">
        <v>140</v>
      </c>
      <c r="F852" s="62" t="s">
        <v>930</v>
      </c>
      <c r="G852" s="62">
        <f t="shared" si="79"/>
        <v>1</v>
      </c>
      <c r="H852" s="41">
        <v>1</v>
      </c>
    </row>
    <row r="853" spans="1:9" ht="13.5" customHeight="1" thickBot="1" x14ac:dyDescent="0.35">
      <c r="A853" s="146">
        <f t="shared" si="80"/>
        <v>6838</v>
      </c>
      <c r="B853" s="159"/>
      <c r="C853" s="130"/>
      <c r="D853" s="130"/>
      <c r="E853" s="160" t="s">
        <v>140</v>
      </c>
      <c r="F853" s="160"/>
      <c r="G853" s="160">
        <f t="shared" si="79"/>
        <v>1</v>
      </c>
      <c r="H853" s="150">
        <v>12</v>
      </c>
    </row>
    <row r="854" spans="1:9" ht="13.5" customHeight="1" thickBot="1" x14ac:dyDescent="0.35">
      <c r="A854" s="204" t="s">
        <v>638</v>
      </c>
      <c r="B854" s="205"/>
      <c r="C854" s="205"/>
      <c r="D854" s="205"/>
      <c r="E854" s="205"/>
      <c r="F854" s="205"/>
      <c r="G854" s="205"/>
      <c r="H854" s="206"/>
    </row>
    <row r="855" spans="1:9" ht="13.5" customHeight="1" thickBot="1" x14ac:dyDescent="0.35">
      <c r="A855" s="209" t="s">
        <v>639</v>
      </c>
      <c r="B855" s="210"/>
      <c r="C855" s="210"/>
      <c r="D855" s="210"/>
      <c r="E855" s="210"/>
      <c r="F855" s="210"/>
      <c r="G855" s="210"/>
      <c r="H855" s="212"/>
    </row>
    <row r="856" spans="1:9" ht="13.5" customHeight="1" x14ac:dyDescent="0.3">
      <c r="A856" s="32">
        <f>A853+G853*H853</f>
        <v>6850</v>
      </c>
      <c r="B856" s="157" t="s">
        <v>287</v>
      </c>
      <c r="C856" s="58"/>
      <c r="D856" s="58"/>
      <c r="E856" s="53" t="s">
        <v>140</v>
      </c>
      <c r="F856" s="53" t="s">
        <v>930</v>
      </c>
      <c r="G856" s="53">
        <f>IF(OR(E856="U16", E856="S16"),1,IF(E856="TS",6,2))</f>
        <v>1</v>
      </c>
      <c r="H856" s="35">
        <v>1</v>
      </c>
    </row>
    <row r="857" spans="1:9" ht="13.5" customHeight="1" x14ac:dyDescent="0.3">
      <c r="A857" s="36">
        <f>A856+(G856*H856)</f>
        <v>6851</v>
      </c>
      <c r="B857" s="18" t="s">
        <v>288</v>
      </c>
      <c r="C857" s="12"/>
      <c r="D857" s="12"/>
      <c r="E857" s="22" t="s">
        <v>140</v>
      </c>
      <c r="F857" s="22" t="s">
        <v>930</v>
      </c>
      <c r="G857" s="22">
        <f>IF(OR(E857="U16", E857="S16"),1,IF(E857="TS",6,2))</f>
        <v>1</v>
      </c>
      <c r="H857" s="37">
        <v>1</v>
      </c>
    </row>
    <row r="858" spans="1:9" ht="13.5" customHeight="1" x14ac:dyDescent="0.3">
      <c r="A858" s="36">
        <f>A857+(G857*H857)</f>
        <v>6852</v>
      </c>
      <c r="B858" s="18" t="s">
        <v>289</v>
      </c>
      <c r="C858" s="12"/>
      <c r="D858" s="12"/>
      <c r="E858" s="22" t="s">
        <v>140</v>
      </c>
      <c r="F858" s="22" t="s">
        <v>930</v>
      </c>
      <c r="G858" s="22">
        <f>IF(OR(E858="U16", E858="S16"),1,IF(E858="TS",6,2))</f>
        <v>1</v>
      </c>
      <c r="H858" s="37">
        <v>1</v>
      </c>
    </row>
    <row r="859" spans="1:9" ht="13.5" customHeight="1" thickBot="1" x14ac:dyDescent="0.35">
      <c r="A859" s="38">
        <f>A858+(G858*H858)</f>
        <v>6853</v>
      </c>
      <c r="B859" s="153" t="s">
        <v>290</v>
      </c>
      <c r="C859" s="61"/>
      <c r="D859" s="61"/>
      <c r="E859" s="62" t="s">
        <v>140</v>
      </c>
      <c r="F859" s="62" t="s">
        <v>930</v>
      </c>
      <c r="G859" s="62">
        <f>IF(OR(E859="U16", E859="S16"),1,IF(E859="TS",6,2))</f>
        <v>1</v>
      </c>
      <c r="H859" s="41">
        <v>1</v>
      </c>
    </row>
    <row r="860" spans="1:9" ht="13.5" customHeight="1" thickBot="1" x14ac:dyDescent="0.35">
      <c r="A860" s="209" t="s">
        <v>640</v>
      </c>
      <c r="B860" s="210"/>
      <c r="C860" s="210"/>
      <c r="D860" s="210"/>
      <c r="E860" s="210"/>
      <c r="F860" s="210"/>
      <c r="G860" s="210"/>
      <c r="H860" s="212"/>
      <c r="I860" s="10">
        <v>6450</v>
      </c>
    </row>
    <row r="861" spans="1:9" ht="13.5" customHeight="1" x14ac:dyDescent="0.3">
      <c r="A861" s="32">
        <f>A859+(G859*H859)</f>
        <v>6854</v>
      </c>
      <c r="B861" s="157" t="s">
        <v>291</v>
      </c>
      <c r="C861" s="58"/>
      <c r="D861" s="58"/>
      <c r="E861" s="53" t="s">
        <v>140</v>
      </c>
      <c r="F861" s="53" t="s">
        <v>930</v>
      </c>
      <c r="G861" s="53">
        <f>IF(OR(E861="U16", E861="S16"),1,IF(E861="TS",6,2))</f>
        <v>1</v>
      </c>
      <c r="H861" s="35">
        <v>1</v>
      </c>
    </row>
    <row r="862" spans="1:9" ht="13.5" customHeight="1" x14ac:dyDescent="0.3">
      <c r="A862" s="36">
        <f>A861+(G861*H861)</f>
        <v>6855</v>
      </c>
      <c r="B862" s="18" t="s">
        <v>292</v>
      </c>
      <c r="C862" s="12"/>
      <c r="D862" s="12"/>
      <c r="E862" s="22" t="s">
        <v>140</v>
      </c>
      <c r="F862" s="22" t="s">
        <v>930</v>
      </c>
      <c r="G862" s="22">
        <f>IF(OR(E862="U16", E862="S16"),1,IF(E862="TS",6,2))</f>
        <v>1</v>
      </c>
      <c r="H862" s="37">
        <v>1</v>
      </c>
    </row>
    <row r="863" spans="1:9" ht="13.5" customHeight="1" x14ac:dyDescent="0.3">
      <c r="A863" s="36">
        <f>A862+(G862*H862)</f>
        <v>6856</v>
      </c>
      <c r="B863" s="18" t="s">
        <v>293</v>
      </c>
      <c r="C863" s="12"/>
      <c r="D863" s="12"/>
      <c r="E863" s="22" t="s">
        <v>140</v>
      </c>
      <c r="F863" s="22" t="s">
        <v>930</v>
      </c>
      <c r="G863" s="22">
        <f>IF(OR(E863="U16", E863="S16"),1,IF(E863="TS",6,2))</f>
        <v>1</v>
      </c>
      <c r="H863" s="37">
        <v>1</v>
      </c>
    </row>
    <row r="864" spans="1:9" ht="13.5" customHeight="1" x14ac:dyDescent="0.3">
      <c r="A864" s="36">
        <f>A863+(G863*H863)</f>
        <v>6857</v>
      </c>
      <c r="B864" s="18" t="s">
        <v>294</v>
      </c>
      <c r="C864" s="12"/>
      <c r="D864" s="12"/>
      <c r="E864" s="22" t="s">
        <v>140</v>
      </c>
      <c r="F864" s="22" t="s">
        <v>930</v>
      </c>
      <c r="G864" s="22">
        <f>IF(OR(E864="U16", E864="S16"),1,IF(E864="TS",6,2))</f>
        <v>1</v>
      </c>
      <c r="H864" s="37">
        <v>1</v>
      </c>
    </row>
    <row r="865" spans="1:8" ht="13.5" customHeight="1" thickBot="1" x14ac:dyDescent="0.35">
      <c r="A865" s="38">
        <f>A864+(G864*H864)</f>
        <v>6858</v>
      </c>
      <c r="B865" s="153"/>
      <c r="C865" s="61"/>
      <c r="D865" s="61"/>
      <c r="E865" s="62" t="s">
        <v>140</v>
      </c>
      <c r="F865" s="62" t="s">
        <v>930</v>
      </c>
      <c r="G865" s="62">
        <f>IF(OR(E865="U16", E865="S16"),1,IF(E865="TS",6,2))</f>
        <v>1</v>
      </c>
      <c r="H865" s="41">
        <v>12</v>
      </c>
    </row>
    <row r="866" spans="1:8" ht="13.5" customHeight="1" thickBot="1" x14ac:dyDescent="0.35">
      <c r="A866" s="204" t="s">
        <v>487</v>
      </c>
      <c r="B866" s="205"/>
      <c r="C866" s="205"/>
      <c r="D866" s="205"/>
      <c r="E866" s="205"/>
      <c r="F866" s="205"/>
      <c r="G866" s="205"/>
      <c r="H866" s="206"/>
    </row>
    <row r="867" spans="1:8" ht="13.5" customHeight="1" x14ac:dyDescent="0.3">
      <c r="A867" s="69">
        <f>A865+(G865*H865)</f>
        <v>6870</v>
      </c>
      <c r="B867" s="49" t="s">
        <v>602</v>
      </c>
      <c r="C867" s="11" t="s">
        <v>1209</v>
      </c>
      <c r="D867" s="11"/>
      <c r="E867" s="56" t="s">
        <v>140</v>
      </c>
      <c r="F867" s="56" t="s">
        <v>930</v>
      </c>
      <c r="G867" s="56">
        <f t="shared" ref="G867:G900" si="81">IF(OR(E867="U16", E867="S16"),1,IF(E867="TS",6,2))</f>
        <v>1</v>
      </c>
      <c r="H867" s="66">
        <v>1</v>
      </c>
    </row>
    <row r="868" spans="1:8" ht="13.5" customHeight="1" x14ac:dyDescent="0.3">
      <c r="A868" s="36">
        <f t="shared" ref="A868:A932" si="82">A867+(G867*H867)</f>
        <v>6871</v>
      </c>
      <c r="B868" s="14" t="s">
        <v>603</v>
      </c>
      <c r="C868" s="12" t="s">
        <v>1210</v>
      </c>
      <c r="D868" s="12"/>
      <c r="E868" s="22" t="s">
        <v>140</v>
      </c>
      <c r="F868" s="22" t="s">
        <v>930</v>
      </c>
      <c r="G868" s="22">
        <f>IF(OR(E868="U16", E868="S16"),1,IF(E868="TS",6,2))</f>
        <v>1</v>
      </c>
      <c r="H868" s="37">
        <v>1</v>
      </c>
    </row>
    <row r="869" spans="1:8" ht="13.5" customHeight="1" x14ac:dyDescent="0.3">
      <c r="A869" s="36">
        <f t="shared" si="82"/>
        <v>6872</v>
      </c>
      <c r="B869" s="14" t="s">
        <v>653</v>
      </c>
      <c r="C869" s="65"/>
      <c r="D869" s="65"/>
      <c r="E869" s="22" t="s">
        <v>140</v>
      </c>
      <c r="F869" s="22" t="s">
        <v>930</v>
      </c>
      <c r="G869" s="22">
        <f t="shared" si="81"/>
        <v>1</v>
      </c>
      <c r="H869" s="37">
        <v>1</v>
      </c>
    </row>
    <row r="870" spans="1:8" ht="13.5" customHeight="1" x14ac:dyDescent="0.3">
      <c r="A870" s="36">
        <f t="shared" si="82"/>
        <v>6873</v>
      </c>
      <c r="B870" s="14" t="s">
        <v>570</v>
      </c>
      <c r="C870" s="65"/>
      <c r="D870" s="65"/>
      <c r="E870" s="22" t="s">
        <v>140</v>
      </c>
      <c r="F870" s="22" t="s">
        <v>930</v>
      </c>
      <c r="G870" s="22">
        <f t="shared" si="81"/>
        <v>1</v>
      </c>
      <c r="H870" s="37">
        <v>1</v>
      </c>
    </row>
    <row r="871" spans="1:8" ht="13.5" customHeight="1" x14ac:dyDescent="0.3">
      <c r="A871" s="36">
        <f t="shared" si="82"/>
        <v>6874</v>
      </c>
      <c r="B871" s="14" t="s">
        <v>571</v>
      </c>
      <c r="C871" s="65"/>
      <c r="D871" s="65"/>
      <c r="E871" s="22" t="s">
        <v>140</v>
      </c>
      <c r="F871" s="22" t="s">
        <v>930</v>
      </c>
      <c r="G871" s="22">
        <f t="shared" si="81"/>
        <v>1</v>
      </c>
      <c r="H871" s="37">
        <v>1</v>
      </c>
    </row>
    <row r="872" spans="1:8" x14ac:dyDescent="0.3">
      <c r="A872" s="36">
        <f t="shared" si="82"/>
        <v>6875</v>
      </c>
      <c r="B872" s="14" t="s">
        <v>572</v>
      </c>
      <c r="C872" s="65"/>
      <c r="D872" s="65"/>
      <c r="E872" s="22" t="s">
        <v>140</v>
      </c>
      <c r="F872" s="22" t="s">
        <v>930</v>
      </c>
      <c r="G872" s="22">
        <f t="shared" si="81"/>
        <v>1</v>
      </c>
      <c r="H872" s="37">
        <v>1</v>
      </c>
    </row>
    <row r="873" spans="1:8" ht="13.5" customHeight="1" x14ac:dyDescent="0.3">
      <c r="A873" s="36">
        <f t="shared" si="82"/>
        <v>6876</v>
      </c>
      <c r="B873" s="14" t="s">
        <v>573</v>
      </c>
      <c r="C873" s="65"/>
      <c r="D873" s="65"/>
      <c r="E873" s="22" t="s">
        <v>140</v>
      </c>
      <c r="F873" s="22" t="s">
        <v>930</v>
      </c>
      <c r="G873" s="22">
        <f t="shared" si="81"/>
        <v>1</v>
      </c>
      <c r="H873" s="37">
        <v>1</v>
      </c>
    </row>
    <row r="874" spans="1:8" ht="13.5" customHeight="1" x14ac:dyDescent="0.3">
      <c r="A874" s="36">
        <f t="shared" si="82"/>
        <v>6877</v>
      </c>
      <c r="B874" s="14" t="s">
        <v>574</v>
      </c>
      <c r="C874" s="65"/>
      <c r="D874" s="65"/>
      <c r="E874" s="22" t="s">
        <v>140</v>
      </c>
      <c r="F874" s="22" t="s">
        <v>930</v>
      </c>
      <c r="G874" s="22">
        <f t="shared" si="81"/>
        <v>1</v>
      </c>
      <c r="H874" s="37">
        <v>1</v>
      </c>
    </row>
    <row r="875" spans="1:8" ht="13.5" customHeight="1" x14ac:dyDescent="0.3">
      <c r="A875" s="36">
        <f t="shared" si="82"/>
        <v>6878</v>
      </c>
      <c r="B875" s="14" t="s">
        <v>575</v>
      </c>
      <c r="C875" s="65"/>
      <c r="D875" s="65"/>
      <c r="E875" s="22" t="s">
        <v>140</v>
      </c>
      <c r="F875" s="22" t="s">
        <v>930</v>
      </c>
      <c r="G875" s="22">
        <f t="shared" si="81"/>
        <v>1</v>
      </c>
      <c r="H875" s="37">
        <v>1</v>
      </c>
    </row>
    <row r="876" spans="1:8" ht="13.5" customHeight="1" x14ac:dyDescent="0.3">
      <c r="A876" s="36">
        <f t="shared" si="82"/>
        <v>6879</v>
      </c>
      <c r="B876" s="14" t="s">
        <v>576</v>
      </c>
      <c r="C876" s="65"/>
      <c r="D876" s="65"/>
      <c r="E876" s="22" t="s">
        <v>140</v>
      </c>
      <c r="F876" s="22" t="s">
        <v>930</v>
      </c>
      <c r="G876" s="22">
        <f t="shared" si="81"/>
        <v>1</v>
      </c>
      <c r="H876" s="37">
        <v>1</v>
      </c>
    </row>
    <row r="877" spans="1:8" ht="13.5" customHeight="1" x14ac:dyDescent="0.3">
      <c r="A877" s="36">
        <f t="shared" si="82"/>
        <v>6880</v>
      </c>
      <c r="B877" s="14" t="s">
        <v>577</v>
      </c>
      <c r="C877" s="65"/>
      <c r="D877" s="65"/>
      <c r="E877" s="22" t="s">
        <v>140</v>
      </c>
      <c r="F877" s="22" t="s">
        <v>930</v>
      </c>
      <c r="G877" s="22">
        <f t="shared" si="81"/>
        <v>1</v>
      </c>
      <c r="H877" s="37">
        <v>1</v>
      </c>
    </row>
    <row r="878" spans="1:8" ht="13.5" customHeight="1" x14ac:dyDescent="0.3">
      <c r="A878" s="36">
        <f t="shared" si="82"/>
        <v>6881</v>
      </c>
      <c r="B878" s="14" t="s">
        <v>578</v>
      </c>
      <c r="C878" s="65"/>
      <c r="D878" s="65"/>
      <c r="E878" s="22" t="s">
        <v>140</v>
      </c>
      <c r="F878" s="22" t="s">
        <v>930</v>
      </c>
      <c r="G878" s="22">
        <f t="shared" si="81"/>
        <v>1</v>
      </c>
      <c r="H878" s="37">
        <v>1</v>
      </c>
    </row>
    <row r="879" spans="1:8" ht="13.5" customHeight="1" x14ac:dyDescent="0.3">
      <c r="A879" s="36">
        <f t="shared" si="82"/>
        <v>6882</v>
      </c>
      <c r="B879" s="14" t="s">
        <v>579</v>
      </c>
      <c r="C879" s="65"/>
      <c r="D879" s="65"/>
      <c r="E879" s="22" t="s">
        <v>140</v>
      </c>
      <c r="F879" s="22" t="s">
        <v>930</v>
      </c>
      <c r="G879" s="22">
        <f t="shared" si="81"/>
        <v>1</v>
      </c>
      <c r="H879" s="37">
        <v>1</v>
      </c>
    </row>
    <row r="880" spans="1:8" ht="13.5" customHeight="1" x14ac:dyDescent="0.3">
      <c r="A880" s="36">
        <f t="shared" si="82"/>
        <v>6883</v>
      </c>
      <c r="B880" s="14" t="s">
        <v>580</v>
      </c>
      <c r="C880" s="65"/>
      <c r="D880" s="65"/>
      <c r="E880" s="22" t="s">
        <v>140</v>
      </c>
      <c r="F880" s="22" t="s">
        <v>930</v>
      </c>
      <c r="G880" s="22">
        <f t="shared" si="81"/>
        <v>1</v>
      </c>
      <c r="H880" s="37">
        <v>1</v>
      </c>
    </row>
    <row r="881" spans="1:9" ht="13.5" customHeight="1" x14ac:dyDescent="0.3">
      <c r="A881" s="36">
        <f t="shared" si="82"/>
        <v>6884</v>
      </c>
      <c r="B881" s="14" t="s">
        <v>581</v>
      </c>
      <c r="C881" s="65"/>
      <c r="D881" s="65"/>
      <c r="E881" s="22" t="s">
        <v>140</v>
      </c>
      <c r="F881" s="22" t="s">
        <v>930</v>
      </c>
      <c r="G881" s="22">
        <f t="shared" si="81"/>
        <v>1</v>
      </c>
      <c r="H881" s="37">
        <v>1</v>
      </c>
    </row>
    <row r="882" spans="1:9" ht="13.5" customHeight="1" x14ac:dyDescent="0.3">
      <c r="A882" s="36">
        <f t="shared" si="82"/>
        <v>6885</v>
      </c>
      <c r="B882" s="14" t="s">
        <v>582</v>
      </c>
      <c r="C882" s="65"/>
      <c r="D882" s="65"/>
      <c r="E882" s="22" t="s">
        <v>140</v>
      </c>
      <c r="F882" s="22" t="s">
        <v>930</v>
      </c>
      <c r="G882" s="22">
        <f t="shared" si="81"/>
        <v>1</v>
      </c>
      <c r="H882" s="37">
        <v>1</v>
      </c>
    </row>
    <row r="883" spans="1:9" ht="13.5" customHeight="1" x14ac:dyDescent="0.3">
      <c r="A883" s="36">
        <f t="shared" si="82"/>
        <v>6886</v>
      </c>
      <c r="B883" s="14" t="s">
        <v>583</v>
      </c>
      <c r="C883" s="65"/>
      <c r="D883" s="65"/>
      <c r="E883" s="22" t="s">
        <v>140</v>
      </c>
      <c r="F883" s="22" t="s">
        <v>930</v>
      </c>
      <c r="G883" s="22">
        <f t="shared" si="81"/>
        <v>1</v>
      </c>
      <c r="H883" s="37">
        <v>1</v>
      </c>
    </row>
    <row r="884" spans="1:9" ht="13.5" customHeight="1" x14ac:dyDescent="0.3">
      <c r="A884" s="36">
        <f t="shared" si="82"/>
        <v>6887</v>
      </c>
      <c r="B884" s="14" t="s">
        <v>584</v>
      </c>
      <c r="C884" s="65"/>
      <c r="D884" s="65"/>
      <c r="E884" s="22" t="s">
        <v>140</v>
      </c>
      <c r="F884" s="22" t="s">
        <v>930</v>
      </c>
      <c r="G884" s="22">
        <f t="shared" si="81"/>
        <v>1</v>
      </c>
      <c r="H884" s="37">
        <v>1</v>
      </c>
    </row>
    <row r="885" spans="1:9" ht="13.5" customHeight="1" thickBot="1" x14ac:dyDescent="0.35">
      <c r="A885" s="38">
        <f t="shared" si="82"/>
        <v>6888</v>
      </c>
      <c r="B885" s="60" t="s">
        <v>585</v>
      </c>
      <c r="C885" s="68"/>
      <c r="D885" s="68"/>
      <c r="E885" s="62" t="s">
        <v>140</v>
      </c>
      <c r="F885" s="22" t="s">
        <v>930</v>
      </c>
      <c r="G885" s="62">
        <f t="shared" si="81"/>
        <v>1</v>
      </c>
      <c r="H885" s="41">
        <v>1</v>
      </c>
    </row>
    <row r="886" spans="1:9" ht="13.5" customHeight="1" x14ac:dyDescent="0.3">
      <c r="A886" s="69">
        <f t="shared" si="82"/>
        <v>6889</v>
      </c>
      <c r="B886" s="49" t="s">
        <v>648</v>
      </c>
      <c r="C886" s="52"/>
      <c r="D886" s="52"/>
      <c r="E886" s="56" t="s">
        <v>140</v>
      </c>
      <c r="F886" s="22" t="s">
        <v>930</v>
      </c>
      <c r="G886" s="56">
        <f t="shared" si="81"/>
        <v>1</v>
      </c>
      <c r="H886" s="66">
        <v>1</v>
      </c>
    </row>
    <row r="887" spans="1:9" ht="13.5" customHeight="1" x14ac:dyDescent="0.3">
      <c r="A887" s="36">
        <f t="shared" si="82"/>
        <v>6890</v>
      </c>
      <c r="B887" s="14" t="s">
        <v>649</v>
      </c>
      <c r="C887" s="65"/>
      <c r="D887" s="65"/>
      <c r="E887" s="22" t="s">
        <v>140</v>
      </c>
      <c r="F887" s="22" t="s">
        <v>930</v>
      </c>
      <c r="G887" s="22">
        <f t="shared" si="81"/>
        <v>1</v>
      </c>
      <c r="H887" s="37">
        <v>1</v>
      </c>
    </row>
    <row r="888" spans="1:9" ht="13.5" customHeight="1" x14ac:dyDescent="0.3">
      <c r="A888" s="36">
        <f t="shared" si="82"/>
        <v>6891</v>
      </c>
      <c r="B888" s="14" t="s">
        <v>653</v>
      </c>
      <c r="C888" s="65"/>
      <c r="D888" s="65"/>
      <c r="E888" s="22" t="s">
        <v>140</v>
      </c>
      <c r="F888" s="22" t="s">
        <v>930</v>
      </c>
      <c r="G888" s="22">
        <f>IF(OR(E888="U16", E888="S16"),1,IF(E888="TS",6,2))</f>
        <v>1</v>
      </c>
      <c r="H888" s="37">
        <v>1</v>
      </c>
      <c r="I888" s="10">
        <v>6550</v>
      </c>
    </row>
    <row r="889" spans="1:9" ht="13.5" customHeight="1" x14ac:dyDescent="0.3">
      <c r="A889" s="36">
        <f t="shared" si="82"/>
        <v>6892</v>
      </c>
      <c r="B889" s="14" t="s">
        <v>586</v>
      </c>
      <c r="C889" s="65"/>
      <c r="D889" s="65"/>
      <c r="E889" s="22" t="s">
        <v>140</v>
      </c>
      <c r="F889" s="22" t="s">
        <v>930</v>
      </c>
      <c r="G889" s="22">
        <f t="shared" si="81"/>
        <v>1</v>
      </c>
      <c r="H889" s="37">
        <v>1</v>
      </c>
    </row>
    <row r="890" spans="1:9" ht="13.5" customHeight="1" x14ac:dyDescent="0.3">
      <c r="A890" s="36">
        <f t="shared" si="82"/>
        <v>6893</v>
      </c>
      <c r="B890" s="14" t="s">
        <v>587</v>
      </c>
      <c r="C890" s="65"/>
      <c r="D890" s="65"/>
      <c r="E890" s="22" t="s">
        <v>140</v>
      </c>
      <c r="F890" s="22" t="s">
        <v>930</v>
      </c>
      <c r="G890" s="22">
        <f t="shared" si="81"/>
        <v>1</v>
      </c>
      <c r="H890" s="37">
        <v>1</v>
      </c>
    </row>
    <row r="891" spans="1:9" ht="13.5" customHeight="1" x14ac:dyDescent="0.3">
      <c r="A891" s="36">
        <f t="shared" si="82"/>
        <v>6894</v>
      </c>
      <c r="B891" s="14" t="s">
        <v>588</v>
      </c>
      <c r="C891" s="65"/>
      <c r="D891" s="65"/>
      <c r="E891" s="22" t="s">
        <v>140</v>
      </c>
      <c r="F891" s="22" t="s">
        <v>930</v>
      </c>
      <c r="G891" s="22">
        <f t="shared" si="81"/>
        <v>1</v>
      </c>
      <c r="H891" s="37">
        <v>1</v>
      </c>
    </row>
    <row r="892" spans="1:9" ht="13.5" customHeight="1" x14ac:dyDescent="0.3">
      <c r="A892" s="36">
        <f t="shared" si="82"/>
        <v>6895</v>
      </c>
      <c r="B892" s="14" t="s">
        <v>589</v>
      </c>
      <c r="C892" s="65"/>
      <c r="D892" s="65"/>
      <c r="E892" s="22" t="s">
        <v>140</v>
      </c>
      <c r="F892" s="22" t="s">
        <v>930</v>
      </c>
      <c r="G892" s="22">
        <f t="shared" si="81"/>
        <v>1</v>
      </c>
      <c r="H892" s="37">
        <v>1</v>
      </c>
    </row>
    <row r="893" spans="1:9" ht="13.5" customHeight="1" x14ac:dyDescent="0.3">
      <c r="A893" s="36">
        <f t="shared" si="82"/>
        <v>6896</v>
      </c>
      <c r="B893" s="14" t="s">
        <v>590</v>
      </c>
      <c r="C893" s="65"/>
      <c r="D893" s="65"/>
      <c r="E893" s="22" t="s">
        <v>140</v>
      </c>
      <c r="F893" s="22" t="s">
        <v>930</v>
      </c>
      <c r="G893" s="22">
        <f t="shared" si="81"/>
        <v>1</v>
      </c>
      <c r="H893" s="37">
        <v>1</v>
      </c>
    </row>
    <row r="894" spans="1:9" ht="13.5" customHeight="1" x14ac:dyDescent="0.3">
      <c r="A894" s="36">
        <f t="shared" si="82"/>
        <v>6897</v>
      </c>
      <c r="B894" s="14" t="s">
        <v>591</v>
      </c>
      <c r="C894" s="65"/>
      <c r="D894" s="65"/>
      <c r="E894" s="22" t="s">
        <v>140</v>
      </c>
      <c r="F894" s="22" t="s">
        <v>930</v>
      </c>
      <c r="G894" s="22">
        <f t="shared" si="81"/>
        <v>1</v>
      </c>
      <c r="H894" s="37">
        <v>1</v>
      </c>
    </row>
    <row r="895" spans="1:9" ht="13.5" customHeight="1" x14ac:dyDescent="0.3">
      <c r="A895" s="36">
        <f t="shared" si="82"/>
        <v>6898</v>
      </c>
      <c r="B895" s="14" t="s">
        <v>592</v>
      </c>
      <c r="C895" s="65"/>
      <c r="D895" s="65"/>
      <c r="E895" s="22" t="s">
        <v>140</v>
      </c>
      <c r="F895" s="22" t="s">
        <v>930</v>
      </c>
      <c r="G895" s="22">
        <f t="shared" si="81"/>
        <v>1</v>
      </c>
      <c r="H895" s="37">
        <v>1</v>
      </c>
    </row>
    <row r="896" spans="1:9" ht="13.5" customHeight="1" x14ac:dyDescent="0.3">
      <c r="A896" s="36">
        <f t="shared" si="82"/>
        <v>6899</v>
      </c>
      <c r="B896" s="14" t="s">
        <v>593</v>
      </c>
      <c r="C896" s="65"/>
      <c r="D896" s="65"/>
      <c r="E896" s="22" t="s">
        <v>140</v>
      </c>
      <c r="F896" s="22" t="s">
        <v>930</v>
      </c>
      <c r="G896" s="22">
        <f t="shared" si="81"/>
        <v>1</v>
      </c>
      <c r="H896" s="37">
        <v>1</v>
      </c>
    </row>
    <row r="897" spans="1:9" ht="13.5" customHeight="1" x14ac:dyDescent="0.3">
      <c r="A897" s="36">
        <f t="shared" si="82"/>
        <v>6900</v>
      </c>
      <c r="B897" s="14" t="s">
        <v>594</v>
      </c>
      <c r="C897" s="65"/>
      <c r="D897" s="65"/>
      <c r="E897" s="22" t="s">
        <v>140</v>
      </c>
      <c r="F897" s="22" t="s">
        <v>930</v>
      </c>
      <c r="G897" s="22">
        <f t="shared" si="81"/>
        <v>1</v>
      </c>
      <c r="H897" s="37">
        <v>1</v>
      </c>
    </row>
    <row r="898" spans="1:9" ht="13.5" customHeight="1" x14ac:dyDescent="0.3">
      <c r="A898" s="36">
        <f t="shared" si="82"/>
        <v>6901</v>
      </c>
      <c r="B898" s="14" t="s">
        <v>595</v>
      </c>
      <c r="C898" s="65"/>
      <c r="D898" s="65"/>
      <c r="E898" s="22" t="s">
        <v>140</v>
      </c>
      <c r="F898" s="22" t="s">
        <v>930</v>
      </c>
      <c r="G898" s="22">
        <f t="shared" si="81"/>
        <v>1</v>
      </c>
      <c r="H898" s="37">
        <v>1</v>
      </c>
    </row>
    <row r="899" spans="1:9" ht="13.5" customHeight="1" x14ac:dyDescent="0.3">
      <c r="A899" s="36">
        <f t="shared" si="82"/>
        <v>6902</v>
      </c>
      <c r="B899" s="14" t="s">
        <v>596</v>
      </c>
      <c r="C899" s="65"/>
      <c r="D899" s="65"/>
      <c r="E899" s="22" t="s">
        <v>140</v>
      </c>
      <c r="F899" s="22" t="s">
        <v>930</v>
      </c>
      <c r="G899" s="22">
        <f t="shared" si="81"/>
        <v>1</v>
      </c>
      <c r="H899" s="37">
        <v>1</v>
      </c>
    </row>
    <row r="900" spans="1:9" ht="13.5" customHeight="1" x14ac:dyDescent="0.3">
      <c r="A900" s="36">
        <f t="shared" si="82"/>
        <v>6903</v>
      </c>
      <c r="B900" s="14" t="s">
        <v>597</v>
      </c>
      <c r="C900" s="65"/>
      <c r="D900" s="65"/>
      <c r="E900" s="22" t="s">
        <v>140</v>
      </c>
      <c r="F900" s="22" t="s">
        <v>930</v>
      </c>
      <c r="G900" s="22">
        <f t="shared" si="81"/>
        <v>1</v>
      </c>
      <c r="H900" s="37">
        <v>1</v>
      </c>
    </row>
    <row r="901" spans="1:9" ht="13.5" customHeight="1" x14ac:dyDescent="0.3">
      <c r="A901" s="36">
        <f t="shared" si="82"/>
        <v>6904</v>
      </c>
      <c r="B901" s="14" t="s">
        <v>598</v>
      </c>
      <c r="C901" s="65"/>
      <c r="D901" s="65"/>
      <c r="E901" s="22" t="s">
        <v>140</v>
      </c>
      <c r="F901" s="22" t="s">
        <v>930</v>
      </c>
      <c r="G901" s="22">
        <f t="shared" ref="G901:G932" si="83">IF(OR(E901="U16", E901="S16"),1,IF(E901="TS",6,2))</f>
        <v>1</v>
      </c>
      <c r="H901" s="37">
        <v>1</v>
      </c>
    </row>
    <row r="902" spans="1:9" ht="15" customHeight="1" x14ac:dyDescent="0.3">
      <c r="A902" s="36">
        <f t="shared" si="82"/>
        <v>6905</v>
      </c>
      <c r="B902" s="14" t="s">
        <v>599</v>
      </c>
      <c r="C902" s="65"/>
      <c r="D902" s="65"/>
      <c r="E902" s="22" t="s">
        <v>140</v>
      </c>
      <c r="F902" s="22" t="s">
        <v>930</v>
      </c>
      <c r="G902" s="22">
        <f t="shared" si="83"/>
        <v>1</v>
      </c>
      <c r="H902" s="37">
        <v>1</v>
      </c>
      <c r="I902" s="10">
        <f>A992-A949</f>
        <v>200</v>
      </c>
    </row>
    <row r="903" spans="1:9" ht="15" customHeight="1" x14ac:dyDescent="0.3">
      <c r="A903" s="36">
        <f t="shared" si="82"/>
        <v>6906</v>
      </c>
      <c r="B903" s="14" t="s">
        <v>600</v>
      </c>
      <c r="C903" s="65"/>
      <c r="D903" s="65"/>
      <c r="E903" s="22" t="s">
        <v>140</v>
      </c>
      <c r="F903" s="22" t="s">
        <v>930</v>
      </c>
      <c r="G903" s="22">
        <f t="shared" si="83"/>
        <v>1</v>
      </c>
      <c r="H903" s="37">
        <v>1</v>
      </c>
    </row>
    <row r="904" spans="1:9" ht="15" customHeight="1" thickBot="1" x14ac:dyDescent="0.35">
      <c r="A904" s="59">
        <f t="shared" si="82"/>
        <v>6907</v>
      </c>
      <c r="B904" s="46" t="s">
        <v>601</v>
      </c>
      <c r="C904" s="51"/>
      <c r="D904" s="51"/>
      <c r="E904" s="24" t="s">
        <v>140</v>
      </c>
      <c r="F904" s="22" t="s">
        <v>930</v>
      </c>
      <c r="G904" s="24">
        <f t="shared" si="83"/>
        <v>1</v>
      </c>
      <c r="H904" s="54">
        <v>1</v>
      </c>
    </row>
    <row r="905" spans="1:9" ht="15" customHeight="1" x14ac:dyDescent="0.3">
      <c r="A905" s="32">
        <f t="shared" si="82"/>
        <v>6908</v>
      </c>
      <c r="B905" s="57" t="s">
        <v>651</v>
      </c>
      <c r="C905" s="67"/>
      <c r="D905" s="67"/>
      <c r="E905" s="53" t="s">
        <v>140</v>
      </c>
      <c r="F905" s="22" t="s">
        <v>930</v>
      </c>
      <c r="G905" s="53">
        <f t="shared" si="83"/>
        <v>1</v>
      </c>
      <c r="H905" s="35">
        <v>1</v>
      </c>
    </row>
    <row r="906" spans="1:9" ht="15" customHeight="1" x14ac:dyDescent="0.3">
      <c r="A906" s="36">
        <f t="shared" si="82"/>
        <v>6909</v>
      </c>
      <c r="B906" s="14" t="s">
        <v>652</v>
      </c>
      <c r="C906" s="65"/>
      <c r="D906" s="65"/>
      <c r="E906" s="22" t="s">
        <v>140</v>
      </c>
      <c r="F906" s="22" t="s">
        <v>930</v>
      </c>
      <c r="G906" s="22">
        <f t="shared" si="83"/>
        <v>1</v>
      </c>
      <c r="H906" s="37">
        <v>1</v>
      </c>
    </row>
    <row r="907" spans="1:9" ht="15" customHeight="1" x14ac:dyDescent="0.3">
      <c r="A907" s="36">
        <f t="shared" si="82"/>
        <v>6910</v>
      </c>
      <c r="B907" s="14" t="s">
        <v>650</v>
      </c>
      <c r="C907" s="65"/>
      <c r="D907" s="65"/>
      <c r="E907" s="22" t="s">
        <v>140</v>
      </c>
      <c r="F907" s="22" t="s">
        <v>930</v>
      </c>
      <c r="G907" s="22">
        <f t="shared" si="83"/>
        <v>1</v>
      </c>
      <c r="H907" s="37">
        <v>1</v>
      </c>
    </row>
    <row r="908" spans="1:9" ht="15" customHeight="1" x14ac:dyDescent="0.3">
      <c r="A908" s="36">
        <f t="shared" si="82"/>
        <v>6911</v>
      </c>
      <c r="B908" s="14" t="s">
        <v>604</v>
      </c>
      <c r="C908" s="65"/>
      <c r="D908" s="65"/>
      <c r="E908" s="22" t="s">
        <v>140</v>
      </c>
      <c r="F908" s="22" t="s">
        <v>930</v>
      </c>
      <c r="G908" s="22">
        <f t="shared" si="83"/>
        <v>1</v>
      </c>
      <c r="H908" s="37">
        <v>1</v>
      </c>
    </row>
    <row r="909" spans="1:9" ht="15" customHeight="1" x14ac:dyDescent="0.3">
      <c r="A909" s="36">
        <f t="shared" si="82"/>
        <v>6912</v>
      </c>
      <c r="B909" s="14" t="s">
        <v>605</v>
      </c>
      <c r="C909" s="65"/>
      <c r="D909" s="65"/>
      <c r="E909" s="22" t="s">
        <v>140</v>
      </c>
      <c r="F909" s="22" t="s">
        <v>930</v>
      </c>
      <c r="G909" s="22">
        <f t="shared" si="83"/>
        <v>1</v>
      </c>
      <c r="H909" s="37">
        <v>1</v>
      </c>
    </row>
    <row r="910" spans="1:9" ht="15" customHeight="1" x14ac:dyDescent="0.3">
      <c r="A910" s="36">
        <f t="shared" si="82"/>
        <v>6913</v>
      </c>
      <c r="B910" s="14" t="s">
        <v>606</v>
      </c>
      <c r="C910" s="65"/>
      <c r="D910" s="65"/>
      <c r="E910" s="22" t="s">
        <v>140</v>
      </c>
      <c r="F910" s="22" t="s">
        <v>930</v>
      </c>
      <c r="G910" s="22">
        <f t="shared" si="83"/>
        <v>1</v>
      </c>
      <c r="H910" s="37">
        <v>1</v>
      </c>
    </row>
    <row r="911" spans="1:9" ht="15" customHeight="1" x14ac:dyDescent="0.3">
      <c r="A911" s="36">
        <f t="shared" si="82"/>
        <v>6914</v>
      </c>
      <c r="B911" s="14" t="s">
        <v>607</v>
      </c>
      <c r="C911" s="65"/>
      <c r="D911" s="65"/>
      <c r="E911" s="22" t="s">
        <v>140</v>
      </c>
      <c r="F911" s="22" t="s">
        <v>930</v>
      </c>
      <c r="G911" s="22">
        <f t="shared" si="83"/>
        <v>1</v>
      </c>
      <c r="H911" s="37">
        <v>1</v>
      </c>
    </row>
    <row r="912" spans="1:9" ht="15" customHeight="1" x14ac:dyDescent="0.3">
      <c r="A912" s="36">
        <f t="shared" si="82"/>
        <v>6915</v>
      </c>
      <c r="B912" s="14" t="s">
        <v>608</v>
      </c>
      <c r="C912" s="65"/>
      <c r="D912" s="65"/>
      <c r="E912" s="22" t="s">
        <v>140</v>
      </c>
      <c r="F912" s="22" t="s">
        <v>930</v>
      </c>
      <c r="G912" s="22">
        <f t="shared" si="83"/>
        <v>1</v>
      </c>
      <c r="H912" s="37">
        <v>1</v>
      </c>
    </row>
    <row r="913" spans="1:8" ht="15" customHeight="1" x14ac:dyDescent="0.3">
      <c r="A913" s="36">
        <f t="shared" si="82"/>
        <v>6916</v>
      </c>
      <c r="B913" s="14" t="s">
        <v>609</v>
      </c>
      <c r="C913" s="65"/>
      <c r="D913" s="65"/>
      <c r="E913" s="22" t="s">
        <v>140</v>
      </c>
      <c r="F913" s="22" t="s">
        <v>930</v>
      </c>
      <c r="G913" s="22">
        <f t="shared" si="83"/>
        <v>1</v>
      </c>
      <c r="H913" s="37">
        <v>1</v>
      </c>
    </row>
    <row r="914" spans="1:8" ht="15" customHeight="1" x14ac:dyDescent="0.3">
      <c r="A914" s="36">
        <f t="shared" si="82"/>
        <v>6917</v>
      </c>
      <c r="B914" s="14" t="s">
        <v>610</v>
      </c>
      <c r="C914" s="65"/>
      <c r="D914" s="65"/>
      <c r="E914" s="22" t="s">
        <v>140</v>
      </c>
      <c r="F914" s="22" t="s">
        <v>930</v>
      </c>
      <c r="G914" s="22">
        <f t="shared" si="83"/>
        <v>1</v>
      </c>
      <c r="H914" s="37">
        <v>1</v>
      </c>
    </row>
    <row r="915" spans="1:8" ht="15" customHeight="1" x14ac:dyDescent="0.3">
      <c r="A915" s="36">
        <f t="shared" si="82"/>
        <v>6918</v>
      </c>
      <c r="B915" s="14" t="s">
        <v>611</v>
      </c>
      <c r="C915" s="65"/>
      <c r="D915" s="65"/>
      <c r="E915" s="22" t="s">
        <v>140</v>
      </c>
      <c r="F915" s="22" t="s">
        <v>930</v>
      </c>
      <c r="G915" s="22">
        <f t="shared" si="83"/>
        <v>1</v>
      </c>
      <c r="H915" s="37">
        <v>1</v>
      </c>
    </row>
    <row r="916" spans="1:8" ht="15" customHeight="1" x14ac:dyDescent="0.3">
      <c r="A916" s="36">
        <f t="shared" si="82"/>
        <v>6919</v>
      </c>
      <c r="B916" s="14" t="s">
        <v>612</v>
      </c>
      <c r="C916" s="65"/>
      <c r="D916" s="65"/>
      <c r="E916" s="22" t="s">
        <v>140</v>
      </c>
      <c r="F916" s="22" t="s">
        <v>930</v>
      </c>
      <c r="G916" s="22">
        <f t="shared" si="83"/>
        <v>1</v>
      </c>
      <c r="H916" s="37">
        <v>1</v>
      </c>
    </row>
    <row r="917" spans="1:8" ht="15" customHeight="1" x14ac:dyDescent="0.3">
      <c r="A917" s="36">
        <f t="shared" si="82"/>
        <v>6920</v>
      </c>
      <c r="B917" s="14" t="s">
        <v>613</v>
      </c>
      <c r="C917" s="65"/>
      <c r="D917" s="65"/>
      <c r="E917" s="22" t="s">
        <v>140</v>
      </c>
      <c r="F917" s="22" t="s">
        <v>930</v>
      </c>
      <c r="G917" s="22">
        <f t="shared" si="83"/>
        <v>1</v>
      </c>
      <c r="H917" s="37">
        <v>1</v>
      </c>
    </row>
    <row r="918" spans="1:8" ht="15" customHeight="1" x14ac:dyDescent="0.3">
      <c r="A918" s="36">
        <f t="shared" si="82"/>
        <v>6921</v>
      </c>
      <c r="B918" s="14" t="s">
        <v>614</v>
      </c>
      <c r="C918" s="65"/>
      <c r="D918" s="65"/>
      <c r="E918" s="22" t="s">
        <v>140</v>
      </c>
      <c r="F918" s="22" t="s">
        <v>930</v>
      </c>
      <c r="G918" s="22">
        <f t="shared" si="83"/>
        <v>1</v>
      </c>
      <c r="H918" s="37">
        <v>1</v>
      </c>
    </row>
    <row r="919" spans="1:8" ht="15" customHeight="1" x14ac:dyDescent="0.3">
      <c r="A919" s="36">
        <f t="shared" si="82"/>
        <v>6922</v>
      </c>
      <c r="B919" s="14" t="s">
        <v>615</v>
      </c>
      <c r="C919" s="65"/>
      <c r="D919" s="65"/>
      <c r="E919" s="22" t="s">
        <v>140</v>
      </c>
      <c r="F919" s="22" t="s">
        <v>930</v>
      </c>
      <c r="G919" s="22">
        <f t="shared" si="83"/>
        <v>1</v>
      </c>
      <c r="H919" s="37">
        <v>1</v>
      </c>
    </row>
    <row r="920" spans="1:8" ht="15" customHeight="1" x14ac:dyDescent="0.3">
      <c r="A920" s="36">
        <f t="shared" si="82"/>
        <v>6923</v>
      </c>
      <c r="B920" s="14" t="s">
        <v>616</v>
      </c>
      <c r="C920" s="65"/>
      <c r="D920" s="65"/>
      <c r="E920" s="22" t="s">
        <v>140</v>
      </c>
      <c r="F920" s="22" t="s">
        <v>930</v>
      </c>
      <c r="G920" s="22">
        <f t="shared" si="83"/>
        <v>1</v>
      </c>
      <c r="H920" s="37">
        <v>1</v>
      </c>
    </row>
    <row r="921" spans="1:8" ht="15" customHeight="1" x14ac:dyDescent="0.3">
      <c r="A921" s="36">
        <f t="shared" si="82"/>
        <v>6924</v>
      </c>
      <c r="B921" s="14" t="s">
        <v>617</v>
      </c>
      <c r="C921" s="65"/>
      <c r="D921" s="65"/>
      <c r="E921" s="22" t="s">
        <v>140</v>
      </c>
      <c r="F921" s="22" t="s">
        <v>930</v>
      </c>
      <c r="G921" s="22">
        <f t="shared" si="83"/>
        <v>1</v>
      </c>
      <c r="H921" s="37">
        <v>1</v>
      </c>
    </row>
    <row r="922" spans="1:8" ht="15" customHeight="1" x14ac:dyDescent="0.3">
      <c r="A922" s="36">
        <f t="shared" si="82"/>
        <v>6925</v>
      </c>
      <c r="B922" s="14" t="s">
        <v>618</v>
      </c>
      <c r="C922" s="65"/>
      <c r="D922" s="65"/>
      <c r="E922" s="22" t="s">
        <v>140</v>
      </c>
      <c r="F922" s="22" t="s">
        <v>930</v>
      </c>
      <c r="G922" s="22">
        <f t="shared" si="83"/>
        <v>1</v>
      </c>
      <c r="H922" s="37">
        <v>1</v>
      </c>
    </row>
    <row r="923" spans="1:8" ht="15" customHeight="1" thickBot="1" x14ac:dyDescent="0.35">
      <c r="A923" s="59">
        <f t="shared" si="82"/>
        <v>6926</v>
      </c>
      <c r="B923" s="46" t="s">
        <v>619</v>
      </c>
      <c r="C923" s="51"/>
      <c r="D923" s="51"/>
      <c r="E923" s="24" t="s">
        <v>140</v>
      </c>
      <c r="F923" s="22" t="s">
        <v>930</v>
      </c>
      <c r="G923" s="24">
        <f t="shared" si="83"/>
        <v>1</v>
      </c>
      <c r="H923" s="54">
        <v>1</v>
      </c>
    </row>
    <row r="924" spans="1:8" ht="15" customHeight="1" x14ac:dyDescent="0.3">
      <c r="A924" s="32">
        <f t="shared" si="82"/>
        <v>6927</v>
      </c>
      <c r="B924" s="57" t="s">
        <v>636</v>
      </c>
      <c r="C924" s="67"/>
      <c r="D924" s="67"/>
      <c r="E924" s="53" t="s">
        <v>140</v>
      </c>
      <c r="F924" s="22" t="s">
        <v>930</v>
      </c>
      <c r="G924" s="53">
        <f t="shared" si="83"/>
        <v>1</v>
      </c>
      <c r="H924" s="35">
        <v>1</v>
      </c>
    </row>
    <row r="925" spans="1:8" ht="15" customHeight="1" x14ac:dyDescent="0.3">
      <c r="A925" s="36">
        <f t="shared" si="82"/>
        <v>6928</v>
      </c>
      <c r="B925" s="14" t="s">
        <v>637</v>
      </c>
      <c r="C925" s="65"/>
      <c r="D925" s="65"/>
      <c r="E925" s="22" t="s">
        <v>140</v>
      </c>
      <c r="F925" s="22" t="s">
        <v>930</v>
      </c>
      <c r="G925" s="22">
        <f t="shared" si="83"/>
        <v>1</v>
      </c>
      <c r="H925" s="37">
        <v>1</v>
      </c>
    </row>
    <row r="926" spans="1:8" ht="15" customHeight="1" x14ac:dyDescent="0.3">
      <c r="A926" s="36">
        <f t="shared" si="82"/>
        <v>6929</v>
      </c>
      <c r="B926" s="14" t="s">
        <v>650</v>
      </c>
      <c r="C926" s="65"/>
      <c r="D926" s="65"/>
      <c r="E926" s="22" t="s">
        <v>140</v>
      </c>
      <c r="F926" s="22" t="s">
        <v>930</v>
      </c>
      <c r="G926" s="22">
        <f t="shared" si="83"/>
        <v>1</v>
      </c>
      <c r="H926" s="37">
        <v>1</v>
      </c>
    </row>
    <row r="927" spans="1:8" ht="15" customHeight="1" x14ac:dyDescent="0.3">
      <c r="A927" s="36">
        <f t="shared" si="82"/>
        <v>6930</v>
      </c>
      <c r="B927" s="14" t="s">
        <v>620</v>
      </c>
      <c r="C927" s="65"/>
      <c r="D927" s="65"/>
      <c r="E927" s="22" t="s">
        <v>140</v>
      </c>
      <c r="F927" s="22" t="s">
        <v>930</v>
      </c>
      <c r="G927" s="22">
        <f t="shared" si="83"/>
        <v>1</v>
      </c>
      <c r="H927" s="37">
        <v>1</v>
      </c>
    </row>
    <row r="928" spans="1:8" ht="15" customHeight="1" x14ac:dyDescent="0.3">
      <c r="A928" s="36">
        <f t="shared" si="82"/>
        <v>6931</v>
      </c>
      <c r="B928" s="14" t="s">
        <v>621</v>
      </c>
      <c r="C928" s="65"/>
      <c r="D928" s="65"/>
      <c r="E928" s="22" t="s">
        <v>140</v>
      </c>
      <c r="F928" s="22" t="s">
        <v>930</v>
      </c>
      <c r="G928" s="22">
        <f t="shared" si="83"/>
        <v>1</v>
      </c>
      <c r="H928" s="37">
        <v>1</v>
      </c>
    </row>
    <row r="929" spans="1:9" ht="15" customHeight="1" x14ac:dyDescent="0.3">
      <c r="A929" s="36">
        <f t="shared" si="82"/>
        <v>6932</v>
      </c>
      <c r="B929" s="14" t="s">
        <v>622</v>
      </c>
      <c r="C929" s="65"/>
      <c r="D929" s="65"/>
      <c r="E929" s="22" t="s">
        <v>140</v>
      </c>
      <c r="F929" s="22" t="s">
        <v>930</v>
      </c>
      <c r="G929" s="22">
        <f t="shared" si="83"/>
        <v>1</v>
      </c>
      <c r="H929" s="37">
        <v>1</v>
      </c>
    </row>
    <row r="930" spans="1:9" ht="15" customHeight="1" x14ac:dyDescent="0.3">
      <c r="A930" s="36">
        <f t="shared" si="82"/>
        <v>6933</v>
      </c>
      <c r="B930" s="14" t="s">
        <v>623</v>
      </c>
      <c r="C930" s="65"/>
      <c r="D930" s="65"/>
      <c r="E930" s="22" t="s">
        <v>140</v>
      </c>
      <c r="F930" s="22" t="s">
        <v>930</v>
      </c>
      <c r="G930" s="22">
        <f t="shared" si="83"/>
        <v>1</v>
      </c>
      <c r="H930" s="37">
        <v>1</v>
      </c>
    </row>
    <row r="931" spans="1:9" ht="15" customHeight="1" x14ac:dyDescent="0.3">
      <c r="A931" s="36">
        <f t="shared" si="82"/>
        <v>6934</v>
      </c>
      <c r="B931" s="14" t="s">
        <v>624</v>
      </c>
      <c r="C931" s="65"/>
      <c r="D931" s="65"/>
      <c r="E931" s="22" t="s">
        <v>140</v>
      </c>
      <c r="F931" s="22" t="s">
        <v>930</v>
      </c>
      <c r="G931" s="22">
        <f t="shared" si="83"/>
        <v>1</v>
      </c>
      <c r="H931" s="37">
        <v>1</v>
      </c>
    </row>
    <row r="932" spans="1:9" ht="15" customHeight="1" x14ac:dyDescent="0.3">
      <c r="A932" s="36">
        <f t="shared" si="82"/>
        <v>6935</v>
      </c>
      <c r="B932" s="14" t="s">
        <v>625</v>
      </c>
      <c r="C932" s="65"/>
      <c r="D932" s="65"/>
      <c r="E932" s="22" t="s">
        <v>140</v>
      </c>
      <c r="F932" s="22" t="s">
        <v>930</v>
      </c>
      <c r="G932" s="22">
        <f t="shared" si="83"/>
        <v>1</v>
      </c>
      <c r="H932" s="37">
        <v>1</v>
      </c>
    </row>
    <row r="933" spans="1:9" ht="15" customHeight="1" x14ac:dyDescent="0.3">
      <c r="A933" s="36">
        <f t="shared" ref="A933:A943" si="84">A932+(G932*H932)</f>
        <v>6936</v>
      </c>
      <c r="B933" s="14" t="s">
        <v>626</v>
      </c>
      <c r="C933" s="65"/>
      <c r="D933" s="65"/>
      <c r="E933" s="22" t="s">
        <v>140</v>
      </c>
      <c r="F933" s="22" t="s">
        <v>930</v>
      </c>
      <c r="G933" s="22">
        <f>IF(OR(E933="U16", E933="S16"),1,IF(E933="TS",6,2))</f>
        <v>1</v>
      </c>
      <c r="H933" s="37">
        <v>1</v>
      </c>
    </row>
    <row r="934" spans="1:9" ht="15" customHeight="1" x14ac:dyDescent="0.3">
      <c r="A934" s="36">
        <f t="shared" si="84"/>
        <v>6937</v>
      </c>
      <c r="B934" s="14" t="s">
        <v>627</v>
      </c>
      <c r="C934" s="12"/>
      <c r="D934" s="12"/>
      <c r="E934" s="22" t="s">
        <v>140</v>
      </c>
      <c r="F934" s="22" t="s">
        <v>930</v>
      </c>
      <c r="G934" s="22">
        <f t="shared" ref="G934:G939" si="85">IF(OR(E934="U16", E934="S16"),1,IF(E934="TS",6,2))</f>
        <v>1</v>
      </c>
      <c r="H934" s="37">
        <v>1</v>
      </c>
    </row>
    <row r="935" spans="1:9" ht="15" customHeight="1" x14ac:dyDescent="0.3">
      <c r="A935" s="36">
        <f t="shared" si="84"/>
        <v>6938</v>
      </c>
      <c r="B935" s="14" t="s">
        <v>628</v>
      </c>
      <c r="C935" s="12"/>
      <c r="D935" s="12"/>
      <c r="E935" s="22" t="s">
        <v>140</v>
      </c>
      <c r="F935" s="22" t="s">
        <v>930</v>
      </c>
      <c r="G935" s="22">
        <f t="shared" si="85"/>
        <v>1</v>
      </c>
      <c r="H935" s="37">
        <v>1</v>
      </c>
      <c r="I935" s="10">
        <v>6760</v>
      </c>
    </row>
    <row r="936" spans="1:9" ht="15" customHeight="1" x14ac:dyDescent="0.3">
      <c r="A936" s="36">
        <f t="shared" si="84"/>
        <v>6939</v>
      </c>
      <c r="B936" s="14" t="s">
        <v>629</v>
      </c>
      <c r="C936" s="12"/>
      <c r="D936" s="12"/>
      <c r="E936" s="22" t="s">
        <v>140</v>
      </c>
      <c r="F936" s="22" t="s">
        <v>930</v>
      </c>
      <c r="G936" s="22">
        <f t="shared" si="85"/>
        <v>1</v>
      </c>
      <c r="H936" s="37">
        <v>1</v>
      </c>
    </row>
    <row r="937" spans="1:9" ht="15" customHeight="1" x14ac:dyDescent="0.3">
      <c r="A937" s="36">
        <f t="shared" si="84"/>
        <v>6940</v>
      </c>
      <c r="B937" s="14" t="s">
        <v>630</v>
      </c>
      <c r="C937" s="12"/>
      <c r="D937" s="12"/>
      <c r="E937" s="22" t="s">
        <v>140</v>
      </c>
      <c r="F937" s="22" t="s">
        <v>930</v>
      </c>
      <c r="G937" s="22">
        <f t="shared" si="85"/>
        <v>1</v>
      </c>
      <c r="H937" s="37">
        <v>1</v>
      </c>
    </row>
    <row r="938" spans="1:9" ht="15" customHeight="1" x14ac:dyDescent="0.3">
      <c r="A938" s="36">
        <f t="shared" si="84"/>
        <v>6941</v>
      </c>
      <c r="B938" s="14" t="s">
        <v>631</v>
      </c>
      <c r="C938" s="12"/>
      <c r="D938" s="12"/>
      <c r="E938" s="22" t="s">
        <v>140</v>
      </c>
      <c r="F938" s="22" t="s">
        <v>930</v>
      </c>
      <c r="G938" s="22">
        <f t="shared" si="85"/>
        <v>1</v>
      </c>
      <c r="H938" s="37">
        <v>1</v>
      </c>
    </row>
    <row r="939" spans="1:9" ht="15" customHeight="1" x14ac:dyDescent="0.3">
      <c r="A939" s="36">
        <f t="shared" si="84"/>
        <v>6942</v>
      </c>
      <c r="B939" s="14" t="s">
        <v>632</v>
      </c>
      <c r="C939" s="12"/>
      <c r="D939" s="12"/>
      <c r="E939" s="22" t="s">
        <v>140</v>
      </c>
      <c r="F939" s="22" t="s">
        <v>1079</v>
      </c>
      <c r="G939" s="22">
        <f t="shared" si="85"/>
        <v>1</v>
      </c>
      <c r="H939" s="37">
        <v>1</v>
      </c>
    </row>
    <row r="940" spans="1:9" ht="15" customHeight="1" x14ac:dyDescent="0.3">
      <c r="A940" s="36">
        <f t="shared" si="84"/>
        <v>6943</v>
      </c>
      <c r="B940" s="14" t="s">
        <v>633</v>
      </c>
      <c r="C940" s="12"/>
      <c r="D940" s="12"/>
      <c r="E940" s="22" t="s">
        <v>140</v>
      </c>
      <c r="F940" s="22" t="s">
        <v>930</v>
      </c>
      <c r="G940" s="22">
        <f>IF(OR(E940="U16", E940="S16"),1,IF(E940="TS",6,2))</f>
        <v>1</v>
      </c>
      <c r="H940" s="37">
        <v>1</v>
      </c>
    </row>
    <row r="941" spans="1:9" ht="15" customHeight="1" x14ac:dyDescent="0.3">
      <c r="A941" s="36">
        <f t="shared" si="84"/>
        <v>6944</v>
      </c>
      <c r="B941" s="14" t="s">
        <v>634</v>
      </c>
      <c r="C941" s="12"/>
      <c r="D941" s="12"/>
      <c r="E941" s="22" t="s">
        <v>140</v>
      </c>
      <c r="F941" s="22" t="s">
        <v>930</v>
      </c>
      <c r="G941" s="22">
        <f>IF(OR(E941="U16", E941="S16"),1,IF(E941="TS",6,2))</f>
        <v>1</v>
      </c>
      <c r="H941" s="37">
        <v>1</v>
      </c>
    </row>
    <row r="942" spans="1:9" ht="15" customHeight="1" thickBot="1" x14ac:dyDescent="0.35">
      <c r="A942" s="38">
        <f t="shared" si="84"/>
        <v>6945</v>
      </c>
      <c r="B942" s="60" t="s">
        <v>635</v>
      </c>
      <c r="C942" s="61"/>
      <c r="D942" s="61"/>
      <c r="E942" s="62" t="s">
        <v>140</v>
      </c>
      <c r="F942" s="22" t="s">
        <v>930</v>
      </c>
      <c r="G942" s="62">
        <f>IF(OR(E942="U16", E942="S16"),1,IF(E942="TS",6,2))</f>
        <v>1</v>
      </c>
      <c r="H942" s="41">
        <v>1</v>
      </c>
      <c r="I942" s="10" t="s">
        <v>488</v>
      </c>
    </row>
    <row r="943" spans="1:9" ht="15" customHeight="1" thickBot="1" x14ac:dyDescent="0.35">
      <c r="A943" s="70">
        <f t="shared" si="84"/>
        <v>6946</v>
      </c>
      <c r="B943" s="71"/>
      <c r="C943" s="72"/>
      <c r="D943" s="72"/>
      <c r="E943" s="73" t="s">
        <v>140</v>
      </c>
      <c r="F943" s="73"/>
      <c r="G943" s="73">
        <f>IF(OR(E943="U16", E943="S16"),1,IF(E943="TS",6,2))</f>
        <v>1</v>
      </c>
      <c r="H943" s="74">
        <v>4</v>
      </c>
    </row>
    <row r="944" spans="1:9" ht="15" customHeight="1" thickBot="1" x14ac:dyDescent="0.35">
      <c r="A944" s="204" t="s">
        <v>285</v>
      </c>
      <c r="B944" s="205"/>
      <c r="C944" s="205"/>
      <c r="D944" s="205"/>
      <c r="E944" s="205"/>
      <c r="F944" s="205"/>
      <c r="G944" s="205"/>
      <c r="H944" s="206"/>
    </row>
    <row r="945" spans="1:9" ht="15" customHeight="1" x14ac:dyDescent="0.3">
      <c r="A945" s="32">
        <f>A943+(G943*H943)</f>
        <v>6950</v>
      </c>
      <c r="B945" s="157" t="s">
        <v>284</v>
      </c>
      <c r="C945" s="58"/>
      <c r="D945" s="58"/>
      <c r="E945" s="53" t="s">
        <v>140</v>
      </c>
      <c r="F945" s="53" t="s">
        <v>1077</v>
      </c>
      <c r="G945" s="53">
        <f>IF(OR(E945="U16", E945="S16"),1,IF(E945="TS",6,2))</f>
        <v>1</v>
      </c>
      <c r="H945" s="35">
        <v>1</v>
      </c>
    </row>
    <row r="946" spans="1:9" ht="15" customHeight="1" x14ac:dyDescent="0.3">
      <c r="A946" s="36">
        <f>A945+(G945*H945)</f>
        <v>6951</v>
      </c>
      <c r="B946" s="18" t="s">
        <v>286</v>
      </c>
      <c r="C946" s="12"/>
      <c r="D946" s="12"/>
      <c r="E946" s="22" t="s">
        <v>140</v>
      </c>
      <c r="F946" s="22" t="s">
        <v>1076</v>
      </c>
      <c r="G946" s="22">
        <f>IF(OR(E946="U16", E946="S16"),1,IF(E946="TS",6,2))</f>
        <v>1</v>
      </c>
      <c r="H946" s="37">
        <v>1</v>
      </c>
      <c r="I946" s="10">
        <v>6750</v>
      </c>
    </row>
    <row r="947" spans="1:9" ht="15" customHeight="1" thickBot="1" x14ac:dyDescent="0.35">
      <c r="A947" s="38">
        <f>A946+(G946*H946)</f>
        <v>6952</v>
      </c>
      <c r="B947" s="153" t="s">
        <v>41</v>
      </c>
      <c r="C947" s="61"/>
      <c r="D947" s="61"/>
      <c r="E947" s="62" t="s">
        <v>140</v>
      </c>
      <c r="F947" s="62"/>
      <c r="G947" s="62">
        <f>IF(OR(E947="U16", E947="S16"),1,IF(E947="TS",6,2))</f>
        <v>1</v>
      </c>
      <c r="H947" s="41">
        <v>8</v>
      </c>
    </row>
    <row r="948" spans="1:9" ht="15" customHeight="1" thickBot="1" x14ac:dyDescent="0.35">
      <c r="A948" s="204" t="s">
        <v>334</v>
      </c>
      <c r="B948" s="205"/>
      <c r="C948" s="205"/>
      <c r="D948" s="205"/>
      <c r="E948" s="205"/>
      <c r="F948" s="205"/>
      <c r="G948" s="205"/>
      <c r="H948" s="206"/>
    </row>
    <row r="949" spans="1:9" ht="15" customHeight="1" x14ac:dyDescent="0.3">
      <c r="A949" s="32">
        <f>A947+(G947*H947)</f>
        <v>6960</v>
      </c>
      <c r="B949" s="57" t="s">
        <v>529</v>
      </c>
      <c r="C949" s="58"/>
      <c r="D949" s="58"/>
      <c r="E949" s="53" t="s">
        <v>140</v>
      </c>
      <c r="F949" s="53" t="s">
        <v>1081</v>
      </c>
      <c r="G949" s="53">
        <f t="shared" ref="G949:G959" si="86">IF(OR(E949="U16", E949="S16"),1,IF(E949="TS",6,2))</f>
        <v>1</v>
      </c>
      <c r="H949" s="35">
        <v>1</v>
      </c>
    </row>
    <row r="950" spans="1:9" ht="15" customHeight="1" x14ac:dyDescent="0.3">
      <c r="A950" s="36">
        <f t="shared" ref="A950:A990" si="87">A949+(G949*H949)</f>
        <v>6961</v>
      </c>
      <c r="B950" s="14" t="s">
        <v>236</v>
      </c>
      <c r="C950" s="12"/>
      <c r="D950" s="12"/>
      <c r="E950" s="22" t="s">
        <v>140</v>
      </c>
      <c r="F950" s="22"/>
      <c r="G950" s="22">
        <f t="shared" si="86"/>
        <v>1</v>
      </c>
      <c r="H950" s="37">
        <v>1</v>
      </c>
    </row>
    <row r="951" spans="1:9" ht="15" customHeight="1" x14ac:dyDescent="0.3">
      <c r="A951" s="36">
        <f t="shared" si="87"/>
        <v>6962</v>
      </c>
      <c r="B951" s="14"/>
      <c r="C951" s="119"/>
      <c r="D951" s="119"/>
      <c r="E951" s="22" t="s">
        <v>140</v>
      </c>
      <c r="F951" s="22"/>
      <c r="G951" s="22">
        <f>IF(OR(E951="U16", E951="S16"),1,IF(E951="TS",6,2))</f>
        <v>1</v>
      </c>
      <c r="H951" s="37">
        <v>1</v>
      </c>
    </row>
    <row r="952" spans="1:9" ht="15" customHeight="1" thickBot="1" x14ac:dyDescent="0.35">
      <c r="A952" s="38">
        <f t="shared" si="87"/>
        <v>6963</v>
      </c>
      <c r="B952" s="60"/>
      <c r="C952" s="61"/>
      <c r="D952" s="61"/>
      <c r="E952" s="62" t="s">
        <v>140</v>
      </c>
      <c r="F952" s="62"/>
      <c r="G952" s="62">
        <f>IF(OR(E952="U16", E952="S16"),1,IF(E952="TS",6,2))</f>
        <v>1</v>
      </c>
      <c r="H952" s="41">
        <v>1</v>
      </c>
    </row>
    <row r="953" spans="1:9" ht="15" customHeight="1" thickBot="1" x14ac:dyDescent="0.35">
      <c r="A953" s="209" t="s">
        <v>444</v>
      </c>
      <c r="B953" s="210"/>
      <c r="C953" s="211"/>
      <c r="D953" s="210"/>
      <c r="E953" s="210"/>
      <c r="F953" s="210"/>
      <c r="G953" s="210"/>
      <c r="H953" s="212"/>
    </row>
    <row r="954" spans="1:9" ht="15" customHeight="1" x14ac:dyDescent="0.3">
      <c r="A954" s="32">
        <f>A952+(G952*H952)</f>
        <v>6964</v>
      </c>
      <c r="B954" s="57" t="s">
        <v>531</v>
      </c>
      <c r="C954" s="65"/>
      <c r="D954" s="133"/>
      <c r="E954" s="58" t="s">
        <v>140</v>
      </c>
      <c r="F954" s="58" t="s">
        <v>1080</v>
      </c>
      <c r="G954" s="58">
        <f t="shared" si="86"/>
        <v>1</v>
      </c>
      <c r="H954" s="35">
        <v>1</v>
      </c>
    </row>
    <row r="955" spans="1:9" ht="15" customHeight="1" x14ac:dyDescent="0.3">
      <c r="A955" s="36">
        <f t="shared" si="87"/>
        <v>6965</v>
      </c>
      <c r="B955" s="14" t="s">
        <v>645</v>
      </c>
      <c r="C955" s="65"/>
      <c r="D955" s="120"/>
      <c r="E955" s="12" t="s">
        <v>140</v>
      </c>
      <c r="F955" s="12" t="s">
        <v>1076</v>
      </c>
      <c r="G955" s="12">
        <f t="shared" si="86"/>
        <v>1</v>
      </c>
      <c r="H955" s="37">
        <v>1</v>
      </c>
    </row>
    <row r="956" spans="1:9" ht="15" customHeight="1" x14ac:dyDescent="0.3">
      <c r="A956" s="36">
        <f t="shared" si="87"/>
        <v>6966</v>
      </c>
      <c r="B956" s="14" t="s">
        <v>646</v>
      </c>
      <c r="C956" s="65"/>
      <c r="D956" s="120"/>
      <c r="E956" s="12" t="s">
        <v>140</v>
      </c>
      <c r="F956" s="12" t="s">
        <v>930</v>
      </c>
      <c r="G956" s="12">
        <f t="shared" si="86"/>
        <v>1</v>
      </c>
      <c r="H956" s="37">
        <v>1</v>
      </c>
    </row>
    <row r="957" spans="1:9" ht="15" customHeight="1" x14ac:dyDescent="0.3">
      <c r="A957" s="36">
        <f t="shared" si="87"/>
        <v>6967</v>
      </c>
      <c r="B957" s="178" t="s">
        <v>1170</v>
      </c>
      <c r="C957" s="177" t="s">
        <v>1172</v>
      </c>
      <c r="D957" s="120"/>
      <c r="E957" s="12" t="s">
        <v>140</v>
      </c>
      <c r="F957" s="12" t="s">
        <v>930</v>
      </c>
      <c r="G957" s="12">
        <f t="shared" si="86"/>
        <v>1</v>
      </c>
      <c r="H957" s="37">
        <v>1</v>
      </c>
    </row>
    <row r="958" spans="1:9" x14ac:dyDescent="0.3">
      <c r="A958" s="36">
        <f t="shared" si="87"/>
        <v>6968</v>
      </c>
      <c r="B958" s="14" t="s">
        <v>644</v>
      </c>
      <c r="C958" s="65"/>
      <c r="D958" s="11"/>
      <c r="E958" s="12" t="s">
        <v>643</v>
      </c>
      <c r="F958" s="12" t="s">
        <v>930</v>
      </c>
      <c r="G958" s="12">
        <f t="shared" si="86"/>
        <v>2</v>
      </c>
      <c r="H958" s="37">
        <v>1</v>
      </c>
    </row>
    <row r="959" spans="1:9" ht="15" customHeight="1" x14ac:dyDescent="0.3">
      <c r="A959" s="36">
        <f t="shared" si="87"/>
        <v>6970</v>
      </c>
      <c r="B959" s="14" t="s">
        <v>443</v>
      </c>
      <c r="C959" s="120"/>
      <c r="D959" s="120"/>
      <c r="E959" s="22" t="s">
        <v>530</v>
      </c>
      <c r="F959" s="12" t="s">
        <v>930</v>
      </c>
      <c r="G959" s="22">
        <f t="shared" si="86"/>
        <v>1</v>
      </c>
      <c r="H959" s="37">
        <v>6</v>
      </c>
    </row>
    <row r="960" spans="1:9" ht="15" customHeight="1" x14ac:dyDescent="0.3">
      <c r="A960" s="36">
        <f t="shared" si="87"/>
        <v>6976</v>
      </c>
      <c r="B960" s="14" t="s">
        <v>445</v>
      </c>
      <c r="C960" s="120"/>
      <c r="D960" s="120"/>
      <c r="E960" s="22" t="s">
        <v>140</v>
      </c>
      <c r="F960" s="12" t="s">
        <v>930</v>
      </c>
      <c r="G960" s="22">
        <f t="shared" ref="G960:G965" si="88">IF(OR(E960="U16", E960="S16"),1,IF(E960="TS",6,2))</f>
        <v>1</v>
      </c>
      <c r="H960" s="37">
        <v>6</v>
      </c>
    </row>
    <row r="961" spans="1:9" ht="15" customHeight="1" x14ac:dyDescent="0.3">
      <c r="A961" s="36">
        <f t="shared" si="87"/>
        <v>6982</v>
      </c>
      <c r="B961" s="14" t="s">
        <v>446</v>
      </c>
      <c r="C961" s="120"/>
      <c r="D961" s="120"/>
      <c r="E961" s="22" t="s">
        <v>140</v>
      </c>
      <c r="F961" s="12" t="s">
        <v>930</v>
      </c>
      <c r="G961" s="22">
        <f t="shared" si="88"/>
        <v>1</v>
      </c>
      <c r="H961" s="37">
        <v>6</v>
      </c>
      <c r="I961" s="10" t="s">
        <v>1183</v>
      </c>
    </row>
    <row r="962" spans="1:9" ht="15" customHeight="1" x14ac:dyDescent="0.3">
      <c r="A962" s="36">
        <f t="shared" si="87"/>
        <v>6988</v>
      </c>
      <c r="B962" s="14" t="s">
        <v>447</v>
      </c>
      <c r="C962" s="120"/>
      <c r="D962" s="120"/>
      <c r="E962" s="22" t="s">
        <v>140</v>
      </c>
      <c r="F962" s="12" t="s">
        <v>930</v>
      </c>
      <c r="G962" s="22">
        <f t="shared" si="88"/>
        <v>1</v>
      </c>
      <c r="H962" s="37">
        <v>6</v>
      </c>
    </row>
    <row r="963" spans="1:9" ht="15" customHeight="1" x14ac:dyDescent="0.3">
      <c r="A963" s="36">
        <f t="shared" si="87"/>
        <v>6994</v>
      </c>
      <c r="B963" s="14" t="s">
        <v>448</v>
      </c>
      <c r="C963" s="120"/>
      <c r="D963" s="120"/>
      <c r="E963" s="22" t="s">
        <v>140</v>
      </c>
      <c r="F963" s="12" t="s">
        <v>930</v>
      </c>
      <c r="G963" s="22">
        <f t="shared" si="88"/>
        <v>1</v>
      </c>
      <c r="H963" s="37">
        <v>6</v>
      </c>
    </row>
    <row r="964" spans="1:9" ht="15" customHeight="1" x14ac:dyDescent="0.3">
      <c r="A964" s="36">
        <f t="shared" si="87"/>
        <v>7000</v>
      </c>
      <c r="B964" s="14" t="s">
        <v>449</v>
      </c>
      <c r="C964" s="120"/>
      <c r="D964" s="120"/>
      <c r="E964" s="22" t="s">
        <v>140</v>
      </c>
      <c r="F964" s="12" t="s">
        <v>930</v>
      </c>
      <c r="G964" s="22">
        <f t="shared" si="88"/>
        <v>1</v>
      </c>
      <c r="H964" s="37">
        <v>6</v>
      </c>
    </row>
    <row r="965" spans="1:9" ht="15" customHeight="1" x14ac:dyDescent="0.3">
      <c r="A965" s="36">
        <f t="shared" si="87"/>
        <v>7006</v>
      </c>
      <c r="B965" s="14" t="s">
        <v>450</v>
      </c>
      <c r="C965" s="120"/>
      <c r="D965" s="120"/>
      <c r="E965" s="22" t="s">
        <v>140</v>
      </c>
      <c r="F965" s="12" t="s">
        <v>930</v>
      </c>
      <c r="G965" s="22">
        <f t="shared" si="88"/>
        <v>1</v>
      </c>
      <c r="H965" s="37">
        <v>6</v>
      </c>
    </row>
    <row r="966" spans="1:9" ht="15" customHeight="1" x14ac:dyDescent="0.3">
      <c r="A966" s="36">
        <f t="shared" si="87"/>
        <v>7012</v>
      </c>
      <c r="B966" s="14" t="s">
        <v>451</v>
      </c>
      <c r="C966" s="120"/>
      <c r="D966" s="120"/>
      <c r="E966" s="22" t="s">
        <v>140</v>
      </c>
      <c r="F966" s="12" t="s">
        <v>930</v>
      </c>
      <c r="G966" s="22">
        <f t="shared" ref="G966:G973" si="89">IF(OR(E966="U16", E966="S16"),1,IF(E966="TS",6,2))</f>
        <v>1</v>
      </c>
      <c r="H966" s="37">
        <v>6</v>
      </c>
    </row>
    <row r="967" spans="1:9" ht="15" customHeight="1" x14ac:dyDescent="0.3">
      <c r="A967" s="36">
        <f t="shared" si="87"/>
        <v>7018</v>
      </c>
      <c r="B967" s="14" t="s">
        <v>452</v>
      </c>
      <c r="C967" s="120"/>
      <c r="D967" s="120"/>
      <c r="E967" s="22" t="s">
        <v>140</v>
      </c>
      <c r="F967" s="12" t="s">
        <v>930</v>
      </c>
      <c r="G967" s="22">
        <f t="shared" si="89"/>
        <v>1</v>
      </c>
      <c r="H967" s="37">
        <v>6</v>
      </c>
    </row>
    <row r="968" spans="1:9" ht="15" customHeight="1" x14ac:dyDescent="0.3">
      <c r="A968" s="36">
        <f t="shared" si="87"/>
        <v>7024</v>
      </c>
      <c r="B968" s="14" t="s">
        <v>453</v>
      </c>
      <c r="C968" s="120"/>
      <c r="D968" s="120"/>
      <c r="E968" s="22" t="s">
        <v>140</v>
      </c>
      <c r="F968" s="12" t="s">
        <v>930</v>
      </c>
      <c r="G968" s="22">
        <f t="shared" si="89"/>
        <v>1</v>
      </c>
      <c r="H968" s="37">
        <v>6</v>
      </c>
    </row>
    <row r="969" spans="1:9" ht="15" customHeight="1" x14ac:dyDescent="0.3">
      <c r="A969" s="36">
        <f t="shared" si="87"/>
        <v>7030</v>
      </c>
      <c r="B969" s="14" t="s">
        <v>454</v>
      </c>
      <c r="C969" s="120"/>
      <c r="D969" s="120"/>
      <c r="E969" s="22" t="s">
        <v>140</v>
      </c>
      <c r="F969" s="12" t="s">
        <v>930</v>
      </c>
      <c r="G969" s="22">
        <f t="shared" si="89"/>
        <v>1</v>
      </c>
      <c r="H969" s="37">
        <v>6</v>
      </c>
    </row>
    <row r="970" spans="1:9" ht="15" customHeight="1" x14ac:dyDescent="0.3">
      <c r="A970" s="36">
        <f t="shared" si="87"/>
        <v>7036</v>
      </c>
      <c r="B970" s="14" t="s">
        <v>455</v>
      </c>
      <c r="C970" s="120"/>
      <c r="D970" s="120"/>
      <c r="E970" s="22" t="s">
        <v>140</v>
      </c>
      <c r="F970" s="12" t="s">
        <v>930</v>
      </c>
      <c r="G970" s="22">
        <f t="shared" si="89"/>
        <v>1</v>
      </c>
      <c r="H970" s="37">
        <v>6</v>
      </c>
    </row>
    <row r="971" spans="1:9" ht="15" customHeight="1" x14ac:dyDescent="0.3">
      <c r="A971" s="36">
        <f t="shared" si="87"/>
        <v>7042</v>
      </c>
      <c r="B971" s="14" t="s">
        <v>456</v>
      </c>
      <c r="C971" s="120"/>
      <c r="D971" s="120"/>
      <c r="E971" s="22" t="s">
        <v>140</v>
      </c>
      <c r="F971" s="12" t="s">
        <v>930</v>
      </c>
      <c r="G971" s="22">
        <f t="shared" si="89"/>
        <v>1</v>
      </c>
      <c r="H971" s="37">
        <v>6</v>
      </c>
    </row>
    <row r="972" spans="1:9" ht="15" customHeight="1" x14ac:dyDescent="0.3">
      <c r="A972" s="36">
        <f t="shared" si="87"/>
        <v>7048</v>
      </c>
      <c r="B972" s="14" t="s">
        <v>457</v>
      </c>
      <c r="C972" s="120"/>
      <c r="D972" s="120"/>
      <c r="E972" s="22" t="s">
        <v>140</v>
      </c>
      <c r="F972" s="12" t="s">
        <v>930</v>
      </c>
      <c r="G972" s="22">
        <f t="shared" si="89"/>
        <v>1</v>
      </c>
      <c r="H972" s="37">
        <v>6</v>
      </c>
    </row>
    <row r="973" spans="1:9" ht="15" customHeight="1" x14ac:dyDescent="0.3">
      <c r="A973" s="36">
        <f t="shared" si="87"/>
        <v>7054</v>
      </c>
      <c r="B973" s="14" t="s">
        <v>458</v>
      </c>
      <c r="C973" s="120"/>
      <c r="D973" s="120"/>
      <c r="E973" s="22" t="s">
        <v>140</v>
      </c>
      <c r="F973" s="12" t="s">
        <v>930</v>
      </c>
      <c r="G973" s="22">
        <f t="shared" si="89"/>
        <v>1</v>
      </c>
      <c r="H973" s="37">
        <v>6</v>
      </c>
    </row>
    <row r="974" spans="1:9" ht="15" customHeight="1" x14ac:dyDescent="0.3">
      <c r="A974" s="36">
        <f t="shared" si="87"/>
        <v>7060</v>
      </c>
      <c r="B974" s="14" t="s">
        <v>459</v>
      </c>
      <c r="C974" s="120"/>
      <c r="D974" s="120"/>
      <c r="E974" s="22" t="s">
        <v>140</v>
      </c>
      <c r="F974" s="12" t="s">
        <v>930</v>
      </c>
      <c r="G974" s="22">
        <f t="shared" ref="G974:G989" si="90">IF(OR(E974="U16", E974="S16"),1,IF(E974="TS",6,2))</f>
        <v>1</v>
      </c>
      <c r="H974" s="37">
        <v>6</v>
      </c>
    </row>
    <row r="975" spans="1:9" ht="15" customHeight="1" x14ac:dyDescent="0.3">
      <c r="A975" s="36">
        <f t="shared" si="87"/>
        <v>7066</v>
      </c>
      <c r="B975" s="14" t="s">
        <v>460</v>
      </c>
      <c r="C975" s="120"/>
      <c r="D975" s="120"/>
      <c r="E975" s="22" t="s">
        <v>140</v>
      </c>
      <c r="F975" s="12" t="s">
        <v>930</v>
      </c>
      <c r="G975" s="22">
        <f t="shared" si="90"/>
        <v>1</v>
      </c>
      <c r="H975" s="37">
        <v>6</v>
      </c>
    </row>
    <row r="976" spans="1:9" ht="15" customHeight="1" x14ac:dyDescent="0.3">
      <c r="A976" s="36">
        <f t="shared" si="87"/>
        <v>7072</v>
      </c>
      <c r="B976" s="14" t="s">
        <v>461</v>
      </c>
      <c r="C976" s="120"/>
      <c r="D976" s="120"/>
      <c r="E976" s="22" t="s">
        <v>140</v>
      </c>
      <c r="F976" s="12" t="s">
        <v>930</v>
      </c>
      <c r="G976" s="22">
        <f t="shared" si="90"/>
        <v>1</v>
      </c>
      <c r="H976" s="37">
        <v>6</v>
      </c>
    </row>
    <row r="977" spans="1:8" ht="15" customHeight="1" x14ac:dyDescent="0.3">
      <c r="A977" s="36">
        <f t="shared" si="87"/>
        <v>7078</v>
      </c>
      <c r="B977" s="14" t="s">
        <v>462</v>
      </c>
      <c r="C977" s="120"/>
      <c r="D977" s="120"/>
      <c r="E977" s="22" t="s">
        <v>140</v>
      </c>
      <c r="F977" s="12" t="s">
        <v>930</v>
      </c>
      <c r="G977" s="22">
        <f t="shared" si="90"/>
        <v>1</v>
      </c>
      <c r="H977" s="37">
        <v>6</v>
      </c>
    </row>
    <row r="978" spans="1:8" ht="15" customHeight="1" x14ac:dyDescent="0.3">
      <c r="A978" s="36">
        <f t="shared" si="87"/>
        <v>7084</v>
      </c>
      <c r="B978" s="14" t="s">
        <v>463</v>
      </c>
      <c r="C978" s="120"/>
      <c r="D978" s="120"/>
      <c r="E978" s="22" t="s">
        <v>140</v>
      </c>
      <c r="F978" s="12" t="s">
        <v>930</v>
      </c>
      <c r="G978" s="22">
        <f t="shared" si="90"/>
        <v>1</v>
      </c>
      <c r="H978" s="37">
        <v>6</v>
      </c>
    </row>
    <row r="979" spans="1:8" ht="15" customHeight="1" x14ac:dyDescent="0.3">
      <c r="A979" s="36">
        <f t="shared" si="87"/>
        <v>7090</v>
      </c>
      <c r="B979" s="14" t="s">
        <v>464</v>
      </c>
      <c r="C979" s="120"/>
      <c r="D979" s="120"/>
      <c r="E979" s="22" t="s">
        <v>140</v>
      </c>
      <c r="F979" s="12" t="s">
        <v>930</v>
      </c>
      <c r="G979" s="22">
        <f t="shared" si="90"/>
        <v>1</v>
      </c>
      <c r="H979" s="37">
        <v>6</v>
      </c>
    </row>
    <row r="980" spans="1:8" ht="15" customHeight="1" x14ac:dyDescent="0.3">
      <c r="A980" s="36">
        <f t="shared" si="87"/>
        <v>7096</v>
      </c>
      <c r="B980" s="14" t="s">
        <v>465</v>
      </c>
      <c r="C980" s="120"/>
      <c r="D980" s="120"/>
      <c r="E980" s="22" t="s">
        <v>140</v>
      </c>
      <c r="F980" s="12" t="s">
        <v>930</v>
      </c>
      <c r="G980" s="22">
        <f t="shared" si="90"/>
        <v>1</v>
      </c>
      <c r="H980" s="37">
        <v>6</v>
      </c>
    </row>
    <row r="981" spans="1:8" ht="15" customHeight="1" x14ac:dyDescent="0.3">
      <c r="A981" s="36">
        <f t="shared" si="87"/>
        <v>7102</v>
      </c>
      <c r="B981" s="14" t="s">
        <v>466</v>
      </c>
      <c r="C981" s="120"/>
      <c r="D981" s="120"/>
      <c r="E981" s="22" t="s">
        <v>140</v>
      </c>
      <c r="F981" s="12" t="s">
        <v>930</v>
      </c>
      <c r="G981" s="22">
        <f t="shared" si="90"/>
        <v>1</v>
      </c>
      <c r="H981" s="37">
        <v>6</v>
      </c>
    </row>
    <row r="982" spans="1:8" ht="15" customHeight="1" x14ac:dyDescent="0.3">
      <c r="A982" s="36">
        <f t="shared" si="87"/>
        <v>7108</v>
      </c>
      <c r="B982" s="14" t="s">
        <v>467</v>
      </c>
      <c r="C982" s="120"/>
      <c r="D982" s="120"/>
      <c r="E982" s="22" t="s">
        <v>140</v>
      </c>
      <c r="F982" s="12" t="s">
        <v>930</v>
      </c>
      <c r="G982" s="22">
        <f t="shared" si="90"/>
        <v>1</v>
      </c>
      <c r="H982" s="37">
        <v>6</v>
      </c>
    </row>
    <row r="983" spans="1:8" ht="15" customHeight="1" x14ac:dyDescent="0.3">
      <c r="A983" s="36">
        <f t="shared" si="87"/>
        <v>7114</v>
      </c>
      <c r="B983" s="14" t="s">
        <v>468</v>
      </c>
      <c r="C983" s="120"/>
      <c r="D983" s="120"/>
      <c r="E983" s="22" t="s">
        <v>140</v>
      </c>
      <c r="F983" s="12" t="s">
        <v>930</v>
      </c>
      <c r="G983" s="22">
        <f t="shared" si="90"/>
        <v>1</v>
      </c>
      <c r="H983" s="37">
        <v>6</v>
      </c>
    </row>
    <row r="984" spans="1:8" ht="15" customHeight="1" x14ac:dyDescent="0.3">
      <c r="A984" s="36">
        <f t="shared" si="87"/>
        <v>7120</v>
      </c>
      <c r="B984" s="14" t="s">
        <v>469</v>
      </c>
      <c r="C984" s="120"/>
      <c r="D984" s="120"/>
      <c r="E984" s="22" t="s">
        <v>140</v>
      </c>
      <c r="F984" s="12" t="s">
        <v>930</v>
      </c>
      <c r="G984" s="22">
        <f t="shared" si="90"/>
        <v>1</v>
      </c>
      <c r="H984" s="37">
        <v>6</v>
      </c>
    </row>
    <row r="985" spans="1:8" ht="15" customHeight="1" x14ac:dyDescent="0.3">
      <c r="A985" s="36">
        <f t="shared" si="87"/>
        <v>7126</v>
      </c>
      <c r="B985" s="14" t="s">
        <v>470</v>
      </c>
      <c r="C985" s="120"/>
      <c r="D985" s="120"/>
      <c r="E985" s="22" t="s">
        <v>140</v>
      </c>
      <c r="F985" s="12" t="s">
        <v>930</v>
      </c>
      <c r="G985" s="22">
        <f t="shared" si="90"/>
        <v>1</v>
      </c>
      <c r="H985" s="37">
        <v>6</v>
      </c>
    </row>
    <row r="986" spans="1:8" ht="15" customHeight="1" x14ac:dyDescent="0.3">
      <c r="A986" s="36">
        <f t="shared" si="87"/>
        <v>7132</v>
      </c>
      <c r="B986" s="14" t="s">
        <v>471</v>
      </c>
      <c r="C986" s="120"/>
      <c r="D986" s="120"/>
      <c r="E986" s="22" t="s">
        <v>140</v>
      </c>
      <c r="F986" s="12" t="s">
        <v>930</v>
      </c>
      <c r="G986" s="22">
        <f t="shared" si="90"/>
        <v>1</v>
      </c>
      <c r="H986" s="37">
        <v>6</v>
      </c>
    </row>
    <row r="987" spans="1:8" ht="15" customHeight="1" x14ac:dyDescent="0.3">
      <c r="A987" s="36">
        <f t="shared" si="87"/>
        <v>7138</v>
      </c>
      <c r="B987" s="14" t="s">
        <v>472</v>
      </c>
      <c r="C987" s="120"/>
      <c r="D987" s="120"/>
      <c r="E987" s="22" t="s">
        <v>140</v>
      </c>
      <c r="F987" s="12" t="s">
        <v>930</v>
      </c>
      <c r="G987" s="22">
        <f t="shared" si="90"/>
        <v>1</v>
      </c>
      <c r="H987" s="37">
        <v>6</v>
      </c>
    </row>
    <row r="988" spans="1:8" ht="15" customHeight="1" x14ac:dyDescent="0.3">
      <c r="A988" s="36">
        <f t="shared" si="87"/>
        <v>7144</v>
      </c>
      <c r="B988" s="14" t="s">
        <v>473</v>
      </c>
      <c r="C988" s="120"/>
      <c r="D988" s="120"/>
      <c r="E988" s="22" t="s">
        <v>140</v>
      </c>
      <c r="F988" s="12" t="s">
        <v>1076</v>
      </c>
      <c r="G988" s="22">
        <f t="shared" si="90"/>
        <v>1</v>
      </c>
      <c r="H988" s="37">
        <v>6</v>
      </c>
    </row>
    <row r="989" spans="1:8" ht="15" customHeight="1" x14ac:dyDescent="0.3">
      <c r="A989" s="36">
        <f t="shared" si="87"/>
        <v>7150</v>
      </c>
      <c r="B989" s="14" t="s">
        <v>474</v>
      </c>
      <c r="C989" s="120"/>
      <c r="D989" s="120"/>
      <c r="E989" s="22" t="s">
        <v>140</v>
      </c>
      <c r="F989" s="12" t="s">
        <v>930</v>
      </c>
      <c r="G989" s="22">
        <f t="shared" si="90"/>
        <v>1</v>
      </c>
      <c r="H989" s="37">
        <v>6</v>
      </c>
    </row>
    <row r="990" spans="1:8" ht="15" customHeight="1" thickBot="1" x14ac:dyDescent="0.35">
      <c r="A990" s="38">
        <f t="shared" si="87"/>
        <v>7156</v>
      </c>
      <c r="B990" s="60" t="s">
        <v>236</v>
      </c>
      <c r="C990" s="130"/>
      <c r="D990" s="130"/>
      <c r="E990" s="62" t="s">
        <v>140</v>
      </c>
      <c r="F990" s="62"/>
      <c r="G990" s="62">
        <f>IF(OR(E990="U16", E990="S16"),1,IF(E990="TS",6,2))</f>
        <v>1</v>
      </c>
      <c r="H990" s="41">
        <v>4</v>
      </c>
    </row>
    <row r="991" spans="1:8" ht="15" customHeight="1" thickBot="1" x14ac:dyDescent="0.35">
      <c r="A991" s="235" t="s">
        <v>344</v>
      </c>
      <c r="B991" s="236"/>
      <c r="C991" s="236"/>
      <c r="D991" s="236"/>
      <c r="E991" s="236"/>
      <c r="F991" s="236"/>
      <c r="G991" s="236"/>
      <c r="H991" s="237"/>
    </row>
    <row r="992" spans="1:8" ht="15" customHeight="1" x14ac:dyDescent="0.3">
      <c r="A992" s="32">
        <f>A990+(G990*H990)</f>
        <v>7160</v>
      </c>
      <c r="B992" s="57" t="s">
        <v>1038</v>
      </c>
      <c r="C992" s="58"/>
      <c r="D992" s="58"/>
      <c r="E992" s="53" t="s">
        <v>140</v>
      </c>
      <c r="F992" s="53"/>
      <c r="G992" s="53">
        <f>IF(OR(E992="U16", E992="S16"),1,IF(E992="TS",6,2))</f>
        <v>1</v>
      </c>
      <c r="H992" s="35">
        <v>1</v>
      </c>
    </row>
    <row r="993" spans="1:9" ht="15" customHeight="1" x14ac:dyDescent="0.3">
      <c r="A993" s="36">
        <f t="shared" ref="A993:A1028" si="91">A992+(G992*H992)</f>
        <v>7161</v>
      </c>
      <c r="B993" s="14" t="s">
        <v>1037</v>
      </c>
      <c r="C993" s="12" t="s">
        <v>1130</v>
      </c>
      <c r="D993" s="12"/>
      <c r="E993" s="12" t="s">
        <v>140</v>
      </c>
      <c r="F993" s="12" t="s">
        <v>1077</v>
      </c>
      <c r="G993" s="12">
        <f>IF(OR(E993="U16", E993="S16"),1,IF(E993="TS",6,2))</f>
        <v>1</v>
      </c>
      <c r="H993" s="37">
        <v>1</v>
      </c>
    </row>
    <row r="994" spans="1:9" ht="15" customHeight="1" x14ac:dyDescent="0.3">
      <c r="A994" s="36">
        <f t="shared" si="91"/>
        <v>7162</v>
      </c>
      <c r="B994" s="14" t="s">
        <v>1038</v>
      </c>
      <c r="C994" s="12"/>
      <c r="D994" s="12"/>
      <c r="E994" s="12" t="s">
        <v>140</v>
      </c>
      <c r="F994" s="12"/>
      <c r="G994" s="12">
        <f>IF(OR(E994="U16", E994="S16"),1,IF(E994="TS",6,2))</f>
        <v>1</v>
      </c>
      <c r="H994" s="37">
        <v>2</v>
      </c>
    </row>
    <row r="995" spans="1:9" ht="15" customHeight="1" x14ac:dyDescent="0.3">
      <c r="A995" s="36">
        <f t="shared" si="91"/>
        <v>7164</v>
      </c>
      <c r="B995" s="14" t="s">
        <v>1096</v>
      </c>
      <c r="C995" s="12"/>
      <c r="D995" s="12"/>
      <c r="E995" s="12" t="s">
        <v>742</v>
      </c>
      <c r="F995" s="12" t="s">
        <v>1077</v>
      </c>
      <c r="G995" s="12">
        <v>4</v>
      </c>
      <c r="H995" s="37">
        <v>1</v>
      </c>
    </row>
    <row r="996" spans="1:9" ht="15" customHeight="1" x14ac:dyDescent="0.3">
      <c r="A996" s="36">
        <f t="shared" si="91"/>
        <v>7168</v>
      </c>
      <c r="B996" s="14" t="s">
        <v>979</v>
      </c>
      <c r="C996" s="12" t="s">
        <v>1125</v>
      </c>
      <c r="D996" s="12"/>
      <c r="E996" s="12" t="s">
        <v>140</v>
      </c>
      <c r="F996" s="12" t="s">
        <v>1076</v>
      </c>
      <c r="G996" s="12">
        <f>IF(OR(E996="U16", E996="S16"),1,IF(E996="TS",6,2))</f>
        <v>1</v>
      </c>
      <c r="H996" s="37">
        <v>32</v>
      </c>
    </row>
    <row r="997" spans="1:9" ht="15" customHeight="1" x14ac:dyDescent="0.3">
      <c r="A997" s="36">
        <f t="shared" si="91"/>
        <v>7200</v>
      </c>
      <c r="B997" s="14" t="s">
        <v>980</v>
      </c>
      <c r="C997" s="12" t="s">
        <v>1126</v>
      </c>
      <c r="D997" s="12" t="s">
        <v>1196</v>
      </c>
      <c r="E997" s="12" t="s">
        <v>140</v>
      </c>
      <c r="F997" s="12" t="s">
        <v>1079</v>
      </c>
      <c r="G997" s="12">
        <f t="shared" ref="G997:G1026" si="92">IF(OR(E997="U16", E997="S16"),1,IF(E997="TS",6,2))</f>
        <v>1</v>
      </c>
      <c r="H997" s="37">
        <v>32</v>
      </c>
    </row>
    <row r="998" spans="1:9" ht="15" customHeight="1" x14ac:dyDescent="0.3">
      <c r="A998" s="36">
        <f t="shared" si="91"/>
        <v>7232</v>
      </c>
      <c r="B998" s="14" t="s">
        <v>981</v>
      </c>
      <c r="C998" s="12"/>
      <c r="D998" s="12"/>
      <c r="E998" s="12" t="s">
        <v>140</v>
      </c>
      <c r="F998" s="12" t="s">
        <v>930</v>
      </c>
      <c r="G998" s="12">
        <f t="shared" si="92"/>
        <v>1</v>
      </c>
      <c r="H998" s="37">
        <v>32</v>
      </c>
    </row>
    <row r="999" spans="1:9" ht="15" customHeight="1" x14ac:dyDescent="0.3">
      <c r="A999" s="36">
        <f t="shared" si="91"/>
        <v>7264</v>
      </c>
      <c r="B999" s="18" t="s">
        <v>982</v>
      </c>
      <c r="C999" s="174" t="s">
        <v>1184</v>
      </c>
      <c r="D999" s="12"/>
      <c r="E999" s="22" t="s">
        <v>140</v>
      </c>
      <c r="F999" s="22" t="s">
        <v>930</v>
      </c>
      <c r="G999" s="22">
        <f t="shared" si="92"/>
        <v>1</v>
      </c>
      <c r="H999" s="37">
        <v>8</v>
      </c>
    </row>
    <row r="1000" spans="1:9" ht="15" customHeight="1" x14ac:dyDescent="0.3">
      <c r="A1000" s="36">
        <f t="shared" si="91"/>
        <v>7272</v>
      </c>
      <c r="B1000" s="18" t="s">
        <v>983</v>
      </c>
      <c r="C1000" s="12" t="s">
        <v>1127</v>
      </c>
      <c r="D1000" s="12"/>
      <c r="E1000" s="22" t="s">
        <v>140</v>
      </c>
      <c r="F1000" s="22" t="s">
        <v>930</v>
      </c>
      <c r="G1000" s="22">
        <f t="shared" si="92"/>
        <v>1</v>
      </c>
      <c r="H1000" s="37">
        <v>8</v>
      </c>
    </row>
    <row r="1001" spans="1:9" ht="15" customHeight="1" x14ac:dyDescent="0.3">
      <c r="A1001" s="36">
        <f t="shared" si="91"/>
        <v>7280</v>
      </c>
      <c r="B1001" s="18" t="s">
        <v>984</v>
      </c>
      <c r="C1001" s="12" t="s">
        <v>1128</v>
      </c>
      <c r="D1001" s="12" t="s">
        <v>1195</v>
      </c>
      <c r="E1001" s="22" t="s">
        <v>140</v>
      </c>
      <c r="F1001" s="22" t="s">
        <v>930</v>
      </c>
      <c r="G1001" s="22">
        <f t="shared" si="92"/>
        <v>1</v>
      </c>
      <c r="H1001" s="37">
        <v>8</v>
      </c>
    </row>
    <row r="1002" spans="1:9" ht="15" customHeight="1" x14ac:dyDescent="0.3">
      <c r="A1002" s="36">
        <f t="shared" si="91"/>
        <v>7288</v>
      </c>
      <c r="B1002" s="18" t="s">
        <v>985</v>
      </c>
      <c r="C1002" s="12"/>
      <c r="D1002" s="12"/>
      <c r="E1002" s="22" t="s">
        <v>489</v>
      </c>
      <c r="F1002" s="22" t="s">
        <v>930</v>
      </c>
      <c r="G1002" s="22">
        <f t="shared" si="92"/>
        <v>2</v>
      </c>
      <c r="H1002" s="37">
        <v>1</v>
      </c>
    </row>
    <row r="1003" spans="1:9" ht="15" customHeight="1" x14ac:dyDescent="0.3">
      <c r="A1003" s="36">
        <f t="shared" si="91"/>
        <v>7290</v>
      </c>
      <c r="B1003" s="18" t="s">
        <v>986</v>
      </c>
      <c r="C1003" s="12"/>
      <c r="D1003" s="12"/>
      <c r="E1003" s="22" t="s">
        <v>489</v>
      </c>
      <c r="F1003" s="22" t="s">
        <v>930</v>
      </c>
      <c r="G1003" s="22">
        <f t="shared" si="92"/>
        <v>2</v>
      </c>
      <c r="H1003" s="37">
        <v>1</v>
      </c>
      <c r="I1003" s="10" t="s">
        <v>1186</v>
      </c>
    </row>
    <row r="1004" spans="1:9" ht="15" customHeight="1" x14ac:dyDescent="0.3">
      <c r="A1004" s="36">
        <f t="shared" si="91"/>
        <v>7292</v>
      </c>
      <c r="B1004" s="18" t="s">
        <v>987</v>
      </c>
      <c r="C1004" s="12"/>
      <c r="D1004" s="12"/>
      <c r="E1004" s="22" t="s">
        <v>489</v>
      </c>
      <c r="F1004" s="22" t="s">
        <v>930</v>
      </c>
      <c r="G1004" s="22">
        <f t="shared" si="92"/>
        <v>2</v>
      </c>
      <c r="H1004" s="37">
        <v>1</v>
      </c>
    </row>
    <row r="1005" spans="1:9" ht="13.5" customHeight="1" x14ac:dyDescent="0.3">
      <c r="A1005" s="36">
        <f t="shared" si="91"/>
        <v>7294</v>
      </c>
      <c r="B1005" s="18" t="s">
        <v>988</v>
      </c>
      <c r="C1005" s="12"/>
      <c r="D1005" s="12"/>
      <c r="E1005" s="22" t="s">
        <v>489</v>
      </c>
      <c r="F1005" s="22" t="s">
        <v>930</v>
      </c>
      <c r="G1005" s="22">
        <f t="shared" si="92"/>
        <v>2</v>
      </c>
      <c r="H1005" s="37">
        <v>1</v>
      </c>
    </row>
    <row r="1006" spans="1:9" ht="13.5" customHeight="1" x14ac:dyDescent="0.3">
      <c r="A1006" s="36">
        <f t="shared" si="91"/>
        <v>7296</v>
      </c>
      <c r="B1006" s="18" t="s">
        <v>989</v>
      </c>
      <c r="C1006" s="12"/>
      <c r="D1006" s="12"/>
      <c r="E1006" s="22" t="s">
        <v>489</v>
      </c>
      <c r="F1006" s="22" t="s">
        <v>930</v>
      </c>
      <c r="G1006" s="22">
        <f t="shared" si="92"/>
        <v>2</v>
      </c>
      <c r="H1006" s="37">
        <v>1</v>
      </c>
    </row>
    <row r="1007" spans="1:9" ht="15" customHeight="1" x14ac:dyDescent="0.3">
      <c r="A1007" s="36">
        <f t="shared" si="91"/>
        <v>7298</v>
      </c>
      <c r="B1007" s="18" t="s">
        <v>990</v>
      </c>
      <c r="C1007" s="12"/>
      <c r="D1007" s="12"/>
      <c r="E1007" s="22" t="s">
        <v>489</v>
      </c>
      <c r="F1007" s="22" t="s">
        <v>930</v>
      </c>
      <c r="G1007" s="22">
        <f t="shared" si="92"/>
        <v>2</v>
      </c>
      <c r="H1007" s="37">
        <v>1</v>
      </c>
    </row>
    <row r="1008" spans="1:9" ht="15" customHeight="1" x14ac:dyDescent="0.3">
      <c r="A1008" s="36">
        <f t="shared" si="91"/>
        <v>7300</v>
      </c>
      <c r="B1008" s="18" t="s">
        <v>991</v>
      </c>
      <c r="C1008" s="12"/>
      <c r="D1008" s="12"/>
      <c r="E1008" s="22" t="s">
        <v>489</v>
      </c>
      <c r="F1008" s="22" t="s">
        <v>930</v>
      </c>
      <c r="G1008" s="22">
        <f t="shared" si="92"/>
        <v>2</v>
      </c>
      <c r="H1008" s="37">
        <v>1</v>
      </c>
    </row>
    <row r="1009" spans="1:8" ht="13.5" customHeight="1" x14ac:dyDescent="0.3">
      <c r="A1009" s="36">
        <f t="shared" si="91"/>
        <v>7302</v>
      </c>
      <c r="B1009" s="18" t="s">
        <v>992</v>
      </c>
      <c r="C1009" s="12"/>
      <c r="D1009" s="12"/>
      <c r="E1009" s="22" t="s">
        <v>489</v>
      </c>
      <c r="F1009" s="22" t="s">
        <v>930</v>
      </c>
      <c r="G1009" s="22">
        <f t="shared" si="92"/>
        <v>2</v>
      </c>
      <c r="H1009" s="37">
        <v>1</v>
      </c>
    </row>
    <row r="1010" spans="1:8" ht="13.5" customHeight="1" x14ac:dyDescent="0.3">
      <c r="A1010" s="36">
        <f t="shared" si="91"/>
        <v>7304</v>
      </c>
      <c r="B1010" s="18" t="s">
        <v>993</v>
      </c>
      <c r="C1010" s="12"/>
      <c r="D1010" s="12"/>
      <c r="E1010" s="22" t="s">
        <v>57</v>
      </c>
      <c r="F1010" s="22" t="s">
        <v>930</v>
      </c>
      <c r="G1010" s="22">
        <f t="shared" ref="G1010:G1017" si="93">IF(OR(E1010="U16", E1010="S16"),1,IF(E1010="TS",6,2))</f>
        <v>2</v>
      </c>
      <c r="H1010" s="37">
        <v>1</v>
      </c>
    </row>
    <row r="1011" spans="1:8" ht="13.5" customHeight="1" x14ac:dyDescent="0.3">
      <c r="A1011" s="36">
        <f t="shared" si="91"/>
        <v>7306</v>
      </c>
      <c r="B1011" s="18" t="s">
        <v>994</v>
      </c>
      <c r="C1011" s="12"/>
      <c r="D1011" s="12"/>
      <c r="E1011" s="22" t="s">
        <v>57</v>
      </c>
      <c r="F1011" s="22" t="s">
        <v>930</v>
      </c>
      <c r="G1011" s="22">
        <f t="shared" si="93"/>
        <v>2</v>
      </c>
      <c r="H1011" s="37">
        <v>1</v>
      </c>
    </row>
    <row r="1012" spans="1:8" ht="13.5" customHeight="1" x14ac:dyDescent="0.3">
      <c r="A1012" s="36">
        <f t="shared" si="91"/>
        <v>7308</v>
      </c>
      <c r="B1012" s="18" t="s">
        <v>995</v>
      </c>
      <c r="C1012" s="12"/>
      <c r="D1012" s="12"/>
      <c r="E1012" s="22" t="s">
        <v>57</v>
      </c>
      <c r="F1012" s="22" t="s">
        <v>930</v>
      </c>
      <c r="G1012" s="22">
        <f t="shared" si="93"/>
        <v>2</v>
      </c>
      <c r="H1012" s="37">
        <v>1</v>
      </c>
    </row>
    <row r="1013" spans="1:8" ht="13.5" customHeight="1" x14ac:dyDescent="0.3">
      <c r="A1013" s="36">
        <f t="shared" si="91"/>
        <v>7310</v>
      </c>
      <c r="B1013" s="18" t="s">
        <v>996</v>
      </c>
      <c r="C1013" s="12"/>
      <c r="D1013" s="12"/>
      <c r="E1013" s="22" t="s">
        <v>57</v>
      </c>
      <c r="F1013" s="22" t="s">
        <v>930</v>
      </c>
      <c r="G1013" s="22">
        <f t="shared" si="93"/>
        <v>2</v>
      </c>
      <c r="H1013" s="37">
        <v>1</v>
      </c>
    </row>
    <row r="1014" spans="1:8" ht="13.5" customHeight="1" x14ac:dyDescent="0.3">
      <c r="A1014" s="36">
        <f t="shared" si="91"/>
        <v>7312</v>
      </c>
      <c r="B1014" s="18" t="s">
        <v>997</v>
      </c>
      <c r="C1014" s="12"/>
      <c r="D1014" s="12"/>
      <c r="E1014" s="22" t="s">
        <v>57</v>
      </c>
      <c r="F1014" s="22" t="s">
        <v>930</v>
      </c>
      <c r="G1014" s="22">
        <f t="shared" si="93"/>
        <v>2</v>
      </c>
      <c r="H1014" s="37">
        <v>1</v>
      </c>
    </row>
    <row r="1015" spans="1:8" ht="15" customHeight="1" x14ac:dyDescent="0.3">
      <c r="A1015" s="36">
        <f t="shared" si="91"/>
        <v>7314</v>
      </c>
      <c r="B1015" s="18" t="s">
        <v>998</v>
      </c>
      <c r="C1015" s="12"/>
      <c r="D1015" s="12"/>
      <c r="E1015" s="22" t="s">
        <v>57</v>
      </c>
      <c r="F1015" s="22" t="s">
        <v>930</v>
      </c>
      <c r="G1015" s="22">
        <f t="shared" si="93"/>
        <v>2</v>
      </c>
      <c r="H1015" s="37">
        <v>1</v>
      </c>
    </row>
    <row r="1016" spans="1:8" ht="15" customHeight="1" x14ac:dyDescent="0.3">
      <c r="A1016" s="36">
        <f t="shared" si="91"/>
        <v>7316</v>
      </c>
      <c r="B1016" s="18" t="s">
        <v>999</v>
      </c>
      <c r="C1016" s="12"/>
      <c r="D1016" s="12"/>
      <c r="E1016" s="22" t="s">
        <v>57</v>
      </c>
      <c r="F1016" s="22" t="s">
        <v>930</v>
      </c>
      <c r="G1016" s="22">
        <f t="shared" si="93"/>
        <v>2</v>
      </c>
      <c r="H1016" s="37">
        <v>1</v>
      </c>
    </row>
    <row r="1017" spans="1:8" ht="13.5" customHeight="1" x14ac:dyDescent="0.3">
      <c r="A1017" s="36">
        <f t="shared" si="91"/>
        <v>7318</v>
      </c>
      <c r="B1017" s="18" t="s">
        <v>1000</v>
      </c>
      <c r="C1017" s="12"/>
      <c r="D1017" s="12"/>
      <c r="E1017" s="22" t="s">
        <v>57</v>
      </c>
      <c r="F1017" s="22" t="s">
        <v>930</v>
      </c>
      <c r="G1017" s="22">
        <f t="shared" si="93"/>
        <v>2</v>
      </c>
      <c r="H1017" s="37">
        <v>1</v>
      </c>
    </row>
    <row r="1018" spans="1:8" ht="13.5" customHeight="1" x14ac:dyDescent="0.3">
      <c r="A1018" s="36">
        <f t="shared" si="91"/>
        <v>7320</v>
      </c>
      <c r="B1018" s="18" t="s">
        <v>265</v>
      </c>
      <c r="C1018" s="12" t="s">
        <v>1129</v>
      </c>
      <c r="D1018" s="12"/>
      <c r="E1018" s="22" t="s">
        <v>140</v>
      </c>
      <c r="F1018" s="22" t="s">
        <v>930</v>
      </c>
      <c r="G1018" s="22">
        <f t="shared" si="92"/>
        <v>1</v>
      </c>
      <c r="H1018" s="37">
        <v>1</v>
      </c>
    </row>
    <row r="1019" spans="1:8" ht="13.5" customHeight="1" x14ac:dyDescent="0.3">
      <c r="A1019" s="36">
        <f t="shared" si="91"/>
        <v>7321</v>
      </c>
      <c r="B1019" s="18" t="s">
        <v>266</v>
      </c>
      <c r="C1019" s="12"/>
      <c r="D1019" s="12"/>
      <c r="E1019" s="22" t="s">
        <v>140</v>
      </c>
      <c r="F1019" s="22" t="s">
        <v>930</v>
      </c>
      <c r="G1019" s="22">
        <f t="shared" si="92"/>
        <v>1</v>
      </c>
      <c r="H1019" s="37">
        <v>1</v>
      </c>
    </row>
    <row r="1020" spans="1:8" ht="13.5" customHeight="1" x14ac:dyDescent="0.3">
      <c r="A1020" s="36">
        <f t="shared" si="91"/>
        <v>7322</v>
      </c>
      <c r="B1020" s="18" t="s">
        <v>267</v>
      </c>
      <c r="C1020" s="12"/>
      <c r="D1020" s="12"/>
      <c r="E1020" s="22" t="s">
        <v>140</v>
      </c>
      <c r="F1020" s="22" t="s">
        <v>930</v>
      </c>
      <c r="G1020" s="22">
        <f t="shared" si="92"/>
        <v>1</v>
      </c>
      <c r="H1020" s="37">
        <v>1</v>
      </c>
    </row>
    <row r="1021" spans="1:8" ht="13.5" customHeight="1" x14ac:dyDescent="0.3">
      <c r="A1021" s="36">
        <f t="shared" si="91"/>
        <v>7323</v>
      </c>
      <c r="B1021" s="18" t="s">
        <v>268</v>
      </c>
      <c r="C1021" s="12"/>
      <c r="D1021" s="12"/>
      <c r="E1021" s="22" t="s">
        <v>140</v>
      </c>
      <c r="F1021" s="22" t="s">
        <v>930</v>
      </c>
      <c r="G1021" s="22">
        <f t="shared" si="92"/>
        <v>1</v>
      </c>
      <c r="H1021" s="37">
        <v>1</v>
      </c>
    </row>
    <row r="1022" spans="1:8" ht="13.5" customHeight="1" x14ac:dyDescent="0.3">
      <c r="A1022" s="36">
        <f t="shared" si="91"/>
        <v>7324</v>
      </c>
      <c r="B1022" s="18" t="s">
        <v>1001</v>
      </c>
      <c r="C1022" s="12"/>
      <c r="D1022" s="12"/>
      <c r="E1022" s="22" t="s">
        <v>272</v>
      </c>
      <c r="F1022" s="12" t="s">
        <v>930</v>
      </c>
      <c r="G1022" s="22">
        <v>1</v>
      </c>
      <c r="H1022" s="37">
        <v>1</v>
      </c>
    </row>
    <row r="1023" spans="1:8" ht="13.5" customHeight="1" x14ac:dyDescent="0.3">
      <c r="A1023" s="36">
        <f t="shared" si="91"/>
        <v>7325</v>
      </c>
      <c r="B1023" s="18" t="s">
        <v>1002</v>
      </c>
      <c r="C1023" s="12"/>
      <c r="D1023" s="12"/>
      <c r="E1023" s="22" t="s">
        <v>272</v>
      </c>
      <c r="F1023" s="12" t="s">
        <v>1083</v>
      </c>
      <c r="G1023" s="22">
        <v>1</v>
      </c>
      <c r="H1023" s="37">
        <v>1</v>
      </c>
    </row>
    <row r="1024" spans="1:8" ht="13.5" customHeight="1" x14ac:dyDescent="0.3">
      <c r="A1024" s="36">
        <f t="shared" si="91"/>
        <v>7326</v>
      </c>
      <c r="B1024" s="18" t="s">
        <v>1092</v>
      </c>
      <c r="C1024" s="119"/>
      <c r="D1024" s="119"/>
      <c r="E1024" s="22" t="s">
        <v>272</v>
      </c>
      <c r="F1024" s="12" t="s">
        <v>1083</v>
      </c>
      <c r="G1024" s="22">
        <v>1</v>
      </c>
      <c r="H1024" s="37">
        <v>1</v>
      </c>
    </row>
    <row r="1025" spans="1:9" ht="13.5" customHeight="1" x14ac:dyDescent="0.3">
      <c r="A1025" s="36">
        <f t="shared" si="91"/>
        <v>7327</v>
      </c>
      <c r="B1025" s="18" t="s">
        <v>1093</v>
      </c>
      <c r="C1025" s="119"/>
      <c r="D1025" s="119"/>
      <c r="E1025" s="22" t="s">
        <v>272</v>
      </c>
      <c r="F1025" s="12" t="s">
        <v>1083</v>
      </c>
      <c r="G1025" s="22">
        <v>1</v>
      </c>
      <c r="H1025" s="37">
        <v>1</v>
      </c>
    </row>
    <row r="1026" spans="1:9" ht="13.5" customHeight="1" x14ac:dyDescent="0.3">
      <c r="A1026" s="36">
        <f t="shared" si="91"/>
        <v>7328</v>
      </c>
      <c r="B1026" s="18" t="s">
        <v>1003</v>
      </c>
      <c r="C1026" s="12"/>
      <c r="D1026" s="12"/>
      <c r="E1026" s="22" t="s">
        <v>272</v>
      </c>
      <c r="F1026" s="12" t="s">
        <v>930</v>
      </c>
      <c r="G1026" s="22">
        <f t="shared" si="92"/>
        <v>1</v>
      </c>
      <c r="H1026" s="37">
        <v>12</v>
      </c>
    </row>
    <row r="1027" spans="1:9" ht="13.5" customHeight="1" x14ac:dyDescent="0.3">
      <c r="A1027" s="36">
        <f t="shared" si="91"/>
        <v>7340</v>
      </c>
      <c r="B1027" s="18" t="s">
        <v>1107</v>
      </c>
      <c r="C1027" s="12"/>
      <c r="D1027" s="12"/>
      <c r="E1027" s="22" t="s">
        <v>272</v>
      </c>
      <c r="F1027" s="12" t="s">
        <v>1080</v>
      </c>
      <c r="G1027" s="12">
        <v>1</v>
      </c>
      <c r="H1027" s="37">
        <v>4</v>
      </c>
    </row>
    <row r="1028" spans="1:9" ht="13.5" customHeight="1" thickBot="1" x14ac:dyDescent="0.35">
      <c r="A1028" s="146">
        <f t="shared" si="91"/>
        <v>7344</v>
      </c>
      <c r="B1028" s="168" t="s">
        <v>128</v>
      </c>
      <c r="C1028" s="130"/>
      <c r="D1028" s="130"/>
      <c r="E1028" s="160" t="s">
        <v>140</v>
      </c>
      <c r="F1028" s="130" t="s">
        <v>1076</v>
      </c>
      <c r="G1028" s="160">
        <f t="shared" ref="G1028" si="94">IF(OR(E1028="U16", E1028="S16"),1,IF(E1028="TS",6,2))</f>
        <v>1</v>
      </c>
      <c r="H1028" s="150">
        <v>6</v>
      </c>
    </row>
    <row r="1029" spans="1:9" ht="13.5" customHeight="1" thickBot="1" x14ac:dyDescent="0.35">
      <c r="A1029" s="201" t="s">
        <v>325</v>
      </c>
      <c r="B1029" s="202"/>
      <c r="C1029" s="202"/>
      <c r="D1029" s="202"/>
      <c r="E1029" s="202"/>
      <c r="F1029" s="202"/>
      <c r="G1029" s="202"/>
      <c r="H1029" s="203"/>
    </row>
    <row r="1030" spans="1:9" ht="13.5" customHeight="1" x14ac:dyDescent="0.3">
      <c r="A1030" s="32">
        <f>A1028+G1028*H1028</f>
        <v>7350</v>
      </c>
      <c r="B1030" s="158" t="s">
        <v>326</v>
      </c>
      <c r="C1030" s="58"/>
      <c r="D1030" s="58"/>
      <c r="E1030" s="53" t="s">
        <v>140</v>
      </c>
      <c r="F1030" s="53">
        <v>6</v>
      </c>
      <c r="G1030" s="53">
        <f t="shared" ref="G1030:G1043" si="95">IF(OR(E1030="U16", E1030="S16"),1,IF(E1030="TS",6,2))</f>
        <v>1</v>
      </c>
      <c r="H1030" s="35">
        <v>1</v>
      </c>
    </row>
    <row r="1031" spans="1:9" ht="13.5" customHeight="1" x14ac:dyDescent="0.3">
      <c r="A1031" s="36">
        <f t="shared" ref="A1031:A1060" si="96">A1030+(G1030*H1030)</f>
        <v>7351</v>
      </c>
      <c r="B1031" s="21" t="s">
        <v>327</v>
      </c>
      <c r="C1031" s="12"/>
      <c r="D1031" s="12"/>
      <c r="E1031" s="22" t="s">
        <v>140</v>
      </c>
      <c r="F1031" s="22">
        <v>6</v>
      </c>
      <c r="G1031" s="22">
        <f t="shared" si="95"/>
        <v>1</v>
      </c>
      <c r="H1031" s="37">
        <v>1</v>
      </c>
      <c r="I1031" s="10" t="s">
        <v>41</v>
      </c>
    </row>
    <row r="1032" spans="1:9" ht="12.75" customHeight="1" x14ac:dyDescent="0.3">
      <c r="A1032" s="36">
        <f t="shared" si="96"/>
        <v>7352</v>
      </c>
      <c r="B1032" s="29" t="s">
        <v>849</v>
      </c>
      <c r="C1032" s="12"/>
      <c r="D1032" s="12"/>
      <c r="E1032" s="22" t="s">
        <v>140</v>
      </c>
      <c r="F1032" s="22">
        <v>6</v>
      </c>
      <c r="G1032" s="22">
        <f t="shared" si="95"/>
        <v>1</v>
      </c>
      <c r="H1032" s="37">
        <v>1</v>
      </c>
    </row>
    <row r="1033" spans="1:9" ht="13.5" customHeight="1" x14ac:dyDescent="0.3">
      <c r="A1033" s="36">
        <f t="shared" si="96"/>
        <v>7353</v>
      </c>
      <c r="B1033" s="21" t="s">
        <v>362</v>
      </c>
      <c r="C1033" s="12"/>
      <c r="D1033" s="12"/>
      <c r="E1033" s="22" t="s">
        <v>140</v>
      </c>
      <c r="F1033" s="22">
        <v>6</v>
      </c>
      <c r="G1033" s="22">
        <f t="shared" si="95"/>
        <v>1</v>
      </c>
      <c r="H1033" s="37">
        <v>1</v>
      </c>
    </row>
    <row r="1034" spans="1:9" ht="13.5" customHeight="1" x14ac:dyDescent="0.3">
      <c r="A1034" s="36">
        <f t="shared" si="96"/>
        <v>7354</v>
      </c>
      <c r="B1034" s="21" t="s">
        <v>361</v>
      </c>
      <c r="C1034" s="12"/>
      <c r="D1034" s="12"/>
      <c r="E1034" s="22" t="s">
        <v>140</v>
      </c>
      <c r="F1034" s="22">
        <v>6</v>
      </c>
      <c r="G1034" s="22">
        <f t="shared" si="95"/>
        <v>1</v>
      </c>
      <c r="H1034" s="37">
        <v>1</v>
      </c>
      <c r="I1034" s="10" t="s">
        <v>848</v>
      </c>
    </row>
    <row r="1035" spans="1:9" ht="13.5" customHeight="1" x14ac:dyDescent="0.3">
      <c r="A1035" s="36">
        <f t="shared" si="96"/>
        <v>7355</v>
      </c>
      <c r="B1035" s="21" t="s">
        <v>328</v>
      </c>
      <c r="C1035" s="12"/>
      <c r="D1035" s="12"/>
      <c r="E1035" s="22" t="s">
        <v>140</v>
      </c>
      <c r="F1035" s="22">
        <v>6</v>
      </c>
      <c r="G1035" s="22">
        <f t="shared" si="95"/>
        <v>1</v>
      </c>
      <c r="H1035" s="37">
        <v>1</v>
      </c>
      <c r="I1035" s="10" t="s">
        <v>848</v>
      </c>
    </row>
    <row r="1036" spans="1:9" ht="13.5" customHeight="1" x14ac:dyDescent="0.3">
      <c r="A1036" s="36">
        <f t="shared" si="96"/>
        <v>7356</v>
      </c>
      <c r="B1036" s="21" t="s">
        <v>329</v>
      </c>
      <c r="C1036" s="12"/>
      <c r="D1036" s="12"/>
      <c r="E1036" s="22" t="s">
        <v>140</v>
      </c>
      <c r="F1036" s="22">
        <v>6</v>
      </c>
      <c r="G1036" s="22">
        <f t="shared" si="95"/>
        <v>1</v>
      </c>
      <c r="H1036" s="37">
        <v>1</v>
      </c>
    </row>
    <row r="1037" spans="1:9" ht="13.5" customHeight="1" x14ac:dyDescent="0.3">
      <c r="A1037" s="36">
        <f t="shared" si="96"/>
        <v>7357</v>
      </c>
      <c r="B1037" s="21" t="s">
        <v>330</v>
      </c>
      <c r="C1037" s="12"/>
      <c r="D1037" s="12"/>
      <c r="E1037" s="22" t="s">
        <v>140</v>
      </c>
      <c r="F1037" s="22">
        <v>6</v>
      </c>
      <c r="G1037" s="22">
        <f t="shared" si="95"/>
        <v>1</v>
      </c>
      <c r="H1037" s="37">
        <v>1</v>
      </c>
    </row>
    <row r="1038" spans="1:9" ht="13.5" customHeight="1" x14ac:dyDescent="0.3">
      <c r="A1038" s="36">
        <f t="shared" si="96"/>
        <v>7358</v>
      </c>
      <c r="B1038" s="21" t="s">
        <v>331</v>
      </c>
      <c r="C1038" s="12"/>
      <c r="D1038" s="12"/>
      <c r="E1038" s="22" t="s">
        <v>140</v>
      </c>
      <c r="F1038" s="22">
        <v>6</v>
      </c>
      <c r="G1038" s="22">
        <f t="shared" si="95"/>
        <v>1</v>
      </c>
      <c r="H1038" s="37">
        <v>1</v>
      </c>
    </row>
    <row r="1039" spans="1:9" ht="13.5" customHeight="1" x14ac:dyDescent="0.3">
      <c r="A1039" s="36">
        <f t="shared" si="96"/>
        <v>7359</v>
      </c>
      <c r="B1039" s="21" t="s">
        <v>332</v>
      </c>
      <c r="C1039" s="12"/>
      <c r="D1039" s="12"/>
      <c r="E1039" s="22" t="s">
        <v>140</v>
      </c>
      <c r="F1039" s="22">
        <v>6</v>
      </c>
      <c r="G1039" s="22">
        <f t="shared" si="95"/>
        <v>1</v>
      </c>
      <c r="H1039" s="37">
        <v>1</v>
      </c>
    </row>
    <row r="1040" spans="1:9" ht="13.5" customHeight="1" x14ac:dyDescent="0.3">
      <c r="A1040" s="36">
        <f t="shared" si="96"/>
        <v>7360</v>
      </c>
      <c r="B1040" s="21" t="s">
        <v>333</v>
      </c>
      <c r="C1040" s="12"/>
      <c r="D1040" s="12"/>
      <c r="E1040" s="22" t="s">
        <v>140</v>
      </c>
      <c r="F1040" s="22">
        <v>6</v>
      </c>
      <c r="G1040" s="22">
        <f t="shared" si="95"/>
        <v>1</v>
      </c>
      <c r="H1040" s="37">
        <v>1</v>
      </c>
    </row>
    <row r="1041" spans="1:9" ht="13.5" customHeight="1" x14ac:dyDescent="0.3">
      <c r="A1041" s="36">
        <f t="shared" si="96"/>
        <v>7361</v>
      </c>
      <c r="B1041" s="21" t="s">
        <v>847</v>
      </c>
      <c r="C1041" s="12"/>
      <c r="D1041" s="12"/>
      <c r="E1041" s="22" t="s">
        <v>140</v>
      </c>
      <c r="F1041" s="22">
        <v>6</v>
      </c>
      <c r="G1041" s="22">
        <f t="shared" si="95"/>
        <v>1</v>
      </c>
      <c r="H1041" s="37">
        <v>1</v>
      </c>
    </row>
    <row r="1042" spans="1:9" ht="13.5" customHeight="1" x14ac:dyDescent="0.3">
      <c r="A1042" s="36">
        <f t="shared" si="96"/>
        <v>7362</v>
      </c>
      <c r="B1042" s="89" t="s">
        <v>1176</v>
      </c>
      <c r="C1042" s="12"/>
      <c r="D1042" s="12"/>
      <c r="E1042" s="22" t="s">
        <v>140</v>
      </c>
      <c r="F1042" s="22">
        <v>6</v>
      </c>
      <c r="G1042" s="22">
        <f t="shared" si="95"/>
        <v>1</v>
      </c>
      <c r="H1042" s="37">
        <v>1</v>
      </c>
    </row>
    <row r="1043" spans="1:9" ht="13.5" customHeight="1" x14ac:dyDescent="0.3">
      <c r="A1043" s="36">
        <f t="shared" si="96"/>
        <v>7363</v>
      </c>
      <c r="B1043" s="14" t="s">
        <v>913</v>
      </c>
      <c r="C1043" s="12"/>
      <c r="D1043" s="12"/>
      <c r="E1043" s="12" t="s">
        <v>140</v>
      </c>
      <c r="F1043" s="22">
        <v>6</v>
      </c>
      <c r="G1043" s="12">
        <f t="shared" si="95"/>
        <v>1</v>
      </c>
      <c r="H1043" s="37">
        <v>1</v>
      </c>
    </row>
    <row r="1044" spans="1:9" ht="13.5" customHeight="1" x14ac:dyDescent="0.3">
      <c r="A1044" s="36">
        <f t="shared" si="96"/>
        <v>7364</v>
      </c>
      <c r="B1044" s="178" t="s">
        <v>1173</v>
      </c>
      <c r="C1044" s="12"/>
      <c r="D1044" s="12"/>
      <c r="E1044" s="12" t="s">
        <v>140</v>
      </c>
      <c r="F1044" s="22">
        <v>6</v>
      </c>
      <c r="G1044" s="12">
        <f t="shared" ref="G1044:G1045" si="97">IF(OR(E1044="U16", E1044="S16"),1,IF(E1044="TS",6,2))</f>
        <v>1</v>
      </c>
      <c r="H1044" s="37">
        <v>1</v>
      </c>
    </row>
    <row r="1045" spans="1:9" ht="13.5" customHeight="1" x14ac:dyDescent="0.3">
      <c r="A1045" s="36">
        <f t="shared" si="96"/>
        <v>7365</v>
      </c>
      <c r="B1045" s="178" t="s">
        <v>1177</v>
      </c>
      <c r="C1045" s="12"/>
      <c r="D1045" s="12"/>
      <c r="E1045" s="12" t="s">
        <v>140</v>
      </c>
      <c r="F1045" s="22">
        <v>6</v>
      </c>
      <c r="G1045" s="12">
        <f t="shared" si="97"/>
        <v>1</v>
      </c>
      <c r="H1045" s="37">
        <v>1</v>
      </c>
    </row>
    <row r="1046" spans="1:9" ht="13.5" customHeight="1" x14ac:dyDescent="0.3">
      <c r="A1046" s="36">
        <f t="shared" si="96"/>
        <v>7366</v>
      </c>
      <c r="B1046" s="178" t="s">
        <v>1216</v>
      </c>
      <c r="C1046" s="12"/>
      <c r="D1046" s="12"/>
      <c r="E1046" s="12" t="s">
        <v>140</v>
      </c>
      <c r="F1046" s="22">
        <v>6</v>
      </c>
      <c r="G1046" s="12">
        <f t="shared" ref="G1046" si="98">IF(OR(E1046="U16", E1046="S16"),1,IF(E1046="TS",6,2))</f>
        <v>1</v>
      </c>
      <c r="H1046" s="37">
        <v>1</v>
      </c>
      <c r="I1046" s="10" t="s">
        <v>1187</v>
      </c>
    </row>
    <row r="1047" spans="1:9" ht="13.5" customHeight="1" x14ac:dyDescent="0.3">
      <c r="A1047" s="36">
        <f t="shared" si="96"/>
        <v>7367</v>
      </c>
      <c r="B1047" s="14" t="s">
        <v>1097</v>
      </c>
      <c r="C1047" s="12"/>
      <c r="D1047" s="12"/>
      <c r="E1047" s="12" t="s">
        <v>140</v>
      </c>
      <c r="F1047" s="22">
        <v>6</v>
      </c>
      <c r="G1047" s="12">
        <f t="shared" ref="G1047:G1057" si="99">IF(OR(E1047="U16", E1047="S16"),1,IF(E1047="TS",6,2))</f>
        <v>1</v>
      </c>
      <c r="H1047" s="37">
        <v>1</v>
      </c>
    </row>
    <row r="1048" spans="1:9" ht="13.5" customHeight="1" x14ac:dyDescent="0.3">
      <c r="A1048" s="36">
        <f t="shared" si="96"/>
        <v>7368</v>
      </c>
      <c r="B1048" s="12"/>
      <c r="C1048" s="12"/>
      <c r="D1048" s="12"/>
      <c r="E1048" s="12" t="s">
        <v>140</v>
      </c>
      <c r="F1048" s="22">
        <v>6</v>
      </c>
      <c r="G1048" s="12">
        <f t="shared" si="99"/>
        <v>1</v>
      </c>
      <c r="H1048" s="37">
        <v>1</v>
      </c>
    </row>
    <row r="1049" spans="1:9" ht="13.5" customHeight="1" x14ac:dyDescent="0.3">
      <c r="A1049" s="36">
        <f t="shared" si="96"/>
        <v>7369</v>
      </c>
      <c r="C1049" s="12"/>
      <c r="D1049" s="12"/>
      <c r="E1049" s="12" t="s">
        <v>140</v>
      </c>
      <c r="F1049" s="22">
        <v>6</v>
      </c>
      <c r="G1049" s="12">
        <f t="shared" si="99"/>
        <v>1</v>
      </c>
      <c r="H1049" s="37">
        <v>1</v>
      </c>
    </row>
    <row r="1050" spans="1:9" ht="13.5" customHeight="1" x14ac:dyDescent="0.3">
      <c r="A1050" s="36">
        <f t="shared" si="96"/>
        <v>7370</v>
      </c>
      <c r="B1050" s="14" t="s">
        <v>1237</v>
      </c>
      <c r="C1050" s="12" t="s">
        <v>1273</v>
      </c>
      <c r="D1050" s="12"/>
      <c r="E1050" s="12" t="s">
        <v>140</v>
      </c>
      <c r="F1050" s="22">
        <v>6</v>
      </c>
      <c r="G1050" s="12">
        <f t="shared" si="99"/>
        <v>1</v>
      </c>
      <c r="H1050" s="37">
        <v>1</v>
      </c>
      <c r="I1050" s="246">
        <v>45733</v>
      </c>
    </row>
    <row r="1051" spans="1:9" ht="13.5" customHeight="1" x14ac:dyDescent="0.3">
      <c r="A1051" s="36">
        <f t="shared" si="96"/>
        <v>7371</v>
      </c>
      <c r="B1051" s="15" t="s">
        <v>1238</v>
      </c>
      <c r="C1051" s="12" t="s">
        <v>1273</v>
      </c>
      <c r="D1051" s="12"/>
      <c r="E1051" s="12" t="s">
        <v>140</v>
      </c>
      <c r="F1051" s="22">
        <v>6</v>
      </c>
      <c r="G1051" s="12">
        <f t="shared" si="99"/>
        <v>1</v>
      </c>
      <c r="H1051" s="37">
        <v>1</v>
      </c>
      <c r="I1051" s="246">
        <v>45733</v>
      </c>
    </row>
    <row r="1052" spans="1:9" ht="13.5" customHeight="1" x14ac:dyDescent="0.3">
      <c r="A1052" s="36">
        <f t="shared" si="96"/>
        <v>7372</v>
      </c>
      <c r="B1052" s="14" t="s">
        <v>1272</v>
      </c>
      <c r="C1052" s="12" t="s">
        <v>1273</v>
      </c>
      <c r="D1052" s="12"/>
      <c r="E1052" s="12" t="s">
        <v>140</v>
      </c>
      <c r="F1052" s="22">
        <v>6</v>
      </c>
      <c r="G1052" s="12">
        <f t="shared" si="99"/>
        <v>1</v>
      </c>
      <c r="H1052" s="37">
        <v>1</v>
      </c>
      <c r="I1052" s="246">
        <v>45733</v>
      </c>
    </row>
    <row r="1053" spans="1:9" ht="13.5" customHeight="1" x14ac:dyDescent="0.3">
      <c r="A1053" s="36">
        <f t="shared" si="96"/>
        <v>7373</v>
      </c>
      <c r="B1053" s="14"/>
      <c r="C1053" s="12"/>
      <c r="D1053" s="12"/>
      <c r="E1053" s="12" t="s">
        <v>140</v>
      </c>
      <c r="F1053" s="22">
        <v>6</v>
      </c>
      <c r="G1053" s="12">
        <f t="shared" si="99"/>
        <v>1</v>
      </c>
      <c r="H1053" s="37">
        <v>1</v>
      </c>
    </row>
    <row r="1054" spans="1:9" ht="13.5" customHeight="1" x14ac:dyDescent="0.3">
      <c r="A1054" s="36">
        <f t="shared" si="96"/>
        <v>7374</v>
      </c>
      <c r="B1054" s="14"/>
      <c r="C1054" s="12"/>
      <c r="D1054" s="12"/>
      <c r="E1054" s="12" t="s">
        <v>140</v>
      </c>
      <c r="F1054" s="22">
        <v>6</v>
      </c>
      <c r="G1054" s="12">
        <f t="shared" si="99"/>
        <v>1</v>
      </c>
      <c r="H1054" s="37">
        <v>1</v>
      </c>
    </row>
    <row r="1055" spans="1:9" ht="13.5" customHeight="1" x14ac:dyDescent="0.3">
      <c r="A1055" s="36">
        <f t="shared" si="96"/>
        <v>7375</v>
      </c>
      <c r="B1055" s="14"/>
      <c r="C1055" s="12"/>
      <c r="D1055" s="12"/>
      <c r="E1055" s="12" t="s">
        <v>140</v>
      </c>
      <c r="F1055" s="22">
        <v>6</v>
      </c>
      <c r="G1055" s="12">
        <f t="shared" si="99"/>
        <v>1</v>
      </c>
      <c r="H1055" s="37">
        <v>1</v>
      </c>
    </row>
    <row r="1056" spans="1:9" ht="13.5" customHeight="1" x14ac:dyDescent="0.3">
      <c r="A1056" s="36">
        <f t="shared" si="96"/>
        <v>7376</v>
      </c>
      <c r="B1056" s="14"/>
      <c r="C1056" s="12"/>
      <c r="D1056" s="12"/>
      <c r="E1056" s="12" t="s">
        <v>140</v>
      </c>
      <c r="F1056" s="22">
        <v>6</v>
      </c>
      <c r="G1056" s="12">
        <f t="shared" si="99"/>
        <v>1</v>
      </c>
      <c r="H1056" s="37">
        <v>1</v>
      </c>
    </row>
    <row r="1057" spans="1:9" ht="13.5" customHeight="1" x14ac:dyDescent="0.3">
      <c r="A1057" s="36">
        <f t="shared" si="96"/>
        <v>7377</v>
      </c>
      <c r="B1057" s="14"/>
      <c r="C1057" s="12"/>
      <c r="D1057" s="12"/>
      <c r="E1057" s="12" t="s">
        <v>140</v>
      </c>
      <c r="F1057" s="22">
        <v>6</v>
      </c>
      <c r="G1057" s="12">
        <f t="shared" si="99"/>
        <v>1</v>
      </c>
      <c r="H1057" s="37">
        <v>1</v>
      </c>
    </row>
    <row r="1058" spans="1:9" ht="13.5" customHeight="1" x14ac:dyDescent="0.3">
      <c r="A1058" s="36">
        <f t="shared" si="96"/>
        <v>7378</v>
      </c>
      <c r="B1058" s="14"/>
      <c r="C1058" s="12"/>
      <c r="D1058" s="12"/>
      <c r="E1058" s="12" t="s">
        <v>140</v>
      </c>
      <c r="F1058" s="22">
        <v>6</v>
      </c>
      <c r="G1058" s="12">
        <f t="shared" ref="G1058:G1060" si="100">IF(OR(E1058="U16", E1058="S16"),1,IF(E1058="TS",6,2))</f>
        <v>1</v>
      </c>
      <c r="H1058" s="37">
        <v>1</v>
      </c>
    </row>
    <row r="1059" spans="1:9" ht="13.5" customHeight="1" x14ac:dyDescent="0.3">
      <c r="A1059" s="36">
        <f t="shared" si="96"/>
        <v>7379</v>
      </c>
      <c r="B1059" s="14"/>
      <c r="C1059" s="12"/>
      <c r="D1059" s="12"/>
      <c r="E1059" s="12" t="s">
        <v>140</v>
      </c>
      <c r="F1059" s="22">
        <v>6</v>
      </c>
      <c r="G1059" s="12">
        <f t="shared" si="100"/>
        <v>1</v>
      </c>
      <c r="H1059" s="37">
        <v>1</v>
      </c>
    </row>
    <row r="1060" spans="1:9" ht="13.5" customHeight="1" thickBot="1" x14ac:dyDescent="0.35">
      <c r="A1060" s="38">
        <f t="shared" si="96"/>
        <v>7380</v>
      </c>
      <c r="B1060" s="60"/>
      <c r="C1060" s="61"/>
      <c r="D1060" s="61"/>
      <c r="E1060" s="61" t="s">
        <v>140</v>
      </c>
      <c r="F1060" s="62">
        <v>6</v>
      </c>
      <c r="G1060" s="61">
        <f t="shared" si="100"/>
        <v>1</v>
      </c>
      <c r="H1060" s="41">
        <v>20</v>
      </c>
    </row>
    <row r="1061" spans="1:9" ht="13.5" customHeight="1" thickBot="1" x14ac:dyDescent="0.35">
      <c r="A1061" s="232" t="s">
        <v>1100</v>
      </c>
      <c r="B1061" s="233"/>
      <c r="C1061" s="233"/>
      <c r="D1061" s="233"/>
      <c r="E1061" s="233"/>
      <c r="F1061" s="233"/>
      <c r="G1061" s="233"/>
      <c r="H1061" s="234"/>
      <c r="I1061" s="10" t="s">
        <v>1188</v>
      </c>
    </row>
    <row r="1062" spans="1:9" ht="13.5" customHeight="1" x14ac:dyDescent="0.3">
      <c r="A1062" s="32">
        <f>A1060+G1060*H1060</f>
        <v>7400</v>
      </c>
      <c r="B1062" s="158" t="s">
        <v>496</v>
      </c>
      <c r="C1062" s="58"/>
      <c r="D1062" s="58"/>
      <c r="E1062" s="53" t="s">
        <v>140</v>
      </c>
      <c r="F1062" s="53">
        <v>3</v>
      </c>
      <c r="G1062" s="53">
        <f t="shared" ref="G1062:G1074" si="101">IF(OR(E1062="U16", E1062="S16"),1,IF(E1062="TS",6,2))</f>
        <v>1</v>
      </c>
      <c r="H1062" s="35">
        <v>1</v>
      </c>
      <c r="I1062" s="10" t="s">
        <v>1189</v>
      </c>
    </row>
    <row r="1063" spans="1:9" ht="13.5" customHeight="1" x14ac:dyDescent="0.3">
      <c r="A1063" s="36">
        <f t="shared" ref="A1063:A1108" si="102">A1062+(G1062*H1062)</f>
        <v>7401</v>
      </c>
      <c r="B1063" s="21" t="s">
        <v>497</v>
      </c>
      <c r="C1063" s="12"/>
      <c r="D1063" s="12"/>
      <c r="E1063" s="22" t="s">
        <v>1098</v>
      </c>
      <c r="F1063" s="22">
        <v>3</v>
      </c>
      <c r="G1063" s="22">
        <f t="shared" si="101"/>
        <v>1</v>
      </c>
      <c r="H1063" s="37">
        <v>1</v>
      </c>
      <c r="I1063" s="10" t="s">
        <v>1211</v>
      </c>
    </row>
    <row r="1064" spans="1:9" ht="13.5" customHeight="1" x14ac:dyDescent="0.3">
      <c r="A1064" s="36">
        <f t="shared" si="102"/>
        <v>7402</v>
      </c>
      <c r="B1064" s="29" t="s">
        <v>1101</v>
      </c>
      <c r="C1064" s="12"/>
      <c r="D1064" s="12"/>
      <c r="E1064" s="22" t="s">
        <v>1098</v>
      </c>
      <c r="F1064" s="22">
        <v>3</v>
      </c>
      <c r="G1064" s="22">
        <f t="shared" si="101"/>
        <v>1</v>
      </c>
      <c r="H1064" s="37">
        <v>1</v>
      </c>
    </row>
    <row r="1065" spans="1:9" ht="13.5" customHeight="1" x14ac:dyDescent="0.3">
      <c r="A1065" s="36">
        <f t="shared" si="102"/>
        <v>7403</v>
      </c>
      <c r="B1065" s="21" t="s">
        <v>235</v>
      </c>
      <c r="C1065" s="12"/>
      <c r="D1065" s="12"/>
      <c r="E1065" s="22" t="s">
        <v>1098</v>
      </c>
      <c r="F1065" s="22">
        <v>3</v>
      </c>
      <c r="G1065" s="22">
        <f t="shared" si="101"/>
        <v>1</v>
      </c>
      <c r="H1065" s="37">
        <v>1</v>
      </c>
    </row>
    <row r="1066" spans="1:9" ht="13.5" customHeight="1" x14ac:dyDescent="0.3">
      <c r="A1066" s="36">
        <f t="shared" si="102"/>
        <v>7404</v>
      </c>
      <c r="B1066" s="229" t="s">
        <v>1122</v>
      </c>
      <c r="C1066" s="4" t="s">
        <v>1102</v>
      </c>
      <c r="D1066" s="12"/>
      <c r="E1066" s="12" t="s">
        <v>1099</v>
      </c>
      <c r="F1066" s="12">
        <v>3</v>
      </c>
      <c r="G1066" s="12">
        <f t="shared" si="101"/>
        <v>2</v>
      </c>
      <c r="H1066" s="37">
        <v>1</v>
      </c>
    </row>
    <row r="1067" spans="1:9" ht="13.5" customHeight="1" x14ac:dyDescent="0.3">
      <c r="A1067" s="36">
        <f t="shared" si="102"/>
        <v>7406</v>
      </c>
      <c r="B1067" s="230"/>
      <c r="C1067" s="4" t="s">
        <v>568</v>
      </c>
      <c r="D1067" s="12"/>
      <c r="E1067" s="12" t="s">
        <v>1098</v>
      </c>
      <c r="F1067" s="12">
        <v>3</v>
      </c>
      <c r="G1067" s="12">
        <f t="shared" si="101"/>
        <v>1</v>
      </c>
      <c r="H1067" s="37">
        <v>1</v>
      </c>
    </row>
    <row r="1068" spans="1:9" ht="13.5" customHeight="1" x14ac:dyDescent="0.3">
      <c r="A1068" s="36">
        <f t="shared" si="102"/>
        <v>7407</v>
      </c>
      <c r="B1068" s="230"/>
      <c r="C1068" s="4" t="s">
        <v>569</v>
      </c>
      <c r="D1068" s="12"/>
      <c r="E1068" s="12" t="s">
        <v>1098</v>
      </c>
      <c r="F1068" s="12">
        <v>3</v>
      </c>
      <c r="G1068" s="12">
        <f t="shared" si="101"/>
        <v>1</v>
      </c>
      <c r="H1068" s="37">
        <v>1</v>
      </c>
    </row>
    <row r="1069" spans="1:9" ht="13.5" customHeight="1" x14ac:dyDescent="0.3">
      <c r="A1069" s="36">
        <f t="shared" si="102"/>
        <v>7408</v>
      </c>
      <c r="B1069" s="230"/>
      <c r="C1069" s="4" t="s">
        <v>1103</v>
      </c>
      <c r="D1069" s="14" t="s">
        <v>1106</v>
      </c>
      <c r="E1069" s="12" t="s">
        <v>1098</v>
      </c>
      <c r="F1069" s="12">
        <v>3</v>
      </c>
      <c r="G1069" s="12">
        <f t="shared" si="101"/>
        <v>1</v>
      </c>
      <c r="H1069" s="37">
        <v>1</v>
      </c>
    </row>
    <row r="1070" spans="1:9" ht="13.5" customHeight="1" x14ac:dyDescent="0.3">
      <c r="A1070" s="36">
        <f t="shared" si="102"/>
        <v>7409</v>
      </c>
      <c r="B1070" s="230"/>
      <c r="C1070" s="4" t="s">
        <v>566</v>
      </c>
      <c r="D1070" s="12"/>
      <c r="E1070" s="12" t="s">
        <v>1105</v>
      </c>
      <c r="F1070" s="12">
        <v>3</v>
      </c>
      <c r="G1070" s="12">
        <f t="shared" si="101"/>
        <v>1</v>
      </c>
      <c r="H1070" s="37">
        <v>1</v>
      </c>
    </row>
    <row r="1071" spans="1:9" ht="13.5" customHeight="1" x14ac:dyDescent="0.3">
      <c r="A1071" s="36">
        <f t="shared" si="102"/>
        <v>7410</v>
      </c>
      <c r="B1071" s="230"/>
      <c r="C1071" s="4" t="s">
        <v>567</v>
      </c>
      <c r="D1071" s="12"/>
      <c r="E1071" s="12" t="s">
        <v>532</v>
      </c>
      <c r="F1071" s="12">
        <v>3</v>
      </c>
      <c r="G1071" s="12">
        <f t="shared" si="101"/>
        <v>2</v>
      </c>
      <c r="H1071" s="37">
        <v>1</v>
      </c>
    </row>
    <row r="1072" spans="1:9" ht="13.5" customHeight="1" x14ac:dyDescent="0.3">
      <c r="A1072" s="36">
        <f t="shared" si="102"/>
        <v>7412</v>
      </c>
      <c r="B1072" s="230"/>
      <c r="C1072" s="169" t="s">
        <v>365</v>
      </c>
      <c r="D1072" s="12"/>
      <c r="E1072" s="12" t="s">
        <v>532</v>
      </c>
      <c r="F1072" s="12">
        <v>3</v>
      </c>
      <c r="G1072" s="12">
        <f t="shared" si="101"/>
        <v>2</v>
      </c>
      <c r="H1072" s="37">
        <v>1</v>
      </c>
    </row>
    <row r="1073" spans="1:9" ht="13.5" customHeight="1" x14ac:dyDescent="0.3">
      <c r="A1073" s="36">
        <f t="shared" si="102"/>
        <v>7414</v>
      </c>
      <c r="B1073" s="230"/>
      <c r="C1073" s="169" t="s">
        <v>366</v>
      </c>
      <c r="D1073" s="12"/>
      <c r="E1073" s="12" t="s">
        <v>532</v>
      </c>
      <c r="F1073" s="12">
        <v>3</v>
      </c>
      <c r="G1073" s="12">
        <f t="shared" si="101"/>
        <v>2</v>
      </c>
      <c r="H1073" s="37">
        <v>1</v>
      </c>
    </row>
    <row r="1074" spans="1:9" ht="13.5" customHeight="1" thickBot="1" x14ac:dyDescent="0.35">
      <c r="A1074" s="38">
        <f t="shared" si="102"/>
        <v>7416</v>
      </c>
      <c r="B1074" s="231"/>
      <c r="C1074" s="189" t="s">
        <v>1104</v>
      </c>
      <c r="D1074" s="61"/>
      <c r="E1074" s="61" t="s">
        <v>532</v>
      </c>
      <c r="F1074" s="61">
        <v>3</v>
      </c>
      <c r="G1074" s="61">
        <f t="shared" si="101"/>
        <v>2</v>
      </c>
      <c r="H1074" s="41">
        <v>1</v>
      </c>
    </row>
    <row r="1075" spans="1:9" ht="13.5" customHeight="1" x14ac:dyDescent="0.3">
      <c r="A1075" s="32">
        <f t="shared" si="102"/>
        <v>7418</v>
      </c>
      <c r="B1075" s="57" t="s">
        <v>1241</v>
      </c>
      <c r="C1075" s="58"/>
      <c r="D1075" s="58"/>
      <c r="E1075" s="58" t="s">
        <v>140</v>
      </c>
      <c r="F1075" s="53">
        <v>3</v>
      </c>
      <c r="G1075" s="58">
        <v>1</v>
      </c>
      <c r="H1075" s="35">
        <v>14</v>
      </c>
      <c r="I1075" s="246">
        <v>45733</v>
      </c>
    </row>
    <row r="1076" spans="1:9" ht="13.5" customHeight="1" x14ac:dyDescent="0.3">
      <c r="A1076" s="36">
        <f t="shared" si="102"/>
        <v>7432</v>
      </c>
      <c r="B1076" s="14" t="s">
        <v>1242</v>
      </c>
      <c r="C1076" s="12"/>
      <c r="D1076" s="12"/>
      <c r="E1076" s="12" t="s">
        <v>140</v>
      </c>
      <c r="F1076" s="22">
        <v>3</v>
      </c>
      <c r="G1076" s="12">
        <v>1</v>
      </c>
      <c r="H1076" s="37">
        <v>14</v>
      </c>
    </row>
    <row r="1077" spans="1:9" ht="13.5" customHeight="1" x14ac:dyDescent="0.3">
      <c r="A1077" s="36">
        <f t="shared" si="102"/>
        <v>7446</v>
      </c>
      <c r="B1077" s="14" t="s">
        <v>1243</v>
      </c>
      <c r="C1077" s="12"/>
      <c r="D1077" s="12"/>
      <c r="E1077" s="12" t="s">
        <v>140</v>
      </c>
      <c r="F1077" s="22">
        <v>3</v>
      </c>
      <c r="G1077" s="12">
        <v>1</v>
      </c>
      <c r="H1077" s="37">
        <v>14</v>
      </c>
    </row>
    <row r="1078" spans="1:9" ht="13.5" customHeight="1" x14ac:dyDescent="0.3">
      <c r="A1078" s="36">
        <f t="shared" si="102"/>
        <v>7460</v>
      </c>
      <c r="B1078" s="14" t="s">
        <v>1244</v>
      </c>
      <c r="C1078" s="12"/>
      <c r="D1078" s="12"/>
      <c r="E1078" s="12" t="s">
        <v>140</v>
      </c>
      <c r="F1078" s="22">
        <v>3</v>
      </c>
      <c r="G1078" s="12">
        <v>1</v>
      </c>
      <c r="H1078" s="37">
        <v>14</v>
      </c>
    </row>
    <row r="1079" spans="1:9" ht="13.5" customHeight="1" x14ac:dyDescent="0.3">
      <c r="A1079" s="36">
        <f t="shared" si="102"/>
        <v>7474</v>
      </c>
      <c r="B1079" s="14" t="s">
        <v>1245</v>
      </c>
      <c r="C1079" s="12"/>
      <c r="D1079" s="12"/>
      <c r="E1079" s="12" t="s">
        <v>140</v>
      </c>
      <c r="F1079" s="22">
        <v>3</v>
      </c>
      <c r="G1079" s="12">
        <v>1</v>
      </c>
      <c r="H1079" s="37">
        <v>14</v>
      </c>
    </row>
    <row r="1080" spans="1:9" ht="13.5" customHeight="1" x14ac:dyDescent="0.3">
      <c r="A1080" s="36">
        <f t="shared" si="102"/>
        <v>7488</v>
      </c>
      <c r="B1080" s="14" t="s">
        <v>1246</v>
      </c>
      <c r="C1080" s="12"/>
      <c r="D1080" s="12"/>
      <c r="E1080" s="12" t="s">
        <v>140</v>
      </c>
      <c r="F1080" s="22">
        <v>3</v>
      </c>
      <c r="G1080" s="12">
        <v>1</v>
      </c>
      <c r="H1080" s="37">
        <v>14</v>
      </c>
    </row>
    <row r="1081" spans="1:9" ht="13.5" customHeight="1" x14ac:dyDescent="0.3">
      <c r="A1081" s="36">
        <f t="shared" si="102"/>
        <v>7502</v>
      </c>
      <c r="B1081" s="14" t="s">
        <v>1247</v>
      </c>
      <c r="C1081" s="12"/>
      <c r="D1081" s="12"/>
      <c r="E1081" s="12" t="s">
        <v>140</v>
      </c>
      <c r="F1081" s="22">
        <v>3</v>
      </c>
      <c r="G1081" s="12">
        <v>1</v>
      </c>
      <c r="H1081" s="37">
        <v>14</v>
      </c>
    </row>
    <row r="1082" spans="1:9" ht="13.5" customHeight="1" x14ac:dyDescent="0.3">
      <c r="A1082" s="36">
        <f t="shared" si="102"/>
        <v>7516</v>
      </c>
      <c r="B1082" s="14" t="s">
        <v>1248</v>
      </c>
      <c r="C1082" s="12"/>
      <c r="D1082" s="12"/>
      <c r="E1082" s="12" t="s">
        <v>140</v>
      </c>
      <c r="F1082" s="22">
        <v>3</v>
      </c>
      <c r="G1082" s="12">
        <v>1</v>
      </c>
      <c r="H1082" s="37">
        <v>14</v>
      </c>
    </row>
    <row r="1083" spans="1:9" ht="13.5" customHeight="1" x14ac:dyDescent="0.3">
      <c r="A1083" s="36">
        <f t="shared" si="102"/>
        <v>7530</v>
      </c>
      <c r="B1083" s="14" t="s">
        <v>1249</v>
      </c>
      <c r="C1083" s="12"/>
      <c r="D1083" s="12"/>
      <c r="E1083" s="12" t="s">
        <v>140</v>
      </c>
      <c r="F1083" s="22">
        <v>3</v>
      </c>
      <c r="G1083" s="12">
        <v>1</v>
      </c>
      <c r="H1083" s="37">
        <v>14</v>
      </c>
    </row>
    <row r="1084" spans="1:9" ht="13.5" customHeight="1" x14ac:dyDescent="0.3">
      <c r="A1084" s="36">
        <f t="shared" si="102"/>
        <v>7544</v>
      </c>
      <c r="B1084" s="14" t="s">
        <v>1250</v>
      </c>
      <c r="C1084" s="12"/>
      <c r="D1084" s="12"/>
      <c r="E1084" s="12" t="s">
        <v>140</v>
      </c>
      <c r="F1084" s="22">
        <v>3</v>
      </c>
      <c r="G1084" s="12">
        <v>1</v>
      </c>
      <c r="H1084" s="37">
        <v>14</v>
      </c>
    </row>
    <row r="1085" spans="1:9" ht="13.5" customHeight="1" x14ac:dyDescent="0.3">
      <c r="A1085" s="36">
        <f t="shared" si="102"/>
        <v>7558</v>
      </c>
      <c r="B1085" s="14" t="s">
        <v>1251</v>
      </c>
      <c r="C1085" s="12"/>
      <c r="D1085" s="12"/>
      <c r="E1085" s="12" t="s">
        <v>140</v>
      </c>
      <c r="F1085" s="22">
        <v>3</v>
      </c>
      <c r="G1085" s="12">
        <v>1</v>
      </c>
      <c r="H1085" s="37">
        <v>14</v>
      </c>
    </row>
    <row r="1086" spans="1:9" ht="13.5" customHeight="1" x14ac:dyDescent="0.3">
      <c r="A1086" s="36">
        <f t="shared" si="102"/>
        <v>7572</v>
      </c>
      <c r="B1086" s="14" t="s">
        <v>1252</v>
      </c>
      <c r="C1086" s="12"/>
      <c r="D1086" s="12"/>
      <c r="E1086" s="12" t="s">
        <v>140</v>
      </c>
      <c r="F1086" s="22">
        <v>3</v>
      </c>
      <c r="G1086" s="12">
        <v>1</v>
      </c>
      <c r="H1086" s="37">
        <v>14</v>
      </c>
    </row>
    <row r="1087" spans="1:9" ht="13.5" customHeight="1" x14ac:dyDescent="0.3">
      <c r="A1087" s="36">
        <f t="shared" si="102"/>
        <v>7586</v>
      </c>
      <c r="B1087" s="14" t="s">
        <v>1253</v>
      </c>
      <c r="C1087" s="12"/>
      <c r="D1087" s="12"/>
      <c r="E1087" s="12" t="s">
        <v>140</v>
      </c>
      <c r="F1087" s="22">
        <v>3</v>
      </c>
      <c r="G1087" s="12">
        <v>1</v>
      </c>
      <c r="H1087" s="37">
        <v>14</v>
      </c>
    </row>
    <row r="1088" spans="1:9" ht="13.5" customHeight="1" x14ac:dyDescent="0.3">
      <c r="A1088" s="36">
        <f t="shared" si="102"/>
        <v>7600</v>
      </c>
      <c r="B1088" s="14" t="s">
        <v>1254</v>
      </c>
      <c r="C1088" s="12"/>
      <c r="D1088" s="12"/>
      <c r="E1088" s="12" t="s">
        <v>140</v>
      </c>
      <c r="F1088" s="22">
        <v>3</v>
      </c>
      <c r="G1088" s="12">
        <v>1</v>
      </c>
      <c r="H1088" s="37">
        <v>14</v>
      </c>
    </row>
    <row r="1089" spans="1:8" ht="13.5" customHeight="1" x14ac:dyDescent="0.3">
      <c r="A1089" s="36">
        <f t="shared" si="102"/>
        <v>7614</v>
      </c>
      <c r="B1089" s="14" t="s">
        <v>1255</v>
      </c>
      <c r="C1089" s="12"/>
      <c r="D1089" s="12"/>
      <c r="E1089" s="12" t="s">
        <v>140</v>
      </c>
      <c r="F1089" s="22">
        <v>3</v>
      </c>
      <c r="G1089" s="12">
        <v>1</v>
      </c>
      <c r="H1089" s="37">
        <v>14</v>
      </c>
    </row>
    <row r="1090" spans="1:8" ht="13.5" customHeight="1" x14ac:dyDescent="0.3">
      <c r="A1090" s="36">
        <f t="shared" si="102"/>
        <v>7628</v>
      </c>
      <c r="B1090" s="14" t="s">
        <v>1256</v>
      </c>
      <c r="C1090" s="12"/>
      <c r="D1090" s="12"/>
      <c r="E1090" s="12" t="s">
        <v>140</v>
      </c>
      <c r="F1090" s="22">
        <v>3</v>
      </c>
      <c r="G1090" s="12">
        <v>1</v>
      </c>
      <c r="H1090" s="37">
        <v>14</v>
      </c>
    </row>
    <row r="1091" spans="1:8" ht="13.5" customHeight="1" x14ac:dyDescent="0.3">
      <c r="A1091" s="36">
        <f t="shared" si="102"/>
        <v>7642</v>
      </c>
      <c r="B1091" s="14" t="s">
        <v>1257</v>
      </c>
      <c r="C1091" s="12"/>
      <c r="D1091" s="12"/>
      <c r="E1091" s="12" t="s">
        <v>140</v>
      </c>
      <c r="F1091" s="22">
        <v>3</v>
      </c>
      <c r="G1091" s="12">
        <v>1</v>
      </c>
      <c r="H1091" s="37">
        <v>14</v>
      </c>
    </row>
    <row r="1092" spans="1:8" ht="13.5" customHeight="1" x14ac:dyDescent="0.3">
      <c r="A1092" s="36">
        <f t="shared" si="102"/>
        <v>7656</v>
      </c>
      <c r="B1092" s="14" t="s">
        <v>1258</v>
      </c>
      <c r="C1092" s="12"/>
      <c r="D1092" s="12"/>
      <c r="E1092" s="12" t="s">
        <v>140</v>
      </c>
      <c r="F1092" s="22">
        <v>3</v>
      </c>
      <c r="G1092" s="12">
        <v>1</v>
      </c>
      <c r="H1092" s="37">
        <v>14</v>
      </c>
    </row>
    <row r="1093" spans="1:8" ht="13.5" customHeight="1" x14ac:dyDescent="0.3">
      <c r="A1093" s="36">
        <f t="shared" si="102"/>
        <v>7670</v>
      </c>
      <c r="B1093" s="14" t="s">
        <v>1259</v>
      </c>
      <c r="C1093" s="12"/>
      <c r="D1093" s="12"/>
      <c r="E1093" s="12" t="s">
        <v>140</v>
      </c>
      <c r="F1093" s="22">
        <v>3</v>
      </c>
      <c r="G1093" s="12">
        <v>1</v>
      </c>
      <c r="H1093" s="37">
        <v>14</v>
      </c>
    </row>
    <row r="1094" spans="1:8" ht="13.5" customHeight="1" x14ac:dyDescent="0.3">
      <c r="A1094" s="36">
        <f t="shared" si="102"/>
        <v>7684</v>
      </c>
      <c r="B1094" s="14" t="s">
        <v>1260</v>
      </c>
      <c r="C1094" s="12"/>
      <c r="D1094" s="12"/>
      <c r="E1094" s="12" t="s">
        <v>140</v>
      </c>
      <c r="F1094" s="22">
        <v>3</v>
      </c>
      <c r="G1094" s="12">
        <v>1</v>
      </c>
      <c r="H1094" s="37">
        <v>14</v>
      </c>
    </row>
    <row r="1095" spans="1:8" ht="13.5" customHeight="1" x14ac:dyDescent="0.3">
      <c r="A1095" s="36">
        <f t="shared" si="102"/>
        <v>7698</v>
      </c>
      <c r="B1095" s="14" t="s">
        <v>1261</v>
      </c>
      <c r="C1095" s="12"/>
      <c r="D1095" s="12"/>
      <c r="E1095" s="12" t="s">
        <v>140</v>
      </c>
      <c r="F1095" s="22">
        <v>3</v>
      </c>
      <c r="G1095" s="12">
        <v>1</v>
      </c>
      <c r="H1095" s="37">
        <v>14</v>
      </c>
    </row>
    <row r="1096" spans="1:8" ht="13.5" customHeight="1" x14ac:dyDescent="0.3">
      <c r="A1096" s="36">
        <f t="shared" si="102"/>
        <v>7712</v>
      </c>
      <c r="B1096" s="14" t="s">
        <v>1262</v>
      </c>
      <c r="C1096" s="12"/>
      <c r="D1096" s="12"/>
      <c r="E1096" s="12" t="s">
        <v>140</v>
      </c>
      <c r="F1096" s="22">
        <v>3</v>
      </c>
      <c r="G1096" s="12">
        <v>1</v>
      </c>
      <c r="H1096" s="37">
        <v>14</v>
      </c>
    </row>
    <row r="1097" spans="1:8" ht="13.5" customHeight="1" x14ac:dyDescent="0.3">
      <c r="A1097" s="36">
        <f t="shared" si="102"/>
        <v>7726</v>
      </c>
      <c r="B1097" s="14" t="s">
        <v>1263</v>
      </c>
      <c r="C1097" s="12"/>
      <c r="D1097" s="12"/>
      <c r="E1097" s="12" t="s">
        <v>140</v>
      </c>
      <c r="F1097" s="22">
        <v>3</v>
      </c>
      <c r="G1097" s="12">
        <v>1</v>
      </c>
      <c r="H1097" s="37">
        <v>14</v>
      </c>
    </row>
    <row r="1098" spans="1:8" ht="13.5" customHeight="1" x14ac:dyDescent="0.3">
      <c r="A1098" s="36">
        <f t="shared" si="102"/>
        <v>7740</v>
      </c>
      <c r="B1098" s="14" t="s">
        <v>1264</v>
      </c>
      <c r="C1098" s="12"/>
      <c r="D1098" s="12"/>
      <c r="E1098" s="12" t="s">
        <v>140</v>
      </c>
      <c r="F1098" s="22">
        <v>3</v>
      </c>
      <c r="G1098" s="12">
        <v>1</v>
      </c>
      <c r="H1098" s="37">
        <v>14</v>
      </c>
    </row>
    <row r="1099" spans="1:8" ht="13.5" customHeight="1" x14ac:dyDescent="0.3">
      <c r="A1099" s="36">
        <f t="shared" si="102"/>
        <v>7754</v>
      </c>
      <c r="B1099" s="14" t="s">
        <v>1265</v>
      </c>
      <c r="C1099" s="12"/>
      <c r="D1099" s="12"/>
      <c r="E1099" s="12" t="s">
        <v>140</v>
      </c>
      <c r="F1099" s="22">
        <v>3</v>
      </c>
      <c r="G1099" s="12">
        <v>1</v>
      </c>
      <c r="H1099" s="37">
        <v>14</v>
      </c>
    </row>
    <row r="1100" spans="1:8" ht="13.5" customHeight="1" x14ac:dyDescent="0.3">
      <c r="A1100" s="36">
        <f t="shared" si="102"/>
        <v>7768</v>
      </c>
      <c r="B1100" s="14" t="s">
        <v>1266</v>
      </c>
      <c r="C1100" s="12"/>
      <c r="D1100" s="12"/>
      <c r="E1100" s="12" t="s">
        <v>140</v>
      </c>
      <c r="F1100" s="22">
        <v>3</v>
      </c>
      <c r="G1100" s="12">
        <v>1</v>
      </c>
      <c r="H1100" s="37">
        <v>14</v>
      </c>
    </row>
    <row r="1101" spans="1:8" ht="13.5" customHeight="1" x14ac:dyDescent="0.3">
      <c r="A1101" s="36">
        <f t="shared" si="102"/>
        <v>7782</v>
      </c>
      <c r="B1101" s="14" t="s">
        <v>1267</v>
      </c>
      <c r="C1101" s="12"/>
      <c r="D1101" s="12"/>
      <c r="E1101" s="12" t="s">
        <v>140</v>
      </c>
      <c r="F1101" s="22">
        <v>3</v>
      </c>
      <c r="G1101" s="12">
        <v>1</v>
      </c>
      <c r="H1101" s="37">
        <v>14</v>
      </c>
    </row>
    <row r="1102" spans="1:8" ht="13.5" customHeight="1" x14ac:dyDescent="0.3">
      <c r="A1102" s="36">
        <f t="shared" si="102"/>
        <v>7796</v>
      </c>
      <c r="B1102" s="14" t="s">
        <v>1268</v>
      </c>
      <c r="C1102" s="12"/>
      <c r="D1102" s="12"/>
      <c r="E1102" s="12" t="s">
        <v>140</v>
      </c>
      <c r="F1102" s="22">
        <v>3</v>
      </c>
      <c r="G1102" s="12">
        <v>1</v>
      </c>
      <c r="H1102" s="37">
        <v>14</v>
      </c>
    </row>
    <row r="1103" spans="1:8" ht="13.5" customHeight="1" x14ac:dyDescent="0.3">
      <c r="A1103" s="36">
        <f t="shared" si="102"/>
        <v>7810</v>
      </c>
      <c r="B1103" s="14" t="s">
        <v>1269</v>
      </c>
      <c r="C1103" s="12"/>
      <c r="D1103" s="12"/>
      <c r="E1103" s="12" t="s">
        <v>140</v>
      </c>
      <c r="F1103" s="22">
        <v>3</v>
      </c>
      <c r="G1103" s="12">
        <v>1</v>
      </c>
      <c r="H1103" s="37">
        <v>14</v>
      </c>
    </row>
    <row r="1104" spans="1:8" ht="13.5" customHeight="1" x14ac:dyDescent="0.3">
      <c r="A1104" s="36">
        <f t="shared" si="102"/>
        <v>7824</v>
      </c>
      <c r="B1104" s="14" t="s">
        <v>1270</v>
      </c>
      <c r="C1104" s="12"/>
      <c r="D1104" s="12"/>
      <c r="E1104" s="12" t="s">
        <v>140</v>
      </c>
      <c r="F1104" s="22">
        <v>3</v>
      </c>
      <c r="G1104" s="12">
        <v>1</v>
      </c>
      <c r="H1104" s="37">
        <v>14</v>
      </c>
    </row>
    <row r="1105" spans="1:9" ht="13.5" customHeight="1" x14ac:dyDescent="0.3">
      <c r="A1105" s="59">
        <f t="shared" si="102"/>
        <v>7838</v>
      </c>
      <c r="B1105" s="46" t="s">
        <v>1271</v>
      </c>
      <c r="C1105" s="119"/>
      <c r="D1105" s="119"/>
      <c r="E1105" s="119" t="s">
        <v>140</v>
      </c>
      <c r="F1105" s="24">
        <v>3</v>
      </c>
      <c r="G1105" s="119">
        <v>1</v>
      </c>
      <c r="H1105" s="54">
        <v>14</v>
      </c>
    </row>
    <row r="1106" spans="1:9" ht="13.5" customHeight="1" x14ac:dyDescent="0.3">
      <c r="A1106" s="12">
        <f t="shared" si="102"/>
        <v>7852</v>
      </c>
      <c r="B1106" s="14"/>
      <c r="C1106" s="12"/>
      <c r="D1106" s="12"/>
      <c r="E1106" s="12" t="s">
        <v>140</v>
      </c>
      <c r="F1106" s="22">
        <v>3</v>
      </c>
      <c r="G1106" s="12">
        <v>1</v>
      </c>
      <c r="H1106" s="12">
        <v>148</v>
      </c>
      <c r="I1106" s="10">
        <f>A1106-A1062</f>
        <v>452</v>
      </c>
    </row>
    <row r="1107" spans="1:9" ht="13.5" customHeight="1" x14ac:dyDescent="0.3">
      <c r="A1107" s="12">
        <f t="shared" si="102"/>
        <v>8000</v>
      </c>
      <c r="B1107" s="14"/>
      <c r="C1107" s="12"/>
      <c r="D1107" s="12"/>
      <c r="E1107" s="12" t="s">
        <v>140</v>
      </c>
      <c r="F1107" s="22">
        <v>3</v>
      </c>
      <c r="G1107" s="12">
        <v>1</v>
      </c>
      <c r="H1107" s="12">
        <v>2000</v>
      </c>
    </row>
    <row r="1108" spans="1:9" ht="13.5" customHeight="1" x14ac:dyDescent="0.3">
      <c r="A1108" s="11">
        <f t="shared" si="102"/>
        <v>10000</v>
      </c>
    </row>
    <row r="1112" spans="1:9" ht="13.5" customHeight="1" x14ac:dyDescent="0.3">
      <c r="B1112" s="15" t="s">
        <v>41</v>
      </c>
    </row>
  </sheetData>
  <mergeCells count="115">
    <mergeCell ref="A855:H855"/>
    <mergeCell ref="I781:I786"/>
    <mergeCell ref="C754:C755"/>
    <mergeCell ref="B1066:B1074"/>
    <mergeCell ref="D33:D37"/>
    <mergeCell ref="D50:D51"/>
    <mergeCell ref="D53:D60"/>
    <mergeCell ref="D61:D68"/>
    <mergeCell ref="D69:D76"/>
    <mergeCell ref="D77:D80"/>
    <mergeCell ref="D81:D84"/>
    <mergeCell ref="A1061:H1061"/>
    <mergeCell ref="A1029:H1029"/>
    <mergeCell ref="A809:H809"/>
    <mergeCell ref="A991:H991"/>
    <mergeCell ref="A944:H944"/>
    <mergeCell ref="A948:H948"/>
    <mergeCell ref="A758:H758"/>
    <mergeCell ref="A844:H844"/>
    <mergeCell ref="A823:H823"/>
    <mergeCell ref="A712:H712"/>
    <mergeCell ref="A742:H742"/>
    <mergeCell ref="A730:H730"/>
    <mergeCell ref="A793:H793"/>
    <mergeCell ref="A786:H786"/>
    <mergeCell ref="A709:H709"/>
    <mergeCell ref="A546:H546"/>
    <mergeCell ref="C582:C585"/>
    <mergeCell ref="C586:C594"/>
    <mergeCell ref="A866:H866"/>
    <mergeCell ref="J85:J88"/>
    <mergeCell ref="J89:J91"/>
    <mergeCell ref="J338:J349"/>
    <mergeCell ref="C167:C168"/>
    <mergeCell ref="C169:C170"/>
    <mergeCell ref="C238:C240"/>
    <mergeCell ref="C241:C243"/>
    <mergeCell ref="C244:C246"/>
    <mergeCell ref="C232:C234"/>
    <mergeCell ref="C235:C237"/>
    <mergeCell ref="C151:C156"/>
    <mergeCell ref="C300:C303"/>
    <mergeCell ref="C304:C307"/>
    <mergeCell ref="C173:C174"/>
    <mergeCell ref="C277:C279"/>
    <mergeCell ref="C281:C283"/>
    <mergeCell ref="C165:C166"/>
    <mergeCell ref="A93:H93"/>
    <mergeCell ref="A351:H351"/>
    <mergeCell ref="A854:H854"/>
    <mergeCell ref="C81:C84"/>
    <mergeCell ref="C85:C88"/>
    <mergeCell ref="C89:C92"/>
    <mergeCell ref="C94:C96"/>
    <mergeCell ref="C97:C99"/>
    <mergeCell ref="C159:C160"/>
    <mergeCell ref="D94:D117"/>
    <mergeCell ref="A953:H953"/>
    <mergeCell ref="A860:H860"/>
    <mergeCell ref="A757:H757"/>
    <mergeCell ref="A267:H267"/>
    <mergeCell ref="A655:H655"/>
    <mergeCell ref="C312:C315"/>
    <mergeCell ref="C263:C266"/>
    <mergeCell ref="C290:C292"/>
    <mergeCell ref="C293:C295"/>
    <mergeCell ref="C296:C299"/>
    <mergeCell ref="C308:C311"/>
    <mergeCell ref="A535:H535"/>
    <mergeCell ref="A489:H489"/>
    <mergeCell ref="A338:H338"/>
    <mergeCell ref="C284:C286"/>
    <mergeCell ref="B408:B412"/>
    <mergeCell ref="I297:I299"/>
    <mergeCell ref="A327:H327"/>
    <mergeCell ref="A316:H316"/>
    <mergeCell ref="C225:C227"/>
    <mergeCell ref="C228:C230"/>
    <mergeCell ref="C247:C250"/>
    <mergeCell ref="C251:C254"/>
    <mergeCell ref="C274:C276"/>
    <mergeCell ref="A659:H659"/>
    <mergeCell ref="A404:H404"/>
    <mergeCell ref="A596:H596"/>
    <mergeCell ref="A447:H447"/>
    <mergeCell ref="C287:C289"/>
    <mergeCell ref="B355:B358"/>
    <mergeCell ref="B452:B456"/>
    <mergeCell ref="A494:H494"/>
    <mergeCell ref="C255:C258"/>
    <mergeCell ref="C259:C262"/>
    <mergeCell ref="A2:H2"/>
    <mergeCell ref="A158:H158"/>
    <mergeCell ref="A132:H132"/>
    <mergeCell ref="A219:H219"/>
    <mergeCell ref="C16:C18"/>
    <mergeCell ref="C19:C21"/>
    <mergeCell ref="C41:C42"/>
    <mergeCell ref="C43:C44"/>
    <mergeCell ref="C45:C46"/>
    <mergeCell ref="C22:C23"/>
    <mergeCell ref="A196:H196"/>
    <mergeCell ref="C24:C25"/>
    <mergeCell ref="C26:C27"/>
    <mergeCell ref="C47:C49"/>
    <mergeCell ref="A127:H127"/>
    <mergeCell ref="C171:C172"/>
    <mergeCell ref="D85:D88"/>
    <mergeCell ref="D89:D91"/>
    <mergeCell ref="C161:C162"/>
    <mergeCell ref="C163:C164"/>
    <mergeCell ref="C65:C68"/>
    <mergeCell ref="C73:C76"/>
    <mergeCell ref="D6:D13"/>
    <mergeCell ref="D14:D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4"/>
  <sheetViews>
    <sheetView topLeftCell="A94" workbookViewId="0">
      <selection activeCell="E12" sqref="E12"/>
    </sheetView>
  </sheetViews>
  <sheetFormatPr defaultRowHeight="16.5" x14ac:dyDescent="0.3"/>
  <cols>
    <col min="1" max="1" width="15.125" style="7" customWidth="1"/>
    <col min="2" max="2" width="29.25" bestFit="1" customWidth="1"/>
    <col min="5" max="5" width="24.75" bestFit="1" customWidth="1"/>
    <col min="6" max="6" width="27.25" bestFit="1" customWidth="1"/>
    <col min="7" max="7" width="37.625" customWidth="1"/>
  </cols>
  <sheetData>
    <row r="1" spans="1:5" x14ac:dyDescent="0.3">
      <c r="A1" s="241" t="s">
        <v>495</v>
      </c>
      <c r="B1" s="242"/>
    </row>
    <row r="2" spans="1:5" x14ac:dyDescent="0.3">
      <c r="A2" s="1">
        <v>1</v>
      </c>
      <c r="B2" s="4" t="s">
        <v>441</v>
      </c>
    </row>
    <row r="3" spans="1:5" x14ac:dyDescent="0.3">
      <c r="A3" s="1">
        <f>A2+1</f>
        <v>2</v>
      </c>
      <c r="B3" s="89" t="s">
        <v>442</v>
      </c>
      <c r="C3" t="s">
        <v>963</v>
      </c>
    </row>
    <row r="4" spans="1:5" x14ac:dyDescent="0.3">
      <c r="A4" s="1">
        <f t="shared" ref="A4:A67" si="0">A3+1</f>
        <v>3</v>
      </c>
      <c r="B4" s="89" t="s">
        <v>397</v>
      </c>
      <c r="C4" t="s">
        <v>963</v>
      </c>
    </row>
    <row r="5" spans="1:5" x14ac:dyDescent="0.3">
      <c r="A5" s="1">
        <f t="shared" si="0"/>
        <v>4</v>
      </c>
      <c r="B5" s="89" t="s">
        <v>183</v>
      </c>
      <c r="C5" t="s">
        <v>963</v>
      </c>
      <c r="E5" s="88"/>
    </row>
    <row r="6" spans="1:5" x14ac:dyDescent="0.3">
      <c r="A6" s="1">
        <f t="shared" si="0"/>
        <v>5</v>
      </c>
      <c r="B6" s="89" t="s">
        <v>184</v>
      </c>
      <c r="C6" t="s">
        <v>963</v>
      </c>
    </row>
    <row r="7" spans="1:5" x14ac:dyDescent="0.3">
      <c r="A7" s="1">
        <f t="shared" si="0"/>
        <v>6</v>
      </c>
      <c r="B7" s="4" t="s">
        <v>398</v>
      </c>
    </row>
    <row r="8" spans="1:5" x14ac:dyDescent="0.3">
      <c r="A8" s="1">
        <f t="shared" si="0"/>
        <v>7</v>
      </c>
      <c r="B8" s="4" t="s">
        <v>399</v>
      </c>
    </row>
    <row r="9" spans="1:5" x14ac:dyDescent="0.3">
      <c r="A9" s="1">
        <f t="shared" si="0"/>
        <v>8</v>
      </c>
      <c r="B9" s="4" t="s">
        <v>400</v>
      </c>
    </row>
    <row r="10" spans="1:5" x14ac:dyDescent="0.3">
      <c r="A10" s="1">
        <f t="shared" si="0"/>
        <v>9</v>
      </c>
      <c r="B10" s="4" t="s">
        <v>401</v>
      </c>
    </row>
    <row r="11" spans="1:5" x14ac:dyDescent="0.3">
      <c r="A11" s="1">
        <f t="shared" si="0"/>
        <v>10</v>
      </c>
      <c r="B11" s="4" t="s">
        <v>402</v>
      </c>
      <c r="E11" s="88"/>
    </row>
    <row r="12" spans="1:5" x14ac:dyDescent="0.3">
      <c r="A12" s="1">
        <f t="shared" si="0"/>
        <v>11</v>
      </c>
      <c r="B12" s="4" t="s">
        <v>403</v>
      </c>
      <c r="E12" s="88"/>
    </row>
    <row r="13" spans="1:5" x14ac:dyDescent="0.3">
      <c r="A13" s="1">
        <f t="shared" si="0"/>
        <v>12</v>
      </c>
      <c r="B13" s="4" t="s">
        <v>404</v>
      </c>
      <c r="E13" s="88"/>
    </row>
    <row r="14" spans="1:5" x14ac:dyDescent="0.3">
      <c r="A14" s="1">
        <f t="shared" si="0"/>
        <v>13</v>
      </c>
      <c r="B14" s="4" t="s">
        <v>405</v>
      </c>
      <c r="E14" s="88"/>
    </row>
    <row r="15" spans="1:5" x14ac:dyDescent="0.3">
      <c r="A15" s="1">
        <f t="shared" si="0"/>
        <v>14</v>
      </c>
      <c r="B15" s="4" t="s">
        <v>1</v>
      </c>
      <c r="E15" s="88"/>
    </row>
    <row r="16" spans="1:5" x14ac:dyDescent="0.3">
      <c r="A16" s="1">
        <f t="shared" si="0"/>
        <v>15</v>
      </c>
      <c r="B16" s="4" t="s">
        <v>2</v>
      </c>
    </row>
    <row r="17" spans="1:3" x14ac:dyDescent="0.3">
      <c r="A17" s="1">
        <f t="shared" si="0"/>
        <v>16</v>
      </c>
      <c r="B17" s="4" t="s">
        <v>499</v>
      </c>
    </row>
    <row r="18" spans="1:3" x14ac:dyDescent="0.3">
      <c r="A18" s="1">
        <f t="shared" si="0"/>
        <v>17</v>
      </c>
      <c r="B18" s="4" t="s">
        <v>500</v>
      </c>
    </row>
    <row r="19" spans="1:3" x14ac:dyDescent="0.3">
      <c r="A19" s="1">
        <f t="shared" si="0"/>
        <v>18</v>
      </c>
      <c r="B19" s="4" t="s">
        <v>501</v>
      </c>
    </row>
    <row r="20" spans="1:3" x14ac:dyDescent="0.3">
      <c r="A20" s="1">
        <f t="shared" si="0"/>
        <v>19</v>
      </c>
      <c r="B20" s="89" t="s">
        <v>406</v>
      </c>
      <c r="C20" t="s">
        <v>964</v>
      </c>
    </row>
    <row r="21" spans="1:3" x14ac:dyDescent="0.3">
      <c r="A21" s="1">
        <f t="shared" si="0"/>
        <v>20</v>
      </c>
      <c r="B21" s="89" t="s">
        <v>3</v>
      </c>
      <c r="C21" t="s">
        <v>964</v>
      </c>
    </row>
    <row r="22" spans="1:3" x14ac:dyDescent="0.3">
      <c r="A22" s="1">
        <f t="shared" si="0"/>
        <v>21</v>
      </c>
      <c r="B22" s="89" t="s">
        <v>4</v>
      </c>
      <c r="C22" t="s">
        <v>964</v>
      </c>
    </row>
    <row r="23" spans="1:3" x14ac:dyDescent="0.3">
      <c r="A23" s="1">
        <f t="shared" si="0"/>
        <v>22</v>
      </c>
      <c r="B23" s="4" t="s">
        <v>407</v>
      </c>
    </row>
    <row r="24" spans="1:3" x14ac:dyDescent="0.3">
      <c r="A24" s="1">
        <f t="shared" si="0"/>
        <v>23</v>
      </c>
      <c r="B24" s="4" t="s">
        <v>408</v>
      </c>
    </row>
    <row r="25" spans="1:3" x14ac:dyDescent="0.3">
      <c r="A25" s="1">
        <f t="shared" si="0"/>
        <v>24</v>
      </c>
      <c r="B25" s="4" t="s">
        <v>409</v>
      </c>
    </row>
    <row r="26" spans="1:3" x14ac:dyDescent="0.3">
      <c r="A26" s="1">
        <f t="shared" si="0"/>
        <v>25</v>
      </c>
      <c r="B26" s="4" t="s">
        <v>410</v>
      </c>
    </row>
    <row r="27" spans="1:3" x14ac:dyDescent="0.3">
      <c r="A27" s="1">
        <f t="shared" si="0"/>
        <v>26</v>
      </c>
      <c r="B27" s="4" t="s">
        <v>411</v>
      </c>
    </row>
    <row r="28" spans="1:3" x14ac:dyDescent="0.3">
      <c r="A28" s="1">
        <f t="shared" si="0"/>
        <v>27</v>
      </c>
      <c r="B28" s="4" t="s">
        <v>412</v>
      </c>
    </row>
    <row r="29" spans="1:3" x14ac:dyDescent="0.3">
      <c r="A29" s="1">
        <f t="shared" si="0"/>
        <v>28</v>
      </c>
      <c r="B29" s="4" t="s">
        <v>413</v>
      </c>
    </row>
    <row r="30" spans="1:3" x14ac:dyDescent="0.3">
      <c r="A30" s="1">
        <f t="shared" si="0"/>
        <v>29</v>
      </c>
      <c r="B30" s="4" t="s">
        <v>414</v>
      </c>
    </row>
    <row r="31" spans="1:3" x14ac:dyDescent="0.3">
      <c r="A31" s="1">
        <f t="shared" si="0"/>
        <v>30</v>
      </c>
      <c r="B31" s="4" t="s">
        <v>415</v>
      </c>
    </row>
    <row r="32" spans="1:3" x14ac:dyDescent="0.3">
      <c r="A32" s="1">
        <f t="shared" si="0"/>
        <v>31</v>
      </c>
      <c r="B32" s="4" t="s">
        <v>416</v>
      </c>
    </row>
    <row r="33" spans="1:2" x14ac:dyDescent="0.3">
      <c r="A33" s="1">
        <f t="shared" si="0"/>
        <v>32</v>
      </c>
      <c r="B33" s="4" t="s">
        <v>6</v>
      </c>
    </row>
    <row r="34" spans="1:2" x14ac:dyDescent="0.3">
      <c r="A34" s="1">
        <f t="shared" si="0"/>
        <v>33</v>
      </c>
      <c r="B34" s="4" t="s">
        <v>7</v>
      </c>
    </row>
    <row r="35" spans="1:2" x14ac:dyDescent="0.3">
      <c r="A35" s="1">
        <f t="shared" si="0"/>
        <v>34</v>
      </c>
      <c r="B35" s="4" t="s">
        <v>417</v>
      </c>
    </row>
    <row r="36" spans="1:2" x14ac:dyDescent="0.3">
      <c r="A36" s="1">
        <f t="shared" si="0"/>
        <v>35</v>
      </c>
      <c r="B36" s="4" t="s">
        <v>418</v>
      </c>
    </row>
    <row r="37" spans="1:2" x14ac:dyDescent="0.3">
      <c r="A37" s="1">
        <f t="shared" si="0"/>
        <v>36</v>
      </c>
      <c r="B37" s="4" t="s">
        <v>8</v>
      </c>
    </row>
    <row r="38" spans="1:2" x14ac:dyDescent="0.3">
      <c r="A38" s="1">
        <f t="shared" si="0"/>
        <v>37</v>
      </c>
      <c r="B38" s="4" t="s">
        <v>9</v>
      </c>
    </row>
    <row r="39" spans="1:2" x14ac:dyDescent="0.3">
      <c r="A39" s="1">
        <f t="shared" si="0"/>
        <v>38</v>
      </c>
      <c r="B39" s="4" t="s">
        <v>419</v>
      </c>
    </row>
    <row r="40" spans="1:2" x14ac:dyDescent="0.3">
      <c r="A40" s="1">
        <f t="shared" si="0"/>
        <v>39</v>
      </c>
      <c r="B40" s="4" t="s">
        <v>420</v>
      </c>
    </row>
    <row r="41" spans="1:2" x14ac:dyDescent="0.3">
      <c r="A41" s="1">
        <f t="shared" si="0"/>
        <v>40</v>
      </c>
      <c r="B41" s="4" t="s">
        <v>336</v>
      </c>
    </row>
    <row r="42" spans="1:2" x14ac:dyDescent="0.3">
      <c r="A42" s="1">
        <f t="shared" si="0"/>
        <v>41</v>
      </c>
      <c r="B42" s="4" t="s">
        <v>337</v>
      </c>
    </row>
    <row r="43" spans="1:2" x14ac:dyDescent="0.3">
      <c r="A43" s="1">
        <f t="shared" si="0"/>
        <v>42</v>
      </c>
      <c r="B43" s="4" t="s">
        <v>421</v>
      </c>
    </row>
    <row r="44" spans="1:2" x14ac:dyDescent="0.3">
      <c r="A44" s="1">
        <f t="shared" si="0"/>
        <v>43</v>
      </c>
      <c r="B44" s="4" t="s">
        <v>422</v>
      </c>
    </row>
    <row r="45" spans="1:2" x14ac:dyDescent="0.3">
      <c r="A45" s="1">
        <f t="shared" si="0"/>
        <v>44</v>
      </c>
      <c r="B45" s="4" t="s">
        <v>423</v>
      </c>
    </row>
    <row r="46" spans="1:2" x14ac:dyDescent="0.3">
      <c r="A46" s="1">
        <f t="shared" si="0"/>
        <v>45</v>
      </c>
      <c r="B46" s="4" t="s">
        <v>424</v>
      </c>
    </row>
    <row r="47" spans="1:2" x14ac:dyDescent="0.3">
      <c r="A47" s="1">
        <f t="shared" si="0"/>
        <v>46</v>
      </c>
      <c r="B47" s="4" t="s">
        <v>25</v>
      </c>
    </row>
    <row r="48" spans="1:2" x14ac:dyDescent="0.3">
      <c r="A48" s="1">
        <f t="shared" si="0"/>
        <v>47</v>
      </c>
      <c r="B48" s="4" t="s">
        <v>26</v>
      </c>
    </row>
    <row r="49" spans="1:2" x14ac:dyDescent="0.3">
      <c r="A49" s="1">
        <f t="shared" si="0"/>
        <v>48</v>
      </c>
      <c r="B49" s="4" t="s">
        <v>425</v>
      </c>
    </row>
    <row r="50" spans="1:2" x14ac:dyDescent="0.3">
      <c r="A50" s="1">
        <f t="shared" si="0"/>
        <v>49</v>
      </c>
      <c r="B50" s="4" t="s">
        <v>426</v>
      </c>
    </row>
    <row r="51" spans="1:2" x14ac:dyDescent="0.3">
      <c r="A51" s="1">
        <f t="shared" si="0"/>
        <v>50</v>
      </c>
      <c r="B51" s="4" t="s">
        <v>427</v>
      </c>
    </row>
    <row r="52" spans="1:2" x14ac:dyDescent="0.3">
      <c r="A52" s="1">
        <f t="shared" si="0"/>
        <v>51</v>
      </c>
      <c r="B52" s="4" t="s">
        <v>428</v>
      </c>
    </row>
    <row r="53" spans="1:2" x14ac:dyDescent="0.3">
      <c r="A53" s="1">
        <f t="shared" si="0"/>
        <v>52</v>
      </c>
      <c r="B53" s="4" t="s">
        <v>429</v>
      </c>
    </row>
    <row r="54" spans="1:2" x14ac:dyDescent="0.3">
      <c r="A54" s="1">
        <f t="shared" si="0"/>
        <v>53</v>
      </c>
      <c r="B54" s="4" t="s">
        <v>430</v>
      </c>
    </row>
    <row r="55" spans="1:2" x14ac:dyDescent="0.3">
      <c r="A55" s="1">
        <f t="shared" si="0"/>
        <v>54</v>
      </c>
      <c r="B55" s="4" t="s">
        <v>431</v>
      </c>
    </row>
    <row r="56" spans="1:2" x14ac:dyDescent="0.3">
      <c r="A56" s="1">
        <f t="shared" si="0"/>
        <v>55</v>
      </c>
      <c r="B56" s="4" t="s">
        <v>432</v>
      </c>
    </row>
    <row r="57" spans="1:2" x14ac:dyDescent="0.3">
      <c r="A57" s="1">
        <f t="shared" si="0"/>
        <v>56</v>
      </c>
      <c r="B57" s="4" t="s">
        <v>433</v>
      </c>
    </row>
    <row r="58" spans="1:2" x14ac:dyDescent="0.3">
      <c r="A58" s="1">
        <f t="shared" si="0"/>
        <v>57</v>
      </c>
      <c r="B58" s="4" t="s">
        <v>434</v>
      </c>
    </row>
    <row r="59" spans="1:2" x14ac:dyDescent="0.3">
      <c r="A59" s="1">
        <f t="shared" si="0"/>
        <v>58</v>
      </c>
      <c r="B59" s="4" t="s">
        <v>435</v>
      </c>
    </row>
    <row r="60" spans="1:2" x14ac:dyDescent="0.3">
      <c r="A60" s="1">
        <f t="shared" si="0"/>
        <v>59</v>
      </c>
      <c r="B60" s="4" t="s">
        <v>436</v>
      </c>
    </row>
    <row r="61" spans="1:2" x14ac:dyDescent="0.3">
      <c r="A61" s="1">
        <f t="shared" si="0"/>
        <v>60</v>
      </c>
      <c r="B61" s="4" t="s">
        <v>437</v>
      </c>
    </row>
    <row r="62" spans="1:2" x14ac:dyDescent="0.3">
      <c r="A62" s="1">
        <f t="shared" si="0"/>
        <v>61</v>
      </c>
      <c r="B62" s="4" t="s">
        <v>438</v>
      </c>
    </row>
    <row r="63" spans="1:2" x14ac:dyDescent="0.3">
      <c r="A63" s="1">
        <f t="shared" si="0"/>
        <v>62</v>
      </c>
      <c r="B63" s="4" t="s">
        <v>439</v>
      </c>
    </row>
    <row r="64" spans="1:2" x14ac:dyDescent="0.3">
      <c r="A64" s="1">
        <f t="shared" si="0"/>
        <v>63</v>
      </c>
      <c r="B64" s="4" t="s">
        <v>440</v>
      </c>
    </row>
    <row r="65" spans="1:2" x14ac:dyDescent="0.3">
      <c r="A65" s="1">
        <f t="shared" si="0"/>
        <v>64</v>
      </c>
      <c r="B65" s="89" t="s">
        <v>234</v>
      </c>
    </row>
    <row r="66" spans="1:2" x14ac:dyDescent="0.3">
      <c r="A66" s="1">
        <f t="shared" si="0"/>
        <v>65</v>
      </c>
      <c r="B66" s="89" t="s">
        <v>962</v>
      </c>
    </row>
    <row r="67" spans="1:2" x14ac:dyDescent="0.3">
      <c r="A67" s="1">
        <f t="shared" si="0"/>
        <v>66</v>
      </c>
      <c r="B67" s="4" t="s">
        <v>950</v>
      </c>
    </row>
    <row r="68" spans="1:2" x14ac:dyDescent="0.3">
      <c r="A68" s="1">
        <f t="shared" ref="A68:A124" si="1">A67+1</f>
        <v>67</v>
      </c>
      <c r="B68" s="4" t="s">
        <v>931</v>
      </c>
    </row>
    <row r="69" spans="1:2" x14ac:dyDescent="0.3">
      <c r="A69" s="1">
        <f t="shared" si="1"/>
        <v>68</v>
      </c>
      <c r="B69" s="4" t="s">
        <v>932</v>
      </c>
    </row>
    <row r="70" spans="1:2" x14ac:dyDescent="0.3">
      <c r="A70" s="1">
        <f t="shared" si="1"/>
        <v>69</v>
      </c>
      <c r="B70" s="4" t="s">
        <v>933</v>
      </c>
    </row>
    <row r="71" spans="1:2" x14ac:dyDescent="0.3">
      <c r="A71" s="1">
        <f t="shared" si="1"/>
        <v>70</v>
      </c>
      <c r="B71" s="4" t="s">
        <v>934</v>
      </c>
    </row>
    <row r="72" spans="1:2" x14ac:dyDescent="0.3">
      <c r="A72" s="1">
        <f t="shared" si="1"/>
        <v>71</v>
      </c>
      <c r="B72" s="4" t="s">
        <v>935</v>
      </c>
    </row>
    <row r="73" spans="1:2" x14ac:dyDescent="0.3">
      <c r="A73" s="1">
        <f t="shared" si="1"/>
        <v>72</v>
      </c>
      <c r="B73" s="4" t="s">
        <v>936</v>
      </c>
    </row>
    <row r="74" spans="1:2" x14ac:dyDescent="0.3">
      <c r="A74" s="1">
        <f t="shared" si="1"/>
        <v>73</v>
      </c>
      <c r="B74" s="4" t="s">
        <v>937</v>
      </c>
    </row>
    <row r="75" spans="1:2" x14ac:dyDescent="0.3">
      <c r="A75" s="1">
        <f t="shared" si="1"/>
        <v>74</v>
      </c>
      <c r="B75" s="4" t="s">
        <v>938</v>
      </c>
    </row>
    <row r="76" spans="1:2" x14ac:dyDescent="0.3">
      <c r="A76" s="1">
        <f t="shared" si="1"/>
        <v>75</v>
      </c>
      <c r="B76" s="4" t="s">
        <v>939</v>
      </c>
    </row>
    <row r="77" spans="1:2" x14ac:dyDescent="0.3">
      <c r="A77" s="1">
        <f t="shared" si="1"/>
        <v>76</v>
      </c>
      <c r="B77" s="4" t="s">
        <v>940</v>
      </c>
    </row>
    <row r="78" spans="1:2" x14ac:dyDescent="0.3">
      <c r="A78" s="1">
        <f t="shared" si="1"/>
        <v>77</v>
      </c>
      <c r="B78" s="4" t="s">
        <v>951</v>
      </c>
    </row>
    <row r="79" spans="1:2" x14ac:dyDescent="0.3">
      <c r="A79" s="1">
        <f t="shared" si="1"/>
        <v>78</v>
      </c>
      <c r="B79" s="4" t="s">
        <v>948</v>
      </c>
    </row>
    <row r="80" spans="1:2" x14ac:dyDescent="0.3">
      <c r="A80" s="1">
        <f t="shared" si="1"/>
        <v>79</v>
      </c>
      <c r="B80" s="4" t="s">
        <v>941</v>
      </c>
    </row>
    <row r="81" spans="1:2" x14ac:dyDescent="0.3">
      <c r="A81" s="1">
        <f t="shared" si="1"/>
        <v>80</v>
      </c>
      <c r="B81" s="4" t="s">
        <v>949</v>
      </c>
    </row>
    <row r="82" spans="1:2" x14ac:dyDescent="0.3">
      <c r="A82" s="1">
        <f t="shared" si="1"/>
        <v>81</v>
      </c>
      <c r="B82" s="4" t="s">
        <v>942</v>
      </c>
    </row>
    <row r="83" spans="1:2" x14ac:dyDescent="0.3">
      <c r="A83" s="1">
        <f t="shared" si="1"/>
        <v>82</v>
      </c>
      <c r="B83" s="4" t="s">
        <v>943</v>
      </c>
    </row>
    <row r="84" spans="1:2" x14ac:dyDescent="0.3">
      <c r="A84" s="1">
        <f t="shared" si="1"/>
        <v>83</v>
      </c>
      <c r="B84" s="4" t="s">
        <v>944</v>
      </c>
    </row>
    <row r="85" spans="1:2" x14ac:dyDescent="0.3">
      <c r="A85" s="1">
        <f t="shared" si="1"/>
        <v>84</v>
      </c>
      <c r="B85" s="4" t="s">
        <v>945</v>
      </c>
    </row>
    <row r="86" spans="1:2" x14ac:dyDescent="0.3">
      <c r="A86" s="1">
        <f t="shared" si="1"/>
        <v>85</v>
      </c>
      <c r="B86" s="4" t="s">
        <v>946</v>
      </c>
    </row>
    <row r="87" spans="1:2" x14ac:dyDescent="0.3">
      <c r="A87" s="1">
        <f t="shared" si="1"/>
        <v>86</v>
      </c>
      <c r="B87" s="4" t="s">
        <v>947</v>
      </c>
    </row>
    <row r="88" spans="1:2" x14ac:dyDescent="0.3">
      <c r="A88" s="1">
        <f t="shared" si="1"/>
        <v>87</v>
      </c>
      <c r="B88" s="4" t="s">
        <v>952</v>
      </c>
    </row>
    <row r="89" spans="1:2" x14ac:dyDescent="0.3">
      <c r="A89" s="1">
        <f t="shared" si="1"/>
        <v>88</v>
      </c>
      <c r="B89" s="4" t="s">
        <v>953</v>
      </c>
    </row>
    <row r="90" spans="1:2" x14ac:dyDescent="0.3">
      <c r="A90" s="1">
        <f t="shared" si="1"/>
        <v>89</v>
      </c>
      <c r="B90" s="4" t="s">
        <v>954</v>
      </c>
    </row>
    <row r="91" spans="1:2" x14ac:dyDescent="0.3">
      <c r="A91" s="1">
        <f t="shared" si="1"/>
        <v>90</v>
      </c>
      <c r="B91" s="4" t="s">
        <v>955</v>
      </c>
    </row>
    <row r="92" spans="1:2" x14ac:dyDescent="0.3">
      <c r="A92" s="1">
        <f t="shared" si="1"/>
        <v>91</v>
      </c>
      <c r="B92" s="4" t="s">
        <v>956</v>
      </c>
    </row>
    <row r="93" spans="1:2" x14ac:dyDescent="0.3">
      <c r="A93" s="1">
        <f t="shared" si="1"/>
        <v>92</v>
      </c>
      <c r="B93" s="4" t="s">
        <v>957</v>
      </c>
    </row>
    <row r="94" spans="1:2" x14ac:dyDescent="0.3">
      <c r="A94" s="1">
        <f t="shared" si="1"/>
        <v>93</v>
      </c>
      <c r="B94" s="4" t="s">
        <v>958</v>
      </c>
    </row>
    <row r="95" spans="1:2" x14ac:dyDescent="0.3">
      <c r="A95" s="1">
        <f t="shared" si="1"/>
        <v>94</v>
      </c>
      <c r="B95" s="4" t="s">
        <v>959</v>
      </c>
    </row>
    <row r="96" spans="1:2" x14ac:dyDescent="0.3">
      <c r="A96" s="1">
        <f t="shared" si="1"/>
        <v>95</v>
      </c>
      <c r="B96" s="4" t="s">
        <v>960</v>
      </c>
    </row>
    <row r="97" spans="1:2" x14ac:dyDescent="0.3">
      <c r="A97" s="1">
        <f t="shared" si="1"/>
        <v>96</v>
      </c>
      <c r="B97" s="4" t="s">
        <v>961</v>
      </c>
    </row>
    <row r="98" spans="1:2" x14ac:dyDescent="0.3">
      <c r="A98" s="1">
        <f t="shared" si="1"/>
        <v>97</v>
      </c>
      <c r="B98" s="8" t="s">
        <v>502</v>
      </c>
    </row>
    <row r="99" spans="1:2" x14ac:dyDescent="0.3">
      <c r="A99" s="1">
        <f t="shared" si="1"/>
        <v>98</v>
      </c>
      <c r="B99" s="8" t="s">
        <v>503</v>
      </c>
    </row>
    <row r="100" spans="1:2" x14ac:dyDescent="0.3">
      <c r="A100" s="1">
        <f t="shared" si="1"/>
        <v>99</v>
      </c>
      <c r="B100" s="8" t="s">
        <v>504</v>
      </c>
    </row>
    <row r="101" spans="1:2" x14ac:dyDescent="0.3">
      <c r="A101" s="1">
        <f t="shared" si="1"/>
        <v>100</v>
      </c>
      <c r="B101" s="8" t="s">
        <v>505</v>
      </c>
    </row>
    <row r="102" spans="1:2" x14ac:dyDescent="0.3">
      <c r="A102" s="1">
        <f t="shared" si="1"/>
        <v>101</v>
      </c>
      <c r="B102" s="8" t="s">
        <v>506</v>
      </c>
    </row>
    <row r="103" spans="1:2" x14ac:dyDescent="0.3">
      <c r="A103" s="1">
        <f t="shared" si="1"/>
        <v>102</v>
      </c>
      <c r="B103" s="8" t="s">
        <v>507</v>
      </c>
    </row>
    <row r="104" spans="1:2" x14ac:dyDescent="0.3">
      <c r="A104" s="1">
        <f t="shared" si="1"/>
        <v>103</v>
      </c>
      <c r="B104" s="6" t="s">
        <v>508</v>
      </c>
    </row>
    <row r="105" spans="1:2" x14ac:dyDescent="0.3">
      <c r="A105" s="1">
        <f t="shared" si="1"/>
        <v>104</v>
      </c>
      <c r="B105" s="6" t="s">
        <v>509</v>
      </c>
    </row>
    <row r="106" spans="1:2" x14ac:dyDescent="0.3">
      <c r="A106" s="1">
        <f t="shared" si="1"/>
        <v>105</v>
      </c>
      <c r="B106" s="6" t="s">
        <v>510</v>
      </c>
    </row>
    <row r="107" spans="1:2" x14ac:dyDescent="0.3">
      <c r="A107" s="1">
        <f t="shared" si="1"/>
        <v>106</v>
      </c>
      <c r="B107" s="6" t="s">
        <v>511</v>
      </c>
    </row>
    <row r="108" spans="1:2" x14ac:dyDescent="0.3">
      <c r="A108" s="1">
        <f t="shared" si="1"/>
        <v>107</v>
      </c>
      <c r="B108" s="6" t="s">
        <v>512</v>
      </c>
    </row>
    <row r="109" spans="1:2" x14ac:dyDescent="0.3">
      <c r="A109" s="1">
        <f t="shared" si="1"/>
        <v>108</v>
      </c>
      <c r="B109" s="6" t="s">
        <v>513</v>
      </c>
    </row>
    <row r="110" spans="1:2" x14ac:dyDescent="0.3">
      <c r="A110" s="1">
        <f t="shared" si="1"/>
        <v>109</v>
      </c>
      <c r="B110" s="6" t="s">
        <v>514</v>
      </c>
    </row>
    <row r="111" spans="1:2" x14ac:dyDescent="0.3">
      <c r="A111" s="1">
        <f t="shared" si="1"/>
        <v>110</v>
      </c>
      <c r="B111" s="6" t="s">
        <v>515</v>
      </c>
    </row>
    <row r="112" spans="1:2" x14ac:dyDescent="0.3">
      <c r="A112" s="1">
        <f t="shared" si="1"/>
        <v>111</v>
      </c>
      <c r="B112" s="6" t="s">
        <v>516</v>
      </c>
    </row>
    <row r="113" spans="1:2" x14ac:dyDescent="0.3">
      <c r="A113" s="1">
        <f t="shared" si="1"/>
        <v>112</v>
      </c>
      <c r="B113" s="6" t="s">
        <v>517</v>
      </c>
    </row>
    <row r="114" spans="1:2" x14ac:dyDescent="0.3">
      <c r="A114" s="1">
        <f t="shared" si="1"/>
        <v>113</v>
      </c>
      <c r="B114" s="6" t="s">
        <v>518</v>
      </c>
    </row>
    <row r="115" spans="1:2" x14ac:dyDescent="0.3">
      <c r="A115" s="1">
        <f t="shared" si="1"/>
        <v>114</v>
      </c>
      <c r="B115" s="6" t="s">
        <v>519</v>
      </c>
    </row>
    <row r="116" spans="1:2" x14ac:dyDescent="0.3">
      <c r="A116" s="1">
        <f t="shared" si="1"/>
        <v>115</v>
      </c>
      <c r="B116" s="6" t="s">
        <v>520</v>
      </c>
    </row>
    <row r="117" spans="1:2" x14ac:dyDescent="0.3">
      <c r="A117" s="1">
        <f t="shared" si="1"/>
        <v>116</v>
      </c>
      <c r="B117" s="6" t="s">
        <v>521</v>
      </c>
    </row>
    <row r="118" spans="1:2" x14ac:dyDescent="0.3">
      <c r="A118" s="1">
        <f t="shared" si="1"/>
        <v>117</v>
      </c>
      <c r="B118" s="6" t="s">
        <v>522</v>
      </c>
    </row>
    <row r="119" spans="1:2" x14ac:dyDescent="0.3">
      <c r="A119" s="1">
        <f t="shared" si="1"/>
        <v>118</v>
      </c>
      <c r="B119" s="6" t="s">
        <v>523</v>
      </c>
    </row>
    <row r="120" spans="1:2" x14ac:dyDescent="0.3">
      <c r="A120" s="1">
        <f t="shared" si="1"/>
        <v>119</v>
      </c>
      <c r="B120" s="6" t="s">
        <v>524</v>
      </c>
    </row>
    <row r="121" spans="1:2" x14ac:dyDescent="0.3">
      <c r="A121" s="1">
        <f t="shared" si="1"/>
        <v>120</v>
      </c>
      <c r="B121" s="6" t="s">
        <v>525</v>
      </c>
    </row>
    <row r="122" spans="1:2" x14ac:dyDescent="0.3">
      <c r="A122" s="1">
        <f t="shared" si="1"/>
        <v>121</v>
      </c>
      <c r="B122" s="6" t="s">
        <v>526</v>
      </c>
    </row>
    <row r="123" spans="1:2" x14ac:dyDescent="0.3">
      <c r="A123" s="1">
        <f t="shared" si="1"/>
        <v>122</v>
      </c>
      <c r="B123" s="6" t="s">
        <v>527</v>
      </c>
    </row>
    <row r="124" spans="1:2" x14ac:dyDescent="0.3">
      <c r="A124" s="1">
        <f t="shared" si="1"/>
        <v>123</v>
      </c>
      <c r="B124" s="6" t="s">
        <v>528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5"/>
  <sheetViews>
    <sheetView topLeftCell="A34" workbookViewId="0">
      <selection activeCell="B43" sqref="B43"/>
    </sheetView>
  </sheetViews>
  <sheetFormatPr defaultRowHeight="16.5" x14ac:dyDescent="0.3"/>
  <cols>
    <col min="1" max="1" width="9" style="104"/>
    <col min="2" max="2" width="23.375" customWidth="1"/>
    <col min="3" max="3" width="22.125" style="7" customWidth="1"/>
    <col min="4" max="4" width="9" style="7"/>
    <col min="5" max="5" width="8.25" bestFit="1" customWidth="1"/>
    <col min="6" max="6" width="4.5" customWidth="1"/>
    <col min="7" max="7" width="9.75" bestFit="1" customWidth="1"/>
    <col min="8" max="8" width="9.125" bestFit="1" customWidth="1"/>
    <col min="10" max="10" width="18.375" bestFit="1" customWidth="1"/>
  </cols>
  <sheetData>
    <row r="1" spans="1:10" ht="17.25" thickBot="1" x14ac:dyDescent="0.35">
      <c r="A1" s="100" t="s">
        <v>872</v>
      </c>
      <c r="B1" s="96" t="s">
        <v>1004</v>
      </c>
      <c r="C1" s="90" t="s">
        <v>915</v>
      </c>
      <c r="D1" s="90" t="s">
        <v>1005</v>
      </c>
      <c r="E1" s="90" t="s">
        <v>1006</v>
      </c>
      <c r="F1" s="90" t="s">
        <v>929</v>
      </c>
      <c r="G1" s="90" t="s">
        <v>1007</v>
      </c>
      <c r="H1" s="91" t="s">
        <v>1008</v>
      </c>
    </row>
    <row r="2" spans="1:10" ht="17.25" thickBot="1" x14ac:dyDescent="0.35">
      <c r="A2" s="204" t="s">
        <v>1010</v>
      </c>
      <c r="B2" s="205"/>
      <c r="C2" s="205"/>
      <c r="D2" s="205"/>
      <c r="E2" s="205"/>
      <c r="F2" s="205"/>
      <c r="G2" s="205"/>
      <c r="H2" s="206"/>
    </row>
    <row r="3" spans="1:10" ht="16.5" customHeight="1" x14ac:dyDescent="0.3">
      <c r="A3" s="101">
        <v>0</v>
      </c>
      <c r="B3" s="84" t="s">
        <v>967</v>
      </c>
      <c r="C3" s="92" t="s">
        <v>1016</v>
      </c>
      <c r="D3" s="92"/>
      <c r="E3" s="93" t="s">
        <v>140</v>
      </c>
      <c r="F3" s="11">
        <v>3</v>
      </c>
      <c r="G3" s="31">
        <v>1</v>
      </c>
      <c r="H3" s="66">
        <v>1</v>
      </c>
    </row>
    <row r="4" spans="1:10" ht="27" x14ac:dyDescent="0.3">
      <c r="A4" s="102">
        <f t="shared" ref="A4:A17" si="0">A3+(G3*H3)</f>
        <v>1</v>
      </c>
      <c r="B4" s="97" t="s">
        <v>830</v>
      </c>
      <c r="C4" s="12" t="s">
        <v>1017</v>
      </c>
      <c r="D4" s="2"/>
      <c r="E4" s="1" t="s">
        <v>140</v>
      </c>
      <c r="F4" s="12">
        <v>3</v>
      </c>
      <c r="G4" s="26">
        <v>1</v>
      </c>
      <c r="H4" s="37">
        <v>1</v>
      </c>
    </row>
    <row r="5" spans="1:10" x14ac:dyDescent="0.3">
      <c r="A5" s="102">
        <f t="shared" si="0"/>
        <v>2</v>
      </c>
      <c r="B5" s="97" t="s">
        <v>976</v>
      </c>
      <c r="C5" s="2" t="s">
        <v>1018</v>
      </c>
      <c r="D5" s="2"/>
      <c r="E5" s="1" t="s">
        <v>140</v>
      </c>
      <c r="F5" s="12">
        <v>3</v>
      </c>
      <c r="G5" s="26">
        <v>1</v>
      </c>
      <c r="H5" s="37">
        <v>1</v>
      </c>
      <c r="J5" s="5" t="s">
        <v>1108</v>
      </c>
    </row>
    <row r="6" spans="1:10" x14ac:dyDescent="0.3">
      <c r="A6" s="102">
        <f t="shared" si="0"/>
        <v>3</v>
      </c>
      <c r="B6" s="97" t="s">
        <v>977</v>
      </c>
      <c r="C6" s="2"/>
      <c r="D6" s="2"/>
      <c r="E6" s="1" t="s">
        <v>140</v>
      </c>
      <c r="F6" s="12">
        <v>3</v>
      </c>
      <c r="G6" s="26">
        <v>1</v>
      </c>
      <c r="H6" s="37">
        <v>1</v>
      </c>
    </row>
    <row r="7" spans="1:10" x14ac:dyDescent="0.3">
      <c r="A7" s="102">
        <f t="shared" si="0"/>
        <v>4</v>
      </c>
      <c r="B7" s="97" t="s">
        <v>968</v>
      </c>
      <c r="C7" s="2" t="s">
        <v>1013</v>
      </c>
      <c r="D7" s="2"/>
      <c r="E7" s="1" t="s">
        <v>140</v>
      </c>
      <c r="F7" s="12">
        <v>3</v>
      </c>
      <c r="G7" s="26">
        <v>1</v>
      </c>
      <c r="H7" s="37">
        <v>32</v>
      </c>
    </row>
    <row r="8" spans="1:10" x14ac:dyDescent="0.3">
      <c r="A8" s="102">
        <f t="shared" si="0"/>
        <v>36</v>
      </c>
      <c r="B8" s="97" t="s">
        <v>1014</v>
      </c>
      <c r="C8" s="2" t="s">
        <v>1015</v>
      </c>
      <c r="D8" s="2"/>
      <c r="E8" s="1" t="s">
        <v>140</v>
      </c>
      <c r="F8" s="12">
        <v>3</v>
      </c>
      <c r="G8" s="26">
        <v>1</v>
      </c>
      <c r="H8" s="37">
        <v>32</v>
      </c>
    </row>
    <row r="9" spans="1:10" x14ac:dyDescent="0.3">
      <c r="A9" s="102">
        <f t="shared" si="0"/>
        <v>68</v>
      </c>
      <c r="B9" s="97" t="s">
        <v>974</v>
      </c>
      <c r="C9" s="2"/>
      <c r="D9" s="2"/>
      <c r="E9" s="1" t="s">
        <v>140</v>
      </c>
      <c r="F9" s="111" t="s">
        <v>1072</v>
      </c>
      <c r="G9" s="26">
        <v>1</v>
      </c>
      <c r="H9" s="37">
        <v>8</v>
      </c>
    </row>
    <row r="10" spans="1:10" x14ac:dyDescent="0.3">
      <c r="A10" s="102">
        <f t="shared" si="0"/>
        <v>76</v>
      </c>
      <c r="B10" s="97" t="s">
        <v>969</v>
      </c>
      <c r="C10" s="2"/>
      <c r="D10" s="2"/>
      <c r="E10" s="1" t="s">
        <v>57</v>
      </c>
      <c r="F10" s="12">
        <v>3</v>
      </c>
      <c r="G10" s="26">
        <f t="shared" ref="G10:G13" si="1">IF(OR(F10="U16", F10="S16"),1,IF(F10="TS",6,2))</f>
        <v>2</v>
      </c>
      <c r="H10" s="37">
        <v>8</v>
      </c>
    </row>
    <row r="11" spans="1:10" x14ac:dyDescent="0.3">
      <c r="A11" s="102">
        <f t="shared" si="0"/>
        <v>92</v>
      </c>
      <c r="B11" s="97" t="s">
        <v>971</v>
      </c>
      <c r="C11" s="2"/>
      <c r="D11" s="2"/>
      <c r="E11" s="1" t="s">
        <v>57</v>
      </c>
      <c r="F11" s="12">
        <v>3</v>
      </c>
      <c r="G11" s="26">
        <f t="shared" si="1"/>
        <v>2</v>
      </c>
      <c r="H11" s="37">
        <v>1</v>
      </c>
    </row>
    <row r="12" spans="1:10" x14ac:dyDescent="0.3">
      <c r="A12" s="102">
        <f t="shared" si="0"/>
        <v>94</v>
      </c>
      <c r="B12" s="97" t="s">
        <v>972</v>
      </c>
      <c r="C12" s="2"/>
      <c r="D12" s="2"/>
      <c r="E12" s="1" t="s">
        <v>57</v>
      </c>
      <c r="F12" s="12">
        <v>3</v>
      </c>
      <c r="G12" s="26">
        <f t="shared" si="1"/>
        <v>2</v>
      </c>
      <c r="H12" s="37">
        <v>1</v>
      </c>
    </row>
    <row r="13" spans="1:10" x14ac:dyDescent="0.3">
      <c r="A13" s="102">
        <f t="shared" si="0"/>
        <v>96</v>
      </c>
      <c r="B13" s="97" t="s">
        <v>973</v>
      </c>
      <c r="C13" s="2"/>
      <c r="D13" s="2"/>
      <c r="E13" s="1" t="s">
        <v>57</v>
      </c>
      <c r="F13" s="12">
        <v>3</v>
      </c>
      <c r="G13" s="26">
        <f t="shared" si="1"/>
        <v>2</v>
      </c>
      <c r="H13" s="37">
        <v>1</v>
      </c>
    </row>
    <row r="14" spans="1:10" ht="17.25" thickBot="1" x14ac:dyDescent="0.35">
      <c r="A14" s="103">
        <f t="shared" si="0"/>
        <v>98</v>
      </c>
      <c r="B14" s="98" t="s">
        <v>1034</v>
      </c>
      <c r="C14" s="95"/>
      <c r="D14" s="95"/>
      <c r="E14" s="61" t="s">
        <v>140</v>
      </c>
      <c r="F14" s="61">
        <v>3</v>
      </c>
      <c r="G14" s="61">
        <f t="shared" ref="G14" si="2">IF(OR(E14="U16", E14="S16"),1,IF(E14="TS",6,2))</f>
        <v>1</v>
      </c>
      <c r="H14" s="41">
        <v>2</v>
      </c>
    </row>
    <row r="15" spans="1:10" ht="17.25" thickBot="1" x14ac:dyDescent="0.35">
      <c r="A15" s="204" t="s">
        <v>1035</v>
      </c>
      <c r="B15" s="205"/>
      <c r="C15" s="205"/>
      <c r="D15" s="205"/>
      <c r="E15" s="205"/>
      <c r="F15" s="205"/>
      <c r="G15" s="205"/>
      <c r="H15" s="206"/>
    </row>
    <row r="16" spans="1:10" x14ac:dyDescent="0.3">
      <c r="A16" s="101">
        <f>A14+(G14*H14)</f>
        <v>100</v>
      </c>
      <c r="B16" s="84" t="s">
        <v>1012</v>
      </c>
      <c r="C16" s="92" t="s">
        <v>1019</v>
      </c>
      <c r="D16" s="92"/>
      <c r="E16" s="11" t="s">
        <v>140</v>
      </c>
      <c r="F16" s="11">
        <v>3</v>
      </c>
      <c r="G16" s="93">
        <v>1</v>
      </c>
      <c r="H16" s="66">
        <v>1</v>
      </c>
    </row>
    <row r="17" spans="1:8" ht="17.25" thickBot="1" x14ac:dyDescent="0.35">
      <c r="A17" s="103">
        <f t="shared" si="0"/>
        <v>101</v>
      </c>
      <c r="B17" s="112" t="s">
        <v>1009</v>
      </c>
      <c r="C17" s="95"/>
      <c r="D17" s="95"/>
      <c r="E17" s="61" t="s">
        <v>140</v>
      </c>
      <c r="F17" s="61">
        <v>3</v>
      </c>
      <c r="G17" s="61">
        <f t="shared" ref="G17" si="3">IF(OR(E17="U16", E17="S16"),1,IF(E17="TS",6,2))</f>
        <v>1</v>
      </c>
      <c r="H17" s="41">
        <v>3</v>
      </c>
    </row>
    <row r="18" spans="1:8" ht="17.25" thickBot="1" x14ac:dyDescent="0.35">
      <c r="A18" s="204" t="s">
        <v>1020</v>
      </c>
      <c r="B18" s="205"/>
      <c r="C18" s="205"/>
      <c r="D18" s="205"/>
      <c r="E18" s="205"/>
      <c r="F18" s="205"/>
      <c r="G18" s="205"/>
      <c r="H18" s="206"/>
    </row>
    <row r="19" spans="1:8" x14ac:dyDescent="0.3">
      <c r="A19" s="113">
        <f>A17+G17*H17</f>
        <v>104</v>
      </c>
      <c r="B19" s="114" t="s">
        <v>1021</v>
      </c>
      <c r="C19" s="243" t="s">
        <v>1024</v>
      </c>
      <c r="D19" s="115"/>
      <c r="E19" s="58" t="s">
        <v>1023</v>
      </c>
      <c r="F19" s="58">
        <v>3</v>
      </c>
      <c r="G19" s="58">
        <v>4</v>
      </c>
      <c r="H19" s="35">
        <v>1</v>
      </c>
    </row>
    <row r="20" spans="1:8" x14ac:dyDescent="0.3">
      <c r="A20" s="102">
        <f t="shared" ref="A20:A37" si="4">A19+(G19*H19)</f>
        <v>108</v>
      </c>
      <c r="B20" s="116" t="s">
        <v>1022</v>
      </c>
      <c r="C20" s="244"/>
      <c r="D20" s="2"/>
      <c r="E20" s="12" t="s">
        <v>140</v>
      </c>
      <c r="F20" s="12">
        <v>3</v>
      </c>
      <c r="G20" s="12">
        <v>1</v>
      </c>
      <c r="H20" s="37">
        <v>1</v>
      </c>
    </row>
    <row r="21" spans="1:8" x14ac:dyDescent="0.3">
      <c r="A21" s="102">
        <f t="shared" si="4"/>
        <v>109</v>
      </c>
      <c r="B21" s="116" t="s">
        <v>1036</v>
      </c>
      <c r="C21" s="244"/>
      <c r="D21" s="2"/>
      <c r="E21" s="12" t="s">
        <v>140</v>
      </c>
      <c r="F21" s="12">
        <v>3</v>
      </c>
      <c r="G21" s="12">
        <v>1</v>
      </c>
      <c r="H21" s="37">
        <v>1</v>
      </c>
    </row>
    <row r="22" spans="1:8" x14ac:dyDescent="0.3">
      <c r="A22" s="102">
        <f t="shared" si="4"/>
        <v>110</v>
      </c>
      <c r="B22" s="116" t="s">
        <v>829</v>
      </c>
      <c r="C22" s="245"/>
      <c r="D22" s="2"/>
      <c r="E22" s="12" t="s">
        <v>140</v>
      </c>
      <c r="F22" s="12">
        <v>3</v>
      </c>
      <c r="G22" s="12">
        <v>1</v>
      </c>
      <c r="H22" s="37">
        <v>2</v>
      </c>
    </row>
    <row r="23" spans="1:8" x14ac:dyDescent="0.3">
      <c r="A23" s="102">
        <f t="shared" si="4"/>
        <v>112</v>
      </c>
      <c r="B23" s="116"/>
      <c r="C23" s="2" t="s">
        <v>1025</v>
      </c>
      <c r="D23" s="2"/>
      <c r="E23" s="12"/>
      <c r="F23" s="12">
        <v>3</v>
      </c>
      <c r="G23" s="12">
        <v>1</v>
      </c>
      <c r="H23" s="37">
        <v>8</v>
      </c>
    </row>
    <row r="24" spans="1:8" x14ac:dyDescent="0.3">
      <c r="A24" s="102">
        <f t="shared" si="4"/>
        <v>120</v>
      </c>
      <c r="B24" s="116"/>
      <c r="C24" s="2" t="s">
        <v>1026</v>
      </c>
      <c r="D24" s="2"/>
      <c r="E24" s="12"/>
      <c r="F24" s="12">
        <v>3</v>
      </c>
      <c r="G24" s="12">
        <v>1</v>
      </c>
      <c r="H24" s="37">
        <v>8</v>
      </c>
    </row>
    <row r="25" spans="1:8" x14ac:dyDescent="0.3">
      <c r="A25" s="102">
        <f t="shared" si="4"/>
        <v>128</v>
      </c>
      <c r="B25" s="116"/>
      <c r="C25" s="2" t="s">
        <v>814</v>
      </c>
      <c r="D25" s="2"/>
      <c r="E25" s="12"/>
      <c r="F25" s="12">
        <v>3</v>
      </c>
      <c r="G25" s="12">
        <v>1</v>
      </c>
      <c r="H25" s="37">
        <v>8</v>
      </c>
    </row>
    <row r="26" spans="1:8" x14ac:dyDescent="0.3">
      <c r="A26" s="102">
        <f t="shared" si="4"/>
        <v>136</v>
      </c>
      <c r="B26" s="116"/>
      <c r="C26" s="2" t="s">
        <v>815</v>
      </c>
      <c r="D26" s="2"/>
      <c r="E26" s="12"/>
      <c r="F26" s="12">
        <v>3</v>
      </c>
      <c r="G26" s="12">
        <v>1</v>
      </c>
      <c r="H26" s="37">
        <v>8</v>
      </c>
    </row>
    <row r="27" spans="1:8" x14ac:dyDescent="0.3">
      <c r="A27" s="102">
        <f t="shared" si="4"/>
        <v>144</v>
      </c>
      <c r="B27" s="116"/>
      <c r="C27" s="2" t="s">
        <v>816</v>
      </c>
      <c r="D27" s="2"/>
      <c r="E27" s="12"/>
      <c r="F27" s="12">
        <v>3</v>
      </c>
      <c r="G27" s="12">
        <v>1</v>
      </c>
      <c r="H27" s="37">
        <v>8</v>
      </c>
    </row>
    <row r="28" spans="1:8" x14ac:dyDescent="0.3">
      <c r="A28" s="102">
        <f t="shared" si="4"/>
        <v>152</v>
      </c>
      <c r="B28" s="116"/>
      <c r="C28" s="2" t="s">
        <v>817</v>
      </c>
      <c r="D28" s="2"/>
      <c r="E28" s="12"/>
      <c r="F28" s="12">
        <v>3</v>
      </c>
      <c r="G28" s="12">
        <v>1</v>
      </c>
      <c r="H28" s="37">
        <v>8</v>
      </c>
    </row>
    <row r="29" spans="1:8" x14ac:dyDescent="0.3">
      <c r="A29" s="102">
        <f t="shared" si="4"/>
        <v>160</v>
      </c>
      <c r="B29" s="116"/>
      <c r="C29" s="2" t="s">
        <v>818</v>
      </c>
      <c r="D29" s="2"/>
      <c r="E29" s="12"/>
      <c r="F29" s="12">
        <v>3</v>
      </c>
      <c r="G29" s="12">
        <v>1</v>
      </c>
      <c r="H29" s="37">
        <v>8</v>
      </c>
    </row>
    <row r="30" spans="1:8" x14ac:dyDescent="0.3">
      <c r="A30" s="102">
        <f t="shared" si="4"/>
        <v>168</v>
      </c>
      <c r="B30" s="116"/>
      <c r="C30" s="2" t="s">
        <v>819</v>
      </c>
      <c r="D30" s="2"/>
      <c r="E30" s="12"/>
      <c r="F30" s="12">
        <v>3</v>
      </c>
      <c r="G30" s="12">
        <v>1</v>
      </c>
      <c r="H30" s="37">
        <v>8</v>
      </c>
    </row>
    <row r="31" spans="1:8" x14ac:dyDescent="0.3">
      <c r="A31" s="102">
        <f t="shared" si="4"/>
        <v>176</v>
      </c>
      <c r="B31" s="116"/>
      <c r="C31" s="2" t="s">
        <v>820</v>
      </c>
      <c r="D31" s="2"/>
      <c r="E31" s="12"/>
      <c r="F31" s="12">
        <v>3</v>
      </c>
      <c r="G31" s="12">
        <v>1</v>
      </c>
      <c r="H31" s="37">
        <v>8</v>
      </c>
    </row>
    <row r="32" spans="1:8" x14ac:dyDescent="0.3">
      <c r="A32" s="102">
        <f t="shared" si="4"/>
        <v>184</v>
      </c>
      <c r="B32" s="116"/>
      <c r="C32" s="2" t="s">
        <v>821</v>
      </c>
      <c r="D32" s="2"/>
      <c r="E32" s="12"/>
      <c r="F32" s="12">
        <v>3</v>
      </c>
      <c r="G32" s="12">
        <v>1</v>
      </c>
      <c r="H32" s="37">
        <v>8</v>
      </c>
    </row>
    <row r="33" spans="1:8" x14ac:dyDescent="0.3">
      <c r="A33" s="102">
        <f t="shared" si="4"/>
        <v>192</v>
      </c>
      <c r="B33" s="116"/>
      <c r="C33" s="2" t="s">
        <v>822</v>
      </c>
      <c r="D33" s="2"/>
      <c r="E33" s="12"/>
      <c r="F33" s="12">
        <v>3</v>
      </c>
      <c r="G33" s="12">
        <v>1</v>
      </c>
      <c r="H33" s="37">
        <v>8</v>
      </c>
    </row>
    <row r="34" spans="1:8" x14ac:dyDescent="0.3">
      <c r="A34" s="102">
        <f t="shared" si="4"/>
        <v>200</v>
      </c>
      <c r="B34" s="116"/>
      <c r="C34" s="2" t="s">
        <v>823</v>
      </c>
      <c r="D34" s="2"/>
      <c r="E34" s="12"/>
      <c r="F34" s="12">
        <v>3</v>
      </c>
      <c r="G34" s="12">
        <v>1</v>
      </c>
      <c r="H34" s="37">
        <v>8</v>
      </c>
    </row>
    <row r="35" spans="1:8" x14ac:dyDescent="0.3">
      <c r="A35" s="102">
        <f t="shared" si="4"/>
        <v>208</v>
      </c>
      <c r="B35" s="116"/>
      <c r="C35" s="2" t="s">
        <v>824</v>
      </c>
      <c r="D35" s="2"/>
      <c r="E35" s="12"/>
      <c r="F35" s="12">
        <v>3</v>
      </c>
      <c r="G35" s="12">
        <v>1</v>
      </c>
      <c r="H35" s="37">
        <v>8</v>
      </c>
    </row>
    <row r="36" spans="1:8" x14ac:dyDescent="0.3">
      <c r="A36" s="102">
        <f t="shared" si="4"/>
        <v>216</v>
      </c>
      <c r="B36" s="116"/>
      <c r="C36" s="2" t="s">
        <v>825</v>
      </c>
      <c r="D36" s="2"/>
      <c r="E36" s="12"/>
      <c r="F36" s="12">
        <v>3</v>
      </c>
      <c r="G36" s="12">
        <v>1</v>
      </c>
      <c r="H36" s="37">
        <v>8</v>
      </c>
    </row>
    <row r="37" spans="1:8" ht="17.25" thickBot="1" x14ac:dyDescent="0.35">
      <c r="A37" s="103">
        <f t="shared" si="4"/>
        <v>224</v>
      </c>
      <c r="B37" s="112"/>
      <c r="C37" s="95" t="s">
        <v>826</v>
      </c>
      <c r="D37" s="95"/>
      <c r="E37" s="61"/>
      <c r="F37" s="61">
        <v>3</v>
      </c>
      <c r="G37" s="12">
        <v>1</v>
      </c>
      <c r="H37" s="37">
        <v>8</v>
      </c>
    </row>
    <row r="38" spans="1:8" ht="17.25" thickBot="1" x14ac:dyDescent="0.35">
      <c r="A38" s="204" t="s">
        <v>1011</v>
      </c>
      <c r="B38" s="205"/>
      <c r="C38" s="205"/>
      <c r="D38" s="205"/>
      <c r="E38" s="205"/>
      <c r="F38" s="205"/>
      <c r="G38" s="205"/>
      <c r="H38" s="206"/>
    </row>
    <row r="39" spans="1:8" x14ac:dyDescent="0.3">
      <c r="A39" s="113">
        <f>A37+(G37*H37)</f>
        <v>232</v>
      </c>
      <c r="B39" s="117" t="s">
        <v>1027</v>
      </c>
      <c r="C39" s="115"/>
      <c r="D39" s="115"/>
      <c r="E39" s="58" t="s">
        <v>140</v>
      </c>
      <c r="F39" s="58" t="s">
        <v>930</v>
      </c>
      <c r="G39" s="58">
        <v>1</v>
      </c>
      <c r="H39" s="35">
        <v>1</v>
      </c>
    </row>
    <row r="40" spans="1:8" x14ac:dyDescent="0.3">
      <c r="A40" s="102">
        <f>A39+(G39*H39)</f>
        <v>233</v>
      </c>
      <c r="B40" s="118" t="s">
        <v>264</v>
      </c>
      <c r="C40" s="2"/>
      <c r="D40" s="2"/>
      <c r="E40" s="12" t="s">
        <v>140</v>
      </c>
      <c r="F40" s="12" t="s">
        <v>930</v>
      </c>
      <c r="G40" s="12">
        <v>1</v>
      </c>
      <c r="H40" s="37">
        <v>1</v>
      </c>
    </row>
    <row r="41" spans="1:8" x14ac:dyDescent="0.3">
      <c r="A41" s="102">
        <f t="shared" ref="A41:A42" si="5">A40+(G40*H40)</f>
        <v>234</v>
      </c>
      <c r="B41" s="118" t="s">
        <v>1215</v>
      </c>
      <c r="C41" s="2"/>
      <c r="D41" s="2"/>
      <c r="E41" s="12" t="s">
        <v>140</v>
      </c>
      <c r="F41" s="12" t="s">
        <v>930</v>
      </c>
      <c r="G41" s="12">
        <v>1</v>
      </c>
      <c r="H41" s="37">
        <v>2</v>
      </c>
    </row>
    <row r="42" spans="1:8" x14ac:dyDescent="0.3">
      <c r="A42" s="102">
        <f t="shared" si="5"/>
        <v>236</v>
      </c>
      <c r="B42" s="118" t="s">
        <v>642</v>
      </c>
      <c r="C42" s="2"/>
      <c r="D42" s="2"/>
      <c r="E42" s="12" t="s">
        <v>1029</v>
      </c>
      <c r="F42" s="12" t="s">
        <v>930</v>
      </c>
      <c r="G42" s="12">
        <v>4</v>
      </c>
      <c r="H42" s="37">
        <v>1</v>
      </c>
    </row>
    <row r="43" spans="1:8" x14ac:dyDescent="0.3">
      <c r="A43" s="102">
        <f t="shared" ref="A43" si="6">A42+(G42*H42)</f>
        <v>240</v>
      </c>
      <c r="B43" s="118" t="s">
        <v>979</v>
      </c>
      <c r="C43" s="2" t="s">
        <v>1028</v>
      </c>
      <c r="D43" s="2"/>
      <c r="E43" s="12" t="s">
        <v>140</v>
      </c>
      <c r="F43" s="12" t="s">
        <v>930</v>
      </c>
      <c r="G43" s="12">
        <v>1</v>
      </c>
      <c r="H43" s="37">
        <v>32</v>
      </c>
    </row>
    <row r="44" spans="1:8" x14ac:dyDescent="0.3">
      <c r="A44" s="102">
        <f t="shared" ref="A44:A72" si="7">A43+(G43*H43)</f>
        <v>272</v>
      </c>
      <c r="B44" s="118" t="s">
        <v>980</v>
      </c>
      <c r="C44" s="2" t="s">
        <v>1030</v>
      </c>
      <c r="D44" s="2"/>
      <c r="E44" s="12" t="s">
        <v>140</v>
      </c>
      <c r="F44" s="12" t="s">
        <v>930</v>
      </c>
      <c r="G44" s="12">
        <v>1</v>
      </c>
      <c r="H44" s="37">
        <v>32</v>
      </c>
    </row>
    <row r="45" spans="1:8" x14ac:dyDescent="0.3">
      <c r="A45" s="102">
        <f t="shared" si="7"/>
        <v>304</v>
      </c>
      <c r="B45" s="118" t="s">
        <v>981</v>
      </c>
      <c r="C45" s="1" t="s">
        <v>1031</v>
      </c>
      <c r="D45" s="9"/>
      <c r="E45" s="12" t="s">
        <v>140</v>
      </c>
      <c r="F45" s="12" t="s">
        <v>930</v>
      </c>
      <c r="G45" s="12">
        <v>1</v>
      </c>
      <c r="H45" s="37">
        <v>32</v>
      </c>
    </row>
    <row r="46" spans="1:8" x14ac:dyDescent="0.3">
      <c r="A46" s="102">
        <f t="shared" si="7"/>
        <v>336</v>
      </c>
      <c r="B46" s="118" t="s">
        <v>982</v>
      </c>
      <c r="C46" s="1" t="s">
        <v>1032</v>
      </c>
      <c r="D46" s="9"/>
      <c r="E46" s="12" t="s">
        <v>140</v>
      </c>
      <c r="F46" s="12" t="s">
        <v>930</v>
      </c>
      <c r="G46" s="12">
        <v>1</v>
      </c>
      <c r="H46" s="37">
        <v>8</v>
      </c>
    </row>
    <row r="47" spans="1:8" ht="17.25" thickBot="1" x14ac:dyDescent="0.35">
      <c r="A47" s="103">
        <f t="shared" si="7"/>
        <v>344</v>
      </c>
      <c r="B47" s="99" t="s">
        <v>983</v>
      </c>
      <c r="C47" s="151" t="s">
        <v>1033</v>
      </c>
      <c r="D47" s="78"/>
      <c r="E47" s="62" t="s">
        <v>140</v>
      </c>
      <c r="F47" s="61" t="s">
        <v>930</v>
      </c>
      <c r="G47" s="62">
        <v>1</v>
      </c>
      <c r="H47" s="41">
        <v>8</v>
      </c>
    </row>
    <row r="48" spans="1:8" x14ac:dyDescent="0.3">
      <c r="A48" s="113">
        <f t="shared" si="7"/>
        <v>352</v>
      </c>
      <c r="B48" s="161" t="s">
        <v>984</v>
      </c>
      <c r="C48" s="77"/>
      <c r="D48" s="77"/>
      <c r="E48" s="53" t="s">
        <v>140</v>
      </c>
      <c r="F48" s="58" t="s">
        <v>930</v>
      </c>
      <c r="G48" s="53">
        <v>1</v>
      </c>
      <c r="H48" s="35">
        <v>8</v>
      </c>
    </row>
    <row r="49" spans="1:8" x14ac:dyDescent="0.3">
      <c r="A49" s="102">
        <f t="shared" si="7"/>
        <v>360</v>
      </c>
      <c r="B49" s="126" t="s">
        <v>985</v>
      </c>
      <c r="C49" s="9"/>
      <c r="D49" s="9"/>
      <c r="E49" s="22" t="s">
        <v>57</v>
      </c>
      <c r="F49" s="12" t="s">
        <v>930</v>
      </c>
      <c r="G49" s="22">
        <v>2</v>
      </c>
      <c r="H49" s="37">
        <v>1</v>
      </c>
    </row>
    <row r="50" spans="1:8" x14ac:dyDescent="0.3">
      <c r="A50" s="102">
        <f t="shared" si="7"/>
        <v>362</v>
      </c>
      <c r="B50" s="126" t="s">
        <v>986</v>
      </c>
      <c r="C50" s="9"/>
      <c r="D50" s="9"/>
      <c r="E50" s="22" t="s">
        <v>57</v>
      </c>
      <c r="F50" s="12" t="s">
        <v>930</v>
      </c>
      <c r="G50" s="22">
        <v>2</v>
      </c>
      <c r="H50" s="37">
        <v>1</v>
      </c>
    </row>
    <row r="51" spans="1:8" x14ac:dyDescent="0.3">
      <c r="A51" s="102">
        <f t="shared" si="7"/>
        <v>364</v>
      </c>
      <c r="B51" s="126" t="s">
        <v>987</v>
      </c>
      <c r="C51" s="9"/>
      <c r="D51" s="9"/>
      <c r="E51" s="22" t="s">
        <v>57</v>
      </c>
      <c r="F51" s="12" t="s">
        <v>930</v>
      </c>
      <c r="G51" s="22">
        <v>2</v>
      </c>
      <c r="H51" s="37">
        <v>1</v>
      </c>
    </row>
    <row r="52" spans="1:8" x14ac:dyDescent="0.3">
      <c r="A52" s="102">
        <f t="shared" si="7"/>
        <v>366</v>
      </c>
      <c r="B52" s="126" t="s">
        <v>988</v>
      </c>
      <c r="C52" s="9"/>
      <c r="D52" s="9"/>
      <c r="E52" s="22" t="s">
        <v>57</v>
      </c>
      <c r="F52" s="12" t="s">
        <v>930</v>
      </c>
      <c r="G52" s="22">
        <v>2</v>
      </c>
      <c r="H52" s="37">
        <v>1</v>
      </c>
    </row>
    <row r="53" spans="1:8" x14ac:dyDescent="0.3">
      <c r="A53" s="102">
        <f t="shared" si="7"/>
        <v>368</v>
      </c>
      <c r="B53" s="126" t="s">
        <v>989</v>
      </c>
      <c r="C53" s="9"/>
      <c r="D53" s="9"/>
      <c r="E53" s="22" t="s">
        <v>57</v>
      </c>
      <c r="F53" s="12" t="s">
        <v>930</v>
      </c>
      <c r="G53" s="22">
        <v>2</v>
      </c>
      <c r="H53" s="37">
        <v>1</v>
      </c>
    </row>
    <row r="54" spans="1:8" x14ac:dyDescent="0.3">
      <c r="A54" s="102">
        <f t="shared" si="7"/>
        <v>370</v>
      </c>
      <c r="B54" s="126" t="s">
        <v>990</v>
      </c>
      <c r="C54" s="9"/>
      <c r="D54" s="9"/>
      <c r="E54" s="22" t="s">
        <v>57</v>
      </c>
      <c r="F54" s="12" t="s">
        <v>930</v>
      </c>
      <c r="G54" s="22">
        <v>2</v>
      </c>
      <c r="H54" s="37">
        <v>1</v>
      </c>
    </row>
    <row r="55" spans="1:8" x14ac:dyDescent="0.3">
      <c r="A55" s="102">
        <f t="shared" si="7"/>
        <v>372</v>
      </c>
      <c r="B55" s="126" t="s">
        <v>991</v>
      </c>
      <c r="C55" s="9"/>
      <c r="D55" s="9"/>
      <c r="E55" s="22" t="s">
        <v>57</v>
      </c>
      <c r="F55" s="12" t="s">
        <v>930</v>
      </c>
      <c r="G55" s="22">
        <v>2</v>
      </c>
      <c r="H55" s="37">
        <v>1</v>
      </c>
    </row>
    <row r="56" spans="1:8" x14ac:dyDescent="0.3">
      <c r="A56" s="102">
        <f t="shared" si="7"/>
        <v>374</v>
      </c>
      <c r="B56" s="126" t="s">
        <v>992</v>
      </c>
      <c r="C56" s="9"/>
      <c r="D56" s="9"/>
      <c r="E56" s="22" t="s">
        <v>57</v>
      </c>
      <c r="F56" s="12" t="s">
        <v>930</v>
      </c>
      <c r="G56" s="22">
        <v>2</v>
      </c>
      <c r="H56" s="37">
        <v>1</v>
      </c>
    </row>
    <row r="57" spans="1:8" x14ac:dyDescent="0.3">
      <c r="A57" s="102">
        <f t="shared" si="7"/>
        <v>376</v>
      </c>
      <c r="B57" s="126" t="s">
        <v>993</v>
      </c>
      <c r="C57" s="9"/>
      <c r="D57" s="9"/>
      <c r="E57" s="22" t="s">
        <v>57</v>
      </c>
      <c r="F57" s="12" t="s">
        <v>930</v>
      </c>
      <c r="G57" s="22">
        <v>2</v>
      </c>
      <c r="H57" s="37">
        <v>1</v>
      </c>
    </row>
    <row r="58" spans="1:8" x14ac:dyDescent="0.3">
      <c r="A58" s="102">
        <f t="shared" si="7"/>
        <v>378</v>
      </c>
      <c r="B58" s="126" t="s">
        <v>994</v>
      </c>
      <c r="C58" s="9"/>
      <c r="D58" s="9"/>
      <c r="E58" s="22" t="s">
        <v>57</v>
      </c>
      <c r="F58" s="12" t="s">
        <v>930</v>
      </c>
      <c r="G58" s="22">
        <v>2</v>
      </c>
      <c r="H58" s="37">
        <v>1</v>
      </c>
    </row>
    <row r="59" spans="1:8" x14ac:dyDescent="0.3">
      <c r="A59" s="102">
        <f t="shared" si="7"/>
        <v>380</v>
      </c>
      <c r="B59" s="126" t="s">
        <v>995</v>
      </c>
      <c r="C59" s="9"/>
      <c r="D59" s="9"/>
      <c r="E59" s="22" t="s">
        <v>57</v>
      </c>
      <c r="F59" s="12" t="s">
        <v>930</v>
      </c>
      <c r="G59" s="22">
        <v>2</v>
      </c>
      <c r="H59" s="37">
        <v>1</v>
      </c>
    </row>
    <row r="60" spans="1:8" x14ac:dyDescent="0.3">
      <c r="A60" s="102">
        <f t="shared" si="7"/>
        <v>382</v>
      </c>
      <c r="B60" s="126" t="s">
        <v>996</v>
      </c>
      <c r="C60" s="9"/>
      <c r="D60" s="9"/>
      <c r="E60" s="22" t="s">
        <v>57</v>
      </c>
      <c r="F60" s="12" t="s">
        <v>930</v>
      </c>
      <c r="G60" s="22">
        <v>2</v>
      </c>
      <c r="H60" s="37">
        <v>1</v>
      </c>
    </row>
    <row r="61" spans="1:8" x14ac:dyDescent="0.3">
      <c r="A61" s="102">
        <f t="shared" si="7"/>
        <v>384</v>
      </c>
      <c r="B61" s="126" t="s">
        <v>997</v>
      </c>
      <c r="C61" s="9"/>
      <c r="D61" s="9"/>
      <c r="E61" s="22" t="s">
        <v>57</v>
      </c>
      <c r="F61" s="12" t="s">
        <v>930</v>
      </c>
      <c r="G61" s="22">
        <v>2</v>
      </c>
      <c r="H61" s="37">
        <v>1</v>
      </c>
    </row>
    <row r="62" spans="1:8" x14ac:dyDescent="0.3">
      <c r="A62" s="102">
        <f t="shared" si="7"/>
        <v>386</v>
      </c>
      <c r="B62" s="126" t="s">
        <v>998</v>
      </c>
      <c r="C62" s="9"/>
      <c r="D62" s="9"/>
      <c r="E62" s="22" t="s">
        <v>57</v>
      </c>
      <c r="F62" s="12" t="s">
        <v>930</v>
      </c>
      <c r="G62" s="22">
        <v>2</v>
      </c>
      <c r="H62" s="37">
        <v>1</v>
      </c>
    </row>
    <row r="63" spans="1:8" x14ac:dyDescent="0.3">
      <c r="A63" s="102">
        <f t="shared" si="7"/>
        <v>388</v>
      </c>
      <c r="B63" s="126" t="s">
        <v>999</v>
      </c>
      <c r="C63" s="9"/>
      <c r="D63" s="9"/>
      <c r="E63" s="22" t="s">
        <v>57</v>
      </c>
      <c r="F63" s="12" t="s">
        <v>930</v>
      </c>
      <c r="G63" s="22">
        <v>2</v>
      </c>
      <c r="H63" s="37">
        <v>1</v>
      </c>
    </row>
    <row r="64" spans="1:8" x14ac:dyDescent="0.3">
      <c r="A64" s="102">
        <f t="shared" si="7"/>
        <v>390</v>
      </c>
      <c r="B64" s="126" t="s">
        <v>1000</v>
      </c>
      <c r="C64" s="9"/>
      <c r="D64" s="9"/>
      <c r="E64" s="22" t="s">
        <v>57</v>
      </c>
      <c r="F64" s="12" t="s">
        <v>930</v>
      </c>
      <c r="G64" s="22">
        <v>2</v>
      </c>
      <c r="H64" s="37">
        <v>1</v>
      </c>
    </row>
    <row r="65" spans="1:8" x14ac:dyDescent="0.3">
      <c r="A65" s="102">
        <f t="shared" si="7"/>
        <v>392</v>
      </c>
      <c r="B65" s="126" t="s">
        <v>265</v>
      </c>
      <c r="C65" s="9"/>
      <c r="D65" s="9"/>
      <c r="E65" s="22" t="s">
        <v>140</v>
      </c>
      <c r="F65" s="12" t="s">
        <v>930</v>
      </c>
      <c r="G65" s="22">
        <v>1</v>
      </c>
      <c r="H65" s="37">
        <v>1</v>
      </c>
    </row>
    <row r="66" spans="1:8" x14ac:dyDescent="0.3">
      <c r="A66" s="102">
        <f t="shared" si="7"/>
        <v>393</v>
      </c>
      <c r="B66" s="126" t="s">
        <v>266</v>
      </c>
      <c r="C66" s="9"/>
      <c r="D66" s="9"/>
      <c r="E66" s="22" t="s">
        <v>140</v>
      </c>
      <c r="F66" s="12" t="s">
        <v>930</v>
      </c>
      <c r="G66" s="22">
        <v>1</v>
      </c>
      <c r="H66" s="37">
        <v>1</v>
      </c>
    </row>
    <row r="67" spans="1:8" x14ac:dyDescent="0.3">
      <c r="A67" s="102">
        <f t="shared" si="7"/>
        <v>394</v>
      </c>
      <c r="B67" s="126" t="s">
        <v>267</v>
      </c>
      <c r="C67" s="9"/>
      <c r="D67" s="9"/>
      <c r="E67" s="22" t="s">
        <v>140</v>
      </c>
      <c r="F67" s="12" t="s">
        <v>930</v>
      </c>
      <c r="G67" s="22">
        <v>1</v>
      </c>
      <c r="H67" s="37">
        <v>1</v>
      </c>
    </row>
    <row r="68" spans="1:8" x14ac:dyDescent="0.3">
      <c r="A68" s="102">
        <f t="shared" si="7"/>
        <v>395</v>
      </c>
      <c r="B68" s="126" t="s">
        <v>268</v>
      </c>
      <c r="C68" s="9"/>
      <c r="D68" s="9"/>
      <c r="E68" s="22" t="s">
        <v>140</v>
      </c>
      <c r="F68" s="12" t="s">
        <v>930</v>
      </c>
      <c r="G68" s="22">
        <v>1</v>
      </c>
      <c r="H68" s="37">
        <v>1</v>
      </c>
    </row>
    <row r="69" spans="1:8" x14ac:dyDescent="0.3">
      <c r="A69" s="102">
        <f t="shared" si="7"/>
        <v>396</v>
      </c>
      <c r="B69" s="126" t="s">
        <v>1001</v>
      </c>
      <c r="C69" s="9"/>
      <c r="D69" s="9"/>
      <c r="E69" s="22" t="s">
        <v>272</v>
      </c>
      <c r="F69" s="12" t="s">
        <v>930</v>
      </c>
      <c r="G69" s="22">
        <v>1</v>
      </c>
      <c r="H69" s="37">
        <v>1</v>
      </c>
    </row>
    <row r="70" spans="1:8" x14ac:dyDescent="0.3">
      <c r="A70" s="102">
        <f t="shared" si="7"/>
        <v>397</v>
      </c>
      <c r="B70" s="126" t="s">
        <v>1002</v>
      </c>
      <c r="C70" s="9"/>
      <c r="D70" s="9"/>
      <c r="E70" s="22" t="s">
        <v>272</v>
      </c>
      <c r="F70" s="12" t="s">
        <v>930</v>
      </c>
      <c r="G70" s="22">
        <v>1</v>
      </c>
      <c r="H70" s="37">
        <v>1</v>
      </c>
    </row>
    <row r="71" spans="1:8" x14ac:dyDescent="0.3">
      <c r="A71" s="102">
        <f t="shared" si="7"/>
        <v>398</v>
      </c>
      <c r="B71" s="126" t="s">
        <v>1094</v>
      </c>
      <c r="C71" s="9"/>
      <c r="D71" s="9"/>
      <c r="E71" s="22" t="s">
        <v>272</v>
      </c>
      <c r="F71" s="12" t="s">
        <v>930</v>
      </c>
      <c r="G71" s="22">
        <v>1</v>
      </c>
      <c r="H71" s="37">
        <v>1</v>
      </c>
    </row>
    <row r="72" spans="1:8" ht="17.25" thickBot="1" x14ac:dyDescent="0.35">
      <c r="A72" s="102">
        <f t="shared" si="7"/>
        <v>399</v>
      </c>
      <c r="B72" s="126" t="s">
        <v>1095</v>
      </c>
      <c r="C72" s="9"/>
      <c r="D72" s="9"/>
      <c r="E72" s="22" t="s">
        <v>272</v>
      </c>
      <c r="F72" s="12" t="s">
        <v>930</v>
      </c>
      <c r="G72" s="22">
        <v>1</v>
      </c>
      <c r="H72" s="37">
        <v>1</v>
      </c>
    </row>
    <row r="73" spans="1:8" ht="17.25" thickBot="1" x14ac:dyDescent="0.35">
      <c r="A73" s="201" t="s">
        <v>1217</v>
      </c>
      <c r="B73" s="202"/>
      <c r="C73" s="202"/>
      <c r="D73" s="202"/>
      <c r="E73" s="202"/>
      <c r="F73" s="205"/>
      <c r="G73" s="205"/>
      <c r="H73" s="206"/>
    </row>
    <row r="74" spans="1:8" x14ac:dyDescent="0.3">
      <c r="A74" s="12">
        <f>A72+(G72*H72)</f>
        <v>400</v>
      </c>
      <c r="B74" s="18" t="s">
        <v>1218</v>
      </c>
      <c r="C74" s="9"/>
      <c r="D74" s="9"/>
      <c r="E74" s="22" t="s">
        <v>272</v>
      </c>
      <c r="F74" s="12">
        <v>6</v>
      </c>
      <c r="G74" s="22">
        <v>1</v>
      </c>
      <c r="H74" s="37">
        <v>1</v>
      </c>
    </row>
    <row r="75" spans="1:8" x14ac:dyDescent="0.3">
      <c r="A75" s="1">
        <v>401</v>
      </c>
      <c r="B75" s="18" t="s">
        <v>1219</v>
      </c>
      <c r="C75" s="9"/>
      <c r="D75" s="9"/>
      <c r="E75" s="22" t="s">
        <v>272</v>
      </c>
      <c r="F75" s="12">
        <v>6</v>
      </c>
      <c r="G75" s="22">
        <v>1</v>
      </c>
      <c r="H75" s="37">
        <v>1</v>
      </c>
    </row>
  </sheetData>
  <mergeCells count="6">
    <mergeCell ref="A73:H73"/>
    <mergeCell ref="A38:H38"/>
    <mergeCell ref="A2:H2"/>
    <mergeCell ref="A18:H18"/>
    <mergeCell ref="A15:H15"/>
    <mergeCell ref="C19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ToDo&amp;Log</vt:lpstr>
      <vt:lpstr>modbus</vt:lpstr>
      <vt:lpstr>Alarm Channel</vt:lpstr>
      <vt:lpstr>IOM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창수 강</cp:lastModifiedBy>
  <cp:lastPrinted>2020-05-15T01:07:18Z</cp:lastPrinted>
  <dcterms:created xsi:type="dcterms:W3CDTF">2018-05-11T05:11:20Z</dcterms:created>
  <dcterms:modified xsi:type="dcterms:W3CDTF">2025-03-17T04:00:32Z</dcterms:modified>
</cp:coreProperties>
</file>