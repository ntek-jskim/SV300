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9BC4C337-093E-4507-9012-B41637B262AC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ToDo&amp;Log" sheetId="17" r:id="rId1"/>
    <sheet name="#1,2,3 Simple" sheetId="32" r:id="rId2"/>
    <sheet name="common" sheetId="35" r:id="rId3"/>
    <sheet name="#1CH modbus" sheetId="1" r:id="rId4"/>
    <sheet name="#2CH modbus" sheetId="33" r:id="rId5"/>
    <sheet name="#3CH modbus" sheetId="34" r:id="rId6"/>
    <sheet name="Alarm Channel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40" i="1" l="1"/>
  <c r="A341" i="1" s="1"/>
  <c r="A342" i="1" s="1"/>
  <c r="A343" i="1" s="1"/>
  <c r="A658" i="34"/>
  <c r="A659" i="34" s="1"/>
  <c r="A660" i="34" s="1"/>
  <c r="A661" i="34" s="1"/>
  <c r="A662" i="34" s="1"/>
  <c r="A663" i="34" s="1"/>
  <c r="G343" i="33"/>
  <c r="A341" i="33"/>
  <c r="A342" i="33" s="1"/>
  <c r="A343" i="33" s="1"/>
  <c r="G663" i="1"/>
  <c r="G662" i="1"/>
  <c r="G661" i="1"/>
  <c r="G660" i="1"/>
  <c r="A344" i="33" l="1"/>
  <c r="G141" i="35" l="1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19" i="35"/>
  <c r="G117" i="35"/>
  <c r="G116" i="35"/>
  <c r="G115" i="35"/>
  <c r="G114" i="35"/>
  <c r="G113" i="35"/>
  <c r="G112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64" i="35"/>
  <c r="G63" i="35"/>
  <c r="G62" i="35"/>
  <c r="G61" i="35"/>
  <c r="G60" i="35"/>
  <c r="G59" i="35"/>
  <c r="G58" i="35"/>
  <c r="G57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4" i="35"/>
  <c r="G13" i="35"/>
  <c r="G12" i="35"/>
  <c r="G11" i="35"/>
  <c r="G10" i="35"/>
  <c r="G9" i="35"/>
  <c r="G8" i="35"/>
  <c r="G7" i="35"/>
  <c r="G6" i="35"/>
  <c r="G5" i="35"/>
  <c r="G4" i="35"/>
  <c r="G3" i="35"/>
  <c r="A4" i="35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8" i="35" s="1"/>
  <c r="A99" i="35" s="1"/>
  <c r="A100" i="35" s="1"/>
  <c r="A101" i="35" s="1"/>
  <c r="A102" i="35" s="1"/>
  <c r="A103" i="35" s="1"/>
  <c r="A104" i="35" s="1"/>
  <c r="A105" i="35" s="1"/>
  <c r="A106" i="35" s="1"/>
  <c r="A107" i="35" s="1"/>
  <c r="A108" i="35" s="1"/>
  <c r="A109" i="35" s="1"/>
  <c r="A110" i="35" s="1"/>
  <c r="A112" i="35" s="1"/>
  <c r="A113" i="35" s="1"/>
  <c r="A114" i="35" s="1"/>
  <c r="A115" i="35" s="1"/>
  <c r="A116" i="35" s="1"/>
  <c r="A117" i="35" s="1"/>
  <c r="A119" i="35" s="1"/>
  <c r="A120" i="35" s="1"/>
  <c r="A121" i="35" s="1"/>
  <c r="A122" i="35" s="1"/>
  <c r="A123" i="35" s="1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3" i="34"/>
  <c r="G932" i="34"/>
  <c r="G931" i="34"/>
  <c r="G930" i="34"/>
  <c r="G928" i="34"/>
  <c r="G927" i="34"/>
  <c r="G926" i="34"/>
  <c r="G925" i="34"/>
  <c r="G923" i="34"/>
  <c r="G922" i="34"/>
  <c r="G921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6" i="34"/>
  <c r="G845" i="34"/>
  <c r="G844" i="34"/>
  <c r="G843" i="34"/>
  <c r="G841" i="34"/>
  <c r="G840" i="34"/>
  <c r="G839" i="34"/>
  <c r="G838" i="34"/>
  <c r="G837" i="34"/>
  <c r="G835" i="34"/>
  <c r="G834" i="34"/>
  <c r="G833" i="34"/>
  <c r="G832" i="34"/>
  <c r="G829" i="34"/>
  <c r="G828" i="34"/>
  <c r="G827" i="34"/>
  <c r="G826" i="34"/>
  <c r="G825" i="34"/>
  <c r="G824" i="34"/>
  <c r="G823" i="34"/>
  <c r="G822" i="34"/>
  <c r="G821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803" i="34"/>
  <c r="G802" i="34"/>
  <c r="G801" i="34"/>
  <c r="G800" i="34"/>
  <c r="G765" i="34"/>
  <c r="G764" i="34"/>
  <c r="G763" i="34"/>
  <c r="G762" i="34"/>
  <c r="G761" i="34"/>
  <c r="G760" i="34"/>
  <c r="G759" i="34"/>
  <c r="G758" i="34"/>
  <c r="G757" i="34"/>
  <c r="G756" i="34"/>
  <c r="G755" i="34"/>
  <c r="G754" i="34"/>
  <c r="G753" i="34"/>
  <c r="G719" i="34"/>
  <c r="G718" i="34"/>
  <c r="G717" i="34"/>
  <c r="G716" i="34"/>
  <c r="G715" i="34"/>
  <c r="G714" i="34"/>
  <c r="G713" i="34"/>
  <c r="G712" i="34"/>
  <c r="G711" i="34"/>
  <c r="G710" i="34"/>
  <c r="G709" i="34"/>
  <c r="G708" i="34"/>
  <c r="G707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56" i="34"/>
  <c r="G655" i="34"/>
  <c r="G654" i="34"/>
  <c r="G652" i="34"/>
  <c r="G651" i="34"/>
  <c r="G650" i="34"/>
  <c r="G648" i="34"/>
  <c r="G647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7" i="34"/>
  <c r="G596" i="34"/>
  <c r="G595" i="34"/>
  <c r="G594" i="34"/>
  <c r="G593" i="34"/>
  <c r="G592" i="34"/>
  <c r="G591" i="34"/>
  <c r="G589" i="34"/>
  <c r="G588" i="34"/>
  <c r="G587" i="34"/>
  <c r="G586" i="34"/>
  <c r="G585" i="34"/>
  <c r="G584" i="34"/>
  <c r="G583" i="34"/>
  <c r="G582" i="34"/>
  <c r="G581" i="34"/>
  <c r="G580" i="34"/>
  <c r="G579" i="34"/>
  <c r="G578" i="34"/>
  <c r="G577" i="34"/>
  <c r="G576" i="34"/>
  <c r="G575" i="34"/>
  <c r="G574" i="34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6" i="34"/>
  <c r="G525" i="34"/>
  <c r="G524" i="34"/>
  <c r="G523" i="34"/>
  <c r="G522" i="34"/>
  <c r="G521" i="34"/>
  <c r="G520" i="34"/>
  <c r="G519" i="34"/>
  <c r="G518" i="34"/>
  <c r="G517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4" i="34"/>
  <c r="G473" i="34"/>
  <c r="G472" i="34"/>
  <c r="G471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3" i="34"/>
  <c r="G432" i="34"/>
  <c r="G431" i="34"/>
  <c r="G430" i="34"/>
  <c r="G429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4" i="34"/>
  <c r="G333" i="34"/>
  <c r="G332" i="34"/>
  <c r="G331" i="34"/>
  <c r="G330" i="34"/>
  <c r="G329" i="34"/>
  <c r="G328" i="34"/>
  <c r="G327" i="34"/>
  <c r="G326" i="34"/>
  <c r="G325" i="34"/>
  <c r="G323" i="34"/>
  <c r="G322" i="34"/>
  <c r="G321" i="34"/>
  <c r="G320" i="34"/>
  <c r="G319" i="34"/>
  <c r="G318" i="34"/>
  <c r="G317" i="34"/>
  <c r="G316" i="34"/>
  <c r="G315" i="34"/>
  <c r="G314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19" i="34"/>
  <c r="G218" i="34"/>
  <c r="G21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3" i="34"/>
  <c r="A4" i="34" s="1"/>
  <c r="A5" i="34" s="1"/>
  <c r="A6" i="34" s="1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3" i="33"/>
  <c r="G932" i="33"/>
  <c r="G931" i="33"/>
  <c r="G930" i="33"/>
  <c r="G928" i="33"/>
  <c r="G927" i="33"/>
  <c r="G926" i="33"/>
  <c r="G925" i="33"/>
  <c r="G923" i="33"/>
  <c r="G922" i="33"/>
  <c r="G921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6" i="33"/>
  <c r="G845" i="33"/>
  <c r="G844" i="33"/>
  <c r="G843" i="33"/>
  <c r="G841" i="33"/>
  <c r="G840" i="33"/>
  <c r="G839" i="33"/>
  <c r="G838" i="33"/>
  <c r="G837" i="33"/>
  <c r="G835" i="33"/>
  <c r="G834" i="33"/>
  <c r="G833" i="33"/>
  <c r="G832" i="33"/>
  <c r="G829" i="33"/>
  <c r="G828" i="33"/>
  <c r="G827" i="33"/>
  <c r="G826" i="33"/>
  <c r="G825" i="33"/>
  <c r="G824" i="33"/>
  <c r="G823" i="33"/>
  <c r="G822" i="33"/>
  <c r="G821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803" i="33"/>
  <c r="G802" i="33"/>
  <c r="G801" i="33"/>
  <c r="G800" i="33"/>
  <c r="G765" i="33"/>
  <c r="G764" i="33"/>
  <c r="G763" i="33"/>
  <c r="G762" i="33"/>
  <c r="G761" i="33"/>
  <c r="G760" i="33"/>
  <c r="G759" i="33"/>
  <c r="G758" i="33"/>
  <c r="G757" i="33"/>
  <c r="G756" i="33"/>
  <c r="G755" i="33"/>
  <c r="G754" i="33"/>
  <c r="G753" i="33"/>
  <c r="G719" i="33"/>
  <c r="G718" i="33"/>
  <c r="G717" i="33"/>
  <c r="G716" i="33"/>
  <c r="G715" i="33"/>
  <c r="G714" i="33"/>
  <c r="G713" i="33"/>
  <c r="G712" i="33"/>
  <c r="G711" i="33"/>
  <c r="G710" i="33"/>
  <c r="G709" i="33"/>
  <c r="G708" i="33"/>
  <c r="G707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5" i="33"/>
  <c r="G654" i="33"/>
  <c r="G653" i="33"/>
  <c r="G651" i="33"/>
  <c r="G650" i="33"/>
  <c r="G649" i="33"/>
  <c r="G648" i="33"/>
  <c r="G647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7" i="33"/>
  <c r="G596" i="33"/>
  <c r="G595" i="33"/>
  <c r="G594" i="33"/>
  <c r="G592" i="33"/>
  <c r="G591" i="33"/>
  <c r="G590" i="33"/>
  <c r="G589" i="33"/>
  <c r="G588" i="33"/>
  <c r="G587" i="33"/>
  <c r="G586" i="33"/>
  <c r="G585" i="33"/>
  <c r="G584" i="33"/>
  <c r="G583" i="33"/>
  <c r="G582" i="33"/>
  <c r="G581" i="33"/>
  <c r="G580" i="33"/>
  <c r="G579" i="33"/>
  <c r="G578" i="33"/>
  <c r="G577" i="33"/>
  <c r="G576" i="33"/>
  <c r="G575" i="33"/>
  <c r="G574" i="33"/>
  <c r="G573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2" i="33"/>
  <c r="G541" i="33"/>
  <c r="G540" i="33"/>
  <c r="G539" i="33"/>
  <c r="G538" i="33"/>
  <c r="G537" i="33"/>
  <c r="G536" i="33"/>
  <c r="G535" i="33"/>
  <c r="G534" i="33"/>
  <c r="G533" i="33"/>
  <c r="G532" i="33"/>
  <c r="G531" i="33"/>
  <c r="G529" i="33"/>
  <c r="G528" i="33"/>
  <c r="G527" i="33"/>
  <c r="G526" i="33"/>
  <c r="G525" i="33"/>
  <c r="G524" i="33"/>
  <c r="G523" i="33"/>
  <c r="G522" i="33"/>
  <c r="G521" i="33"/>
  <c r="G520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7" i="33"/>
  <c r="G476" i="33"/>
  <c r="G475" i="33"/>
  <c r="G474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6" i="33"/>
  <c r="G435" i="33"/>
  <c r="G434" i="33"/>
  <c r="G433" i="33"/>
  <c r="G432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6" i="33"/>
  <c r="G395" i="33"/>
  <c r="G394" i="33"/>
  <c r="G393" i="33"/>
  <c r="G392" i="33"/>
  <c r="G391" i="33"/>
  <c r="G390" i="33"/>
  <c r="G389" i="33"/>
  <c r="G387" i="33"/>
  <c r="G386" i="33"/>
  <c r="G385" i="33"/>
  <c r="G384" i="33"/>
  <c r="G383" i="33"/>
  <c r="G382" i="33"/>
  <c r="G381" i="33"/>
  <c r="G380" i="33"/>
  <c r="G379" i="33"/>
  <c r="G378" i="33"/>
  <c r="G377" i="33"/>
  <c r="G376" i="33"/>
  <c r="G375" i="33"/>
  <c r="G374" i="33"/>
  <c r="G373" i="33"/>
  <c r="G372" i="33"/>
  <c r="G371" i="33"/>
  <c r="G370" i="33"/>
  <c r="G369" i="33"/>
  <c r="G368" i="33"/>
  <c r="G367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38" i="33"/>
  <c r="G337" i="33"/>
  <c r="G336" i="33"/>
  <c r="G334" i="33"/>
  <c r="G333" i="33"/>
  <c r="G332" i="33"/>
  <c r="G331" i="33"/>
  <c r="G330" i="33"/>
  <c r="G329" i="33"/>
  <c r="G328" i="33"/>
  <c r="G327" i="33"/>
  <c r="G326" i="33"/>
  <c r="G325" i="33"/>
  <c r="G323" i="33"/>
  <c r="G322" i="33"/>
  <c r="G321" i="33"/>
  <c r="G320" i="33"/>
  <c r="G319" i="33"/>
  <c r="G318" i="33"/>
  <c r="G317" i="33"/>
  <c r="G316" i="33"/>
  <c r="G315" i="33"/>
  <c r="G314" i="33"/>
  <c r="G312" i="33"/>
  <c r="G311" i="33"/>
  <c r="G310" i="33"/>
  <c r="G309" i="33"/>
  <c r="G308" i="33"/>
  <c r="G307" i="33"/>
  <c r="G306" i="33"/>
  <c r="G305" i="33"/>
  <c r="G304" i="33"/>
  <c r="G303" i="33"/>
  <c r="G302" i="33"/>
  <c r="G301" i="33"/>
  <c r="G300" i="33"/>
  <c r="G299" i="33"/>
  <c r="G298" i="33"/>
  <c r="G297" i="33"/>
  <c r="G296" i="33"/>
  <c r="G295" i="33"/>
  <c r="G294" i="33"/>
  <c r="G293" i="33"/>
  <c r="G292" i="33"/>
  <c r="G291" i="33"/>
  <c r="G290" i="33"/>
  <c r="G289" i="33"/>
  <c r="G288" i="33"/>
  <c r="G287" i="33"/>
  <c r="G286" i="33"/>
  <c r="G285" i="33"/>
  <c r="G284" i="33"/>
  <c r="G283" i="33"/>
  <c r="G282" i="33"/>
  <c r="G281" i="33"/>
  <c r="G280" i="33"/>
  <c r="G279" i="33"/>
  <c r="G278" i="33"/>
  <c r="G277" i="33"/>
  <c r="G276" i="33"/>
  <c r="G275" i="33"/>
  <c r="G274" i="33"/>
  <c r="G273" i="33"/>
  <c r="G272" i="33"/>
  <c r="G271" i="33"/>
  <c r="G270" i="33"/>
  <c r="G269" i="33"/>
  <c r="G268" i="33"/>
  <c r="G267" i="33"/>
  <c r="G266" i="33"/>
  <c r="G265" i="33"/>
  <c r="G219" i="33"/>
  <c r="G218" i="33"/>
  <c r="G21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3" i="33"/>
  <c r="A4" i="33" s="1"/>
  <c r="A5" i="33" s="1"/>
  <c r="A6" i="33" s="1"/>
  <c r="A7" i="33" s="1"/>
  <c r="A8" i="33" l="1"/>
  <c r="A124" i="35"/>
  <c r="A7" i="34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5" i="34" s="1"/>
  <c r="A266" i="34" s="1"/>
  <c r="A267" i="34" s="1"/>
  <c r="A268" i="34" s="1"/>
  <c r="A269" i="34" s="1"/>
  <c r="A270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4" i="34" s="1"/>
  <c r="A315" i="34" s="1"/>
  <c r="A316" i="34" s="1"/>
  <c r="A317" i="34" s="1"/>
  <c r="A318" i="34" s="1"/>
  <c r="A319" i="34" s="1"/>
  <c r="A320" i="34" s="1"/>
  <c r="A321" i="34" s="1"/>
  <c r="A322" i="34" s="1"/>
  <c r="A323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8" i="34" s="1"/>
  <c r="A379" i="34" s="1"/>
  <c r="A380" i="34" s="1"/>
  <c r="A381" i="34" s="1"/>
  <c r="A382" i="34" s="1"/>
  <c r="A383" i="34" s="1"/>
  <c r="A384" i="34" s="1"/>
  <c r="A386" i="34" s="1"/>
  <c r="A387" i="34" s="1"/>
  <c r="A388" i="34" s="1"/>
  <c r="A389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2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1" i="34" s="1"/>
  <c r="A472" i="34" s="1"/>
  <c r="A473" i="34" s="1"/>
  <c r="A474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5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8" i="34" s="1"/>
  <c r="A529" i="34" s="1"/>
  <c r="A530" i="34" s="1"/>
  <c r="A531" i="34" s="1"/>
  <c r="A532" i="34" s="1"/>
  <c r="A533" i="34" s="1"/>
  <c r="A534" i="34" s="1"/>
  <c r="A535" i="34" s="1"/>
  <c r="A536" i="34" s="1"/>
  <c r="A537" i="34" s="1"/>
  <c r="A538" i="34" s="1"/>
  <c r="A539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3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4" i="34" s="1"/>
  <c r="A585" i="34" s="1"/>
  <c r="A586" i="34" s="1"/>
  <c r="A587" i="34" s="1"/>
  <c r="A588" i="34" s="1"/>
  <c r="A589" i="34" s="1"/>
  <c r="A591" i="34" s="1"/>
  <c r="A592" i="34" s="1"/>
  <c r="A593" i="34" s="1"/>
  <c r="A594" i="34" s="1"/>
  <c r="A595" i="34" s="1"/>
  <c r="A596" i="34" s="1"/>
  <c r="A597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A608" i="34" s="1"/>
  <c r="A609" i="34" s="1"/>
  <c r="A610" i="34" s="1"/>
  <c r="A611" i="34" s="1"/>
  <c r="A612" i="34" s="1"/>
  <c r="A613" i="34" s="1"/>
  <c r="A614" i="34" s="1"/>
  <c r="A615" i="34" s="1"/>
  <c r="A616" i="34" s="1"/>
  <c r="A617" i="34" s="1"/>
  <c r="A618" i="34" s="1"/>
  <c r="A619" i="34" s="1"/>
  <c r="A620" i="34" s="1"/>
  <c r="A621" i="34" s="1"/>
  <c r="A622" i="34" s="1"/>
  <c r="A623" i="34" s="1"/>
  <c r="A624" i="34" s="1"/>
  <c r="A625" i="34" s="1"/>
  <c r="A626" i="34" s="1"/>
  <c r="A627" i="34" s="1"/>
  <c r="A628" i="34" s="1"/>
  <c r="A629" i="34" s="1"/>
  <c r="A630" i="34" s="1"/>
  <c r="A631" i="34" s="1"/>
  <c r="A632" i="34" s="1"/>
  <c r="A633" i="34" s="1"/>
  <c r="A634" i="34" s="1"/>
  <c r="A635" i="34" s="1"/>
  <c r="A636" i="34" s="1"/>
  <c r="A637" i="34" s="1"/>
  <c r="A638" i="34" s="1"/>
  <c r="A639" i="34" s="1"/>
  <c r="A640" i="34" s="1"/>
  <c r="A641" i="34" s="1"/>
  <c r="A642" i="34" s="1"/>
  <c r="A643" i="34" s="1"/>
  <c r="A644" i="34" s="1"/>
  <c r="A645" i="34" s="1"/>
  <c r="A646" i="34" s="1"/>
  <c r="A647" i="34" s="1"/>
  <c r="A648" i="34" s="1"/>
  <c r="A650" i="34" s="1"/>
  <c r="A651" i="34" s="1"/>
  <c r="A652" i="34" s="1"/>
  <c r="A654" i="34" s="1"/>
  <c r="A655" i="34" s="1"/>
  <c r="A656" i="34" s="1"/>
  <c r="A657" i="34" s="1"/>
  <c r="A664" i="34" s="1"/>
  <c r="A665" i="34" s="1"/>
  <c r="A666" i="34" s="1"/>
  <c r="A667" i="34" s="1"/>
  <c r="A668" i="34" s="1"/>
  <c r="A669" i="34" s="1"/>
  <c r="A670" i="34" s="1"/>
  <c r="A671" i="34" s="1"/>
  <c r="A672" i="34" s="1"/>
  <c r="A673" i="34" s="1"/>
  <c r="A674" i="34" s="1"/>
  <c r="A675" i="34" s="1"/>
  <c r="A676" i="34" s="1"/>
  <c r="A677" i="34" s="1"/>
  <c r="A678" i="34" s="1"/>
  <c r="A679" i="34" s="1"/>
  <c r="A680" i="34" s="1"/>
  <c r="A681" i="34" s="1"/>
  <c r="A682" i="34" s="1"/>
  <c r="A683" i="34" s="1"/>
  <c r="A684" i="34" s="1"/>
  <c r="A685" i="34" s="1"/>
  <c r="A686" i="34" s="1"/>
  <c r="A687" i="34" s="1"/>
  <c r="A688" i="34" s="1"/>
  <c r="A689" i="34" s="1"/>
  <c r="A690" i="34" s="1"/>
  <c r="A691" i="34" s="1"/>
  <c r="A692" i="34" s="1"/>
  <c r="A693" i="34" s="1"/>
  <c r="A694" i="34" s="1"/>
  <c r="A695" i="34" s="1"/>
  <c r="A696" i="34" s="1"/>
  <c r="A697" i="34" s="1"/>
  <c r="A698" i="34" s="1"/>
  <c r="A699" i="34" s="1"/>
  <c r="A700" i="34" s="1"/>
  <c r="A701" i="34" s="1"/>
  <c r="A702" i="34" s="1"/>
  <c r="A703" i="34" s="1"/>
  <c r="A704" i="34" s="1"/>
  <c r="A705" i="34" s="1"/>
  <c r="A707" i="34" s="1"/>
  <c r="A708" i="34" s="1"/>
  <c r="A709" i="34" s="1"/>
  <c r="A710" i="34" s="1"/>
  <c r="A711" i="34" s="1"/>
  <c r="A712" i="34" s="1"/>
  <c r="A713" i="34" s="1"/>
  <c r="A714" i="34" s="1"/>
  <c r="A715" i="34" s="1"/>
  <c r="A716" i="34" s="1"/>
  <c r="A717" i="34" s="1"/>
  <c r="A718" i="34" s="1"/>
  <c r="A719" i="34" s="1"/>
  <c r="A720" i="34" s="1"/>
  <c r="A721" i="34" s="1"/>
  <c r="A722" i="34" s="1"/>
  <c r="A723" i="34" s="1"/>
  <c r="A724" i="34" s="1"/>
  <c r="A725" i="34" s="1"/>
  <c r="A726" i="34" s="1"/>
  <c r="A727" i="34" s="1"/>
  <c r="A728" i="34" s="1"/>
  <c r="A729" i="34" s="1"/>
  <c r="A730" i="34" s="1"/>
  <c r="A731" i="34" s="1"/>
  <c r="A732" i="34" s="1"/>
  <c r="A733" i="34" s="1"/>
  <c r="A734" i="34" s="1"/>
  <c r="A735" i="34" s="1"/>
  <c r="A736" i="34" s="1"/>
  <c r="A737" i="34" s="1"/>
  <c r="A738" i="34" s="1"/>
  <c r="A739" i="34" s="1"/>
  <c r="A740" i="34" s="1"/>
  <c r="A741" i="34" s="1"/>
  <c r="A742" i="34" s="1"/>
  <c r="A743" i="34" s="1"/>
  <c r="A744" i="34" s="1"/>
  <c r="A745" i="34" s="1"/>
  <c r="A746" i="34" s="1"/>
  <c r="A747" i="34" s="1"/>
  <c r="A748" i="34" s="1"/>
  <c r="A749" i="34" s="1"/>
  <c r="A750" i="34" s="1"/>
  <c r="A751" i="34" s="1"/>
  <c r="A753" i="34" s="1"/>
  <c r="A754" i="34" s="1"/>
  <c r="A755" i="34" s="1"/>
  <c r="A756" i="34" s="1"/>
  <c r="A757" i="34" s="1"/>
  <c r="A758" i="34" s="1"/>
  <c r="A759" i="34" s="1"/>
  <c r="A760" i="34" s="1"/>
  <c r="A761" i="34" s="1"/>
  <c r="A762" i="34" s="1"/>
  <c r="A763" i="34" s="1"/>
  <c r="A764" i="34" s="1"/>
  <c r="A765" i="34" s="1"/>
  <c r="A766" i="34" s="1"/>
  <c r="A767" i="34" s="1"/>
  <c r="A768" i="34" s="1"/>
  <c r="A769" i="34" s="1"/>
  <c r="A770" i="34" s="1"/>
  <c r="A771" i="34" s="1"/>
  <c r="A772" i="34" s="1"/>
  <c r="A773" i="34" s="1"/>
  <c r="A774" i="34" s="1"/>
  <c r="A775" i="34" s="1"/>
  <c r="A776" i="34" s="1"/>
  <c r="A777" i="34" s="1"/>
  <c r="A778" i="34" s="1"/>
  <c r="A779" i="34" s="1"/>
  <c r="A780" i="34" s="1"/>
  <c r="A781" i="34" s="1"/>
  <c r="A782" i="34" s="1"/>
  <c r="A783" i="34" s="1"/>
  <c r="A784" i="34" s="1"/>
  <c r="A785" i="34" s="1"/>
  <c r="A786" i="34" s="1"/>
  <c r="A787" i="34" s="1"/>
  <c r="A788" i="34" s="1"/>
  <c r="A789" i="34" s="1"/>
  <c r="A790" i="34" s="1"/>
  <c r="A791" i="34" s="1"/>
  <c r="A792" i="34" s="1"/>
  <c r="A793" i="34" s="1"/>
  <c r="A794" i="34" s="1"/>
  <c r="A795" i="34" s="1"/>
  <c r="A796" i="34" s="1"/>
  <c r="A797" i="34" s="1"/>
  <c r="A800" i="34" s="1"/>
  <c r="A801" i="34" s="1"/>
  <c r="A802" i="34" s="1"/>
  <c r="A803" i="34" s="1"/>
  <c r="A804" i="34" s="1"/>
  <c r="A805" i="34" s="1"/>
  <c r="A806" i="34" s="1"/>
  <c r="A807" i="34" s="1"/>
  <c r="A808" i="34" s="1"/>
  <c r="A809" i="34" s="1"/>
  <c r="A810" i="34" s="1"/>
  <c r="A811" i="34" s="1"/>
  <c r="A812" i="34" s="1"/>
  <c r="A813" i="34" s="1"/>
  <c r="A814" i="34" s="1"/>
  <c r="A815" i="34" s="1"/>
  <c r="A816" i="34" s="1"/>
  <c r="A817" i="34" s="1"/>
  <c r="A818" i="34" s="1"/>
  <c r="A819" i="34" s="1"/>
  <c r="A821" i="34" s="1"/>
  <c r="A822" i="34" s="1"/>
  <c r="A823" i="34" s="1"/>
  <c r="A824" i="34" s="1"/>
  <c r="A825" i="34" s="1"/>
  <c r="A826" i="34" s="1"/>
  <c r="A827" i="34" s="1"/>
  <c r="A828" i="34" s="1"/>
  <c r="A829" i="34" s="1"/>
  <c r="A832" i="34" s="1"/>
  <c r="A833" i="34" s="1"/>
  <c r="A834" i="34" s="1"/>
  <c r="A835" i="34" s="1"/>
  <c r="A837" i="34" s="1"/>
  <c r="A838" i="34" s="1"/>
  <c r="A839" i="34" s="1"/>
  <c r="A840" i="34" s="1"/>
  <c r="A841" i="34" s="1"/>
  <c r="A843" i="34" s="1"/>
  <c r="A844" i="34" s="1"/>
  <c r="A845" i="34" s="1"/>
  <c r="A846" i="34" s="1"/>
  <c r="A847" i="34" s="1"/>
  <c r="A848" i="34" s="1"/>
  <c r="A849" i="34" s="1"/>
  <c r="A850" i="34" s="1"/>
  <c r="A851" i="34" s="1"/>
  <c r="A852" i="34" s="1"/>
  <c r="A853" i="34" s="1"/>
  <c r="A854" i="34" s="1"/>
  <c r="A855" i="34" s="1"/>
  <c r="A856" i="34" s="1"/>
  <c r="A857" i="34" s="1"/>
  <c r="A858" i="34" s="1"/>
  <c r="A859" i="34" s="1"/>
  <c r="A860" i="34" s="1"/>
  <c r="A861" i="34" s="1"/>
  <c r="A862" i="34" s="1"/>
  <c r="A863" i="34" s="1"/>
  <c r="A864" i="34" s="1"/>
  <c r="A865" i="34" s="1"/>
  <c r="A866" i="34" s="1"/>
  <c r="A867" i="34" s="1"/>
  <c r="A868" i="34" s="1"/>
  <c r="A869" i="34" s="1"/>
  <c r="A870" i="34" s="1"/>
  <c r="A871" i="34" s="1"/>
  <c r="A872" i="34" s="1"/>
  <c r="A873" i="34" s="1"/>
  <c r="A874" i="34" s="1"/>
  <c r="A875" i="34" s="1"/>
  <c r="A876" i="34" s="1"/>
  <c r="A877" i="34" s="1"/>
  <c r="A878" i="34" s="1"/>
  <c r="A879" i="34" s="1"/>
  <c r="A880" i="34" s="1"/>
  <c r="A881" i="34" s="1"/>
  <c r="A882" i="34" s="1"/>
  <c r="A883" i="34" s="1"/>
  <c r="A884" i="34" s="1"/>
  <c r="A885" i="34" s="1"/>
  <c r="A886" i="34" s="1"/>
  <c r="A887" i="34" s="1"/>
  <c r="A888" i="34" s="1"/>
  <c r="A889" i="34" s="1"/>
  <c r="A890" i="34" s="1"/>
  <c r="A891" i="34" s="1"/>
  <c r="A892" i="34" s="1"/>
  <c r="A893" i="34" s="1"/>
  <c r="A894" i="34" s="1"/>
  <c r="A895" i="34" s="1"/>
  <c r="A896" i="34" s="1"/>
  <c r="A897" i="34" s="1"/>
  <c r="A898" i="34" s="1"/>
  <c r="A899" i="34" s="1"/>
  <c r="A900" i="34" s="1"/>
  <c r="A901" i="34" s="1"/>
  <c r="A902" i="34" s="1"/>
  <c r="A903" i="34" s="1"/>
  <c r="A904" i="34" s="1"/>
  <c r="A905" i="34" s="1"/>
  <c r="A906" i="34" s="1"/>
  <c r="A907" i="34" s="1"/>
  <c r="A908" i="34" s="1"/>
  <c r="A909" i="34" s="1"/>
  <c r="A910" i="34" s="1"/>
  <c r="A911" i="34" s="1"/>
  <c r="A912" i="34" s="1"/>
  <c r="A913" i="34" s="1"/>
  <c r="A914" i="34" s="1"/>
  <c r="A915" i="34" s="1"/>
  <c r="A916" i="34" s="1"/>
  <c r="A917" i="34" s="1"/>
  <c r="A918" i="34" s="1"/>
  <c r="A919" i="34" s="1"/>
  <c r="A921" i="34" s="1"/>
  <c r="A922" i="34" s="1"/>
  <c r="A923" i="34" s="1"/>
  <c r="A925" i="34" s="1"/>
  <c r="A926" i="34" s="1"/>
  <c r="A927" i="34" s="1"/>
  <c r="A928" i="34" s="1"/>
  <c r="A930" i="34" s="1"/>
  <c r="A931" i="34" s="1"/>
  <c r="A932" i="34" s="1"/>
  <c r="A933" i="34" s="1"/>
  <c r="A934" i="34" s="1"/>
  <c r="A935" i="34" s="1"/>
  <c r="A936" i="34" s="1"/>
  <c r="A937" i="34" s="1"/>
  <c r="A938" i="34" s="1"/>
  <c r="A939" i="34" s="1"/>
  <c r="A940" i="34" s="1"/>
  <c r="A941" i="34" s="1"/>
  <c r="A942" i="34" s="1"/>
  <c r="A943" i="34" s="1"/>
  <c r="A944" i="34" s="1"/>
  <c r="A945" i="34" s="1"/>
  <c r="A946" i="34" s="1"/>
  <c r="A947" i="34" s="1"/>
  <c r="A948" i="34" s="1"/>
  <c r="A949" i="34" s="1"/>
  <c r="A950" i="34" s="1"/>
  <c r="A951" i="34" s="1"/>
  <c r="A952" i="34" s="1"/>
  <c r="A953" i="34" s="1"/>
  <c r="A954" i="34" s="1"/>
  <c r="A955" i="34" s="1"/>
  <c r="A956" i="34" s="1"/>
  <c r="A957" i="34" s="1"/>
  <c r="A958" i="34" s="1"/>
  <c r="A959" i="34" s="1"/>
  <c r="A960" i="34" s="1"/>
  <c r="A961" i="34" s="1"/>
  <c r="A962" i="34" s="1"/>
  <c r="A963" i="34" s="1"/>
  <c r="A964" i="34" s="1"/>
  <c r="A965" i="34" s="1"/>
  <c r="A9" i="33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76" i="33" s="1"/>
  <c r="A77" i="33" s="1"/>
  <c r="A78" i="33" s="1"/>
  <c r="A79" i="33" s="1"/>
  <c r="A80" i="33" s="1"/>
  <c r="A81" i="33" s="1"/>
  <c r="A82" i="33" s="1"/>
  <c r="A83" i="33" s="1"/>
  <c r="A84" i="33" s="1"/>
  <c r="A85" i="33" s="1"/>
  <c r="A86" i="33" s="1"/>
  <c r="A87" i="33" s="1"/>
  <c r="A88" i="33" s="1"/>
  <c r="A89" i="33" s="1"/>
  <c r="A90" i="33" s="1"/>
  <c r="A91" i="33" s="1"/>
  <c r="A92" i="33" s="1"/>
  <c r="A93" i="33" s="1"/>
  <c r="A94" i="33" s="1"/>
  <c r="A95" i="33" s="1"/>
  <c r="A96" i="33" s="1"/>
  <c r="A97" i="33" s="1"/>
  <c r="A98" i="33" s="1"/>
  <c r="A99" i="33" s="1"/>
  <c r="A100" i="33" s="1"/>
  <c r="A101" i="33" s="1"/>
  <c r="A102" i="33" s="1"/>
  <c r="A103" i="33" s="1"/>
  <c r="A104" i="33" s="1"/>
  <c r="A105" i="33" s="1"/>
  <c r="A106" i="33" s="1"/>
  <c r="A107" i="33" s="1"/>
  <c r="A108" i="33" s="1"/>
  <c r="A109" i="33" s="1"/>
  <c r="A110" i="33" s="1"/>
  <c r="A111" i="33" s="1"/>
  <c r="A112" i="33" s="1"/>
  <c r="A113" i="33" s="1"/>
  <c r="A114" i="33" s="1"/>
  <c r="A115" i="33" s="1"/>
  <c r="A116" i="33" s="1"/>
  <c r="A117" i="33" s="1"/>
  <c r="A118" i="33" s="1"/>
  <c r="A119" i="33" s="1"/>
  <c r="A120" i="33" s="1"/>
  <c r="A121" i="33" s="1"/>
  <c r="A122" i="33" s="1"/>
  <c r="A123" i="33" s="1"/>
  <c r="A125" i="33" s="1"/>
  <c r="A126" i="33" s="1"/>
  <c r="A127" i="33" s="1"/>
  <c r="A128" i="33" s="1"/>
  <c r="A129" i="33" s="1"/>
  <c r="A130" i="33" s="1"/>
  <c r="A131" i="33" s="1"/>
  <c r="A132" i="33" s="1"/>
  <c r="A133" i="33" s="1"/>
  <c r="A134" i="33" s="1"/>
  <c r="A135" i="33" s="1"/>
  <c r="A136" i="33" s="1"/>
  <c r="A137" i="33" s="1"/>
  <c r="A138" i="33" s="1"/>
  <c r="A139" i="33" s="1"/>
  <c r="A140" i="33" s="1"/>
  <c r="A141" i="33" s="1"/>
  <c r="A142" i="33" s="1"/>
  <c r="A143" i="33" s="1"/>
  <c r="A144" i="33" s="1"/>
  <c r="A145" i="33" s="1"/>
  <c r="A146" i="33" s="1"/>
  <c r="A147" i="33" s="1"/>
  <c r="A148" i="33" s="1"/>
  <c r="A150" i="33" s="1"/>
  <c r="A151" i="33" s="1"/>
  <c r="A152" i="33" s="1"/>
  <c r="A153" i="33" s="1"/>
  <c r="A154" i="33" s="1"/>
  <c r="A155" i="33" s="1"/>
  <c r="A156" i="33" s="1"/>
  <c r="A157" i="33" s="1"/>
  <c r="A158" i="33" s="1"/>
  <c r="A159" i="33" s="1"/>
  <c r="A160" i="33" s="1"/>
  <c r="A161" i="33" s="1"/>
  <c r="A162" i="33" s="1"/>
  <c r="A163" i="33" s="1"/>
  <c r="A164" i="33" s="1"/>
  <c r="A165" i="33" s="1"/>
  <c r="A166" i="33" s="1"/>
  <c r="A167" i="33" s="1"/>
  <c r="A168" i="33" s="1"/>
  <c r="A169" i="33" s="1"/>
  <c r="A170" i="33" s="1"/>
  <c r="A171" i="33" s="1"/>
  <c r="A172" i="33" s="1"/>
  <c r="A173" i="33" s="1"/>
  <c r="A174" i="33" s="1"/>
  <c r="A175" i="33" s="1"/>
  <c r="A176" i="33" s="1"/>
  <c r="A177" i="33" s="1"/>
  <c r="A178" i="33" s="1"/>
  <c r="A179" i="33" s="1"/>
  <c r="A180" i="33" s="1"/>
  <c r="A181" i="33" s="1"/>
  <c r="A182" i="33" s="1"/>
  <c r="A183" i="33" s="1"/>
  <c r="A184" i="33" s="1"/>
  <c r="A185" i="33" s="1"/>
  <c r="A186" i="33" s="1"/>
  <c r="A188" i="33" s="1"/>
  <c r="A189" i="33" s="1"/>
  <c r="A190" i="33" s="1"/>
  <c r="A191" i="33" s="1"/>
  <c r="A192" i="33" s="1"/>
  <c r="A193" i="33" s="1"/>
  <c r="A194" i="33" s="1"/>
  <c r="A195" i="33" s="1"/>
  <c r="A196" i="33" s="1"/>
  <c r="A197" i="33" s="1"/>
  <c r="A198" i="33" s="1"/>
  <c r="A199" i="33" s="1"/>
  <c r="A200" i="33" s="1"/>
  <c r="A201" i="33" s="1"/>
  <c r="A202" i="33" s="1"/>
  <c r="A203" i="33" s="1"/>
  <c r="A204" i="33" s="1"/>
  <c r="A205" i="33" s="1"/>
  <c r="A206" i="33" s="1"/>
  <c r="A207" i="33" s="1"/>
  <c r="A208" i="33" s="1"/>
  <c r="A209" i="33" s="1"/>
  <c r="A210" i="33" s="1"/>
  <c r="A211" i="33" s="1"/>
  <c r="A212" i="33" s="1"/>
  <c r="A213" i="33" s="1"/>
  <c r="A214" i="33" s="1"/>
  <c r="A215" i="33" s="1"/>
  <c r="A217" i="33" s="1"/>
  <c r="A218" i="33" s="1"/>
  <c r="A219" i="33" s="1"/>
  <c r="A220" i="33" s="1"/>
  <c r="A221" i="33" s="1"/>
  <c r="A222" i="33" s="1"/>
  <c r="A223" i="33" s="1"/>
  <c r="A224" i="33" s="1"/>
  <c r="A225" i="33" s="1"/>
  <c r="A226" i="33" s="1"/>
  <c r="A227" i="33" s="1"/>
  <c r="A228" i="33" s="1"/>
  <c r="A229" i="33" s="1"/>
  <c r="A230" i="33" s="1"/>
  <c r="A231" i="33" s="1"/>
  <c r="A232" i="33" s="1"/>
  <c r="A233" i="33" s="1"/>
  <c r="A234" i="33" s="1"/>
  <c r="A235" i="33" s="1"/>
  <c r="A236" i="33" s="1"/>
  <c r="A237" i="33" s="1"/>
  <c r="A238" i="33" s="1"/>
  <c r="A239" i="33" s="1"/>
  <c r="A240" i="33" s="1"/>
  <c r="A241" i="33" s="1"/>
  <c r="A242" i="33" s="1"/>
  <c r="A243" i="33" s="1"/>
  <c r="A244" i="33" s="1"/>
  <c r="A245" i="33" s="1"/>
  <c r="A246" i="33" s="1"/>
  <c r="A247" i="33" s="1"/>
  <c r="A248" i="33" s="1"/>
  <c r="A249" i="33" s="1"/>
  <c r="A250" i="33" s="1"/>
  <c r="A251" i="33" s="1"/>
  <c r="A252" i="33" s="1"/>
  <c r="A253" i="33" s="1"/>
  <c r="A254" i="33" s="1"/>
  <c r="A255" i="33" s="1"/>
  <c r="A256" i="33" s="1"/>
  <c r="A257" i="33" s="1"/>
  <c r="A258" i="33" s="1"/>
  <c r="A259" i="33" s="1"/>
  <c r="A260" i="33" s="1"/>
  <c r="A261" i="33" s="1"/>
  <c r="A262" i="33" s="1"/>
  <c r="A263" i="33" s="1"/>
  <c r="A265" i="33" s="1"/>
  <c r="A266" i="33" s="1"/>
  <c r="A267" i="33" s="1"/>
  <c r="A268" i="33" s="1"/>
  <c r="A269" i="33" s="1"/>
  <c r="A270" i="33" s="1"/>
  <c r="A271" i="33" s="1"/>
  <c r="A272" i="33" s="1"/>
  <c r="A273" i="33" s="1"/>
  <c r="A274" i="33" s="1"/>
  <c r="A275" i="33" s="1"/>
  <c r="A276" i="33" s="1"/>
  <c r="A277" i="33" s="1"/>
  <c r="A278" i="33" s="1"/>
  <c r="A279" i="33" s="1"/>
  <c r="A280" i="33" s="1"/>
  <c r="A281" i="33" s="1"/>
  <c r="A282" i="33" s="1"/>
  <c r="A283" i="33" s="1"/>
  <c r="A284" i="33" s="1"/>
  <c r="A285" i="33" s="1"/>
  <c r="A286" i="33" s="1"/>
  <c r="A287" i="33" s="1"/>
  <c r="A288" i="33" s="1"/>
  <c r="A289" i="33" s="1"/>
  <c r="A290" i="33" s="1"/>
  <c r="A291" i="33" s="1"/>
  <c r="A292" i="33" s="1"/>
  <c r="A293" i="33" s="1"/>
  <c r="A294" i="33" s="1"/>
  <c r="A295" i="33" s="1"/>
  <c r="A296" i="33" s="1"/>
  <c r="A297" i="33" s="1"/>
  <c r="A298" i="33" s="1"/>
  <c r="A299" i="33" s="1"/>
  <c r="A300" i="33" s="1"/>
  <c r="A301" i="33" s="1"/>
  <c r="A302" i="33" s="1"/>
  <c r="A303" i="33" s="1"/>
  <c r="A304" i="33" s="1"/>
  <c r="A305" i="33" s="1"/>
  <c r="A306" i="33" s="1"/>
  <c r="A307" i="33" s="1"/>
  <c r="A308" i="33" s="1"/>
  <c r="A309" i="33" s="1"/>
  <c r="A310" i="33" s="1"/>
  <c r="A311" i="33" s="1"/>
  <c r="A312" i="33" s="1"/>
  <c r="A314" i="33" s="1"/>
  <c r="A315" i="33" s="1"/>
  <c r="A316" i="33" s="1"/>
  <c r="A317" i="33" s="1"/>
  <c r="A318" i="33" s="1"/>
  <c r="A319" i="33" s="1"/>
  <c r="A320" i="33" s="1"/>
  <c r="A321" i="33" s="1"/>
  <c r="A322" i="33" s="1"/>
  <c r="A323" i="33" s="1"/>
  <c r="A325" i="33" s="1"/>
  <c r="A326" i="33" s="1"/>
  <c r="A327" i="33" s="1"/>
  <c r="A328" i="33" s="1"/>
  <c r="A329" i="33" s="1"/>
  <c r="A330" i="33" s="1"/>
  <c r="A331" i="33" s="1"/>
  <c r="A332" i="33" s="1"/>
  <c r="A333" i="33" s="1"/>
  <c r="A334" i="33" s="1"/>
  <c r="A336" i="33" s="1"/>
  <c r="A337" i="33" s="1"/>
  <c r="A338" i="33" s="1"/>
  <c r="A339" i="33" s="1"/>
  <c r="G542" i="1"/>
  <c r="G334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A340" i="33" l="1"/>
  <c r="A125" i="35"/>
  <c r="A345" i="33" l="1"/>
  <c r="A346" i="33" s="1"/>
  <c r="A347" i="33" s="1"/>
  <c r="A348" i="33" s="1"/>
  <c r="A349" i="33" s="1"/>
  <c r="A350" i="33" s="1"/>
  <c r="A351" i="33" s="1"/>
  <c r="A352" i="33" s="1"/>
  <c r="A353" i="33" s="1"/>
  <c r="A354" i="33" s="1"/>
  <c r="A355" i="33" s="1"/>
  <c r="A356" i="33" s="1"/>
  <c r="A357" i="33" s="1"/>
  <c r="A358" i="33" s="1"/>
  <c r="A359" i="33" s="1"/>
  <c r="A360" i="33" s="1"/>
  <c r="A361" i="33" s="1"/>
  <c r="A362" i="33" s="1"/>
  <c r="A363" i="33" s="1"/>
  <c r="A364" i="33" s="1"/>
  <c r="A365" i="33" s="1"/>
  <c r="A366" i="33" s="1"/>
  <c r="A367" i="33" s="1"/>
  <c r="A368" i="33" s="1"/>
  <c r="A369" i="33" s="1"/>
  <c r="A370" i="33" s="1"/>
  <c r="A371" i="33" s="1"/>
  <c r="A372" i="33" s="1"/>
  <c r="A373" i="33" s="1"/>
  <c r="A374" i="33" s="1"/>
  <c r="A375" i="33" s="1"/>
  <c r="A376" i="33" s="1"/>
  <c r="A377" i="33" s="1"/>
  <c r="A378" i="33" s="1"/>
  <c r="A379" i="33" s="1"/>
  <c r="A380" i="33" s="1"/>
  <c r="A381" i="33" s="1"/>
  <c r="A382" i="33" s="1"/>
  <c r="A383" i="33" s="1"/>
  <c r="A384" i="33" s="1"/>
  <c r="A385" i="33" s="1"/>
  <c r="A386" i="33" s="1"/>
  <c r="A387" i="33" s="1"/>
  <c r="A389" i="33" s="1"/>
  <c r="A390" i="33" s="1"/>
  <c r="A391" i="33" s="1"/>
  <c r="A392" i="33" s="1"/>
  <c r="A393" i="33" s="1"/>
  <c r="A394" i="33" s="1"/>
  <c r="A395" i="33" s="1"/>
  <c r="A396" i="33" s="1"/>
  <c r="A397" i="33" s="1"/>
  <c r="A398" i="33" s="1"/>
  <c r="A399" i="33" s="1"/>
  <c r="A400" i="33" s="1"/>
  <c r="A401" i="33" s="1"/>
  <c r="A402" i="33" s="1"/>
  <c r="A403" i="33" s="1"/>
  <c r="A404" i="33" s="1"/>
  <c r="A405" i="33" s="1"/>
  <c r="A406" i="33" s="1"/>
  <c r="A407" i="33" s="1"/>
  <c r="A408" i="33" s="1"/>
  <c r="A409" i="33" s="1"/>
  <c r="A410" i="33" s="1"/>
  <c r="A411" i="33" s="1"/>
  <c r="A412" i="33" s="1"/>
  <c r="A413" i="33" s="1"/>
  <c r="A414" i="33" s="1"/>
  <c r="A415" i="33" s="1"/>
  <c r="A416" i="33" s="1"/>
  <c r="A417" i="33" s="1"/>
  <c r="A418" i="33" s="1"/>
  <c r="A419" i="33" s="1"/>
  <c r="A420" i="33" s="1"/>
  <c r="A421" i="33" s="1"/>
  <c r="A422" i="33" s="1"/>
  <c r="A423" i="33" s="1"/>
  <c r="A424" i="33" s="1"/>
  <c r="A425" i="33" s="1"/>
  <c r="A426" i="33" s="1"/>
  <c r="A427" i="33" s="1"/>
  <c r="A428" i="33" s="1"/>
  <c r="A429" i="33" s="1"/>
  <c r="A430" i="33" s="1"/>
  <c r="A432" i="33" s="1"/>
  <c r="A433" i="33" s="1"/>
  <c r="A434" i="33" s="1"/>
  <c r="A435" i="33" s="1"/>
  <c r="A436" i="33" s="1"/>
  <c r="A437" i="33" s="1"/>
  <c r="A438" i="33" s="1"/>
  <c r="A439" i="33" s="1"/>
  <c r="A440" i="33" s="1"/>
  <c r="A441" i="33" s="1"/>
  <c r="A442" i="33" s="1"/>
  <c r="A443" i="33" s="1"/>
  <c r="A444" i="33" s="1"/>
  <c r="A445" i="33" s="1"/>
  <c r="A446" i="33" s="1"/>
  <c r="A447" i="33" s="1"/>
  <c r="A448" i="33" s="1"/>
  <c r="A449" i="33" s="1"/>
  <c r="A450" i="33" s="1"/>
  <c r="A451" i="33" s="1"/>
  <c r="A452" i="33" s="1"/>
  <c r="A453" i="33" s="1"/>
  <c r="A454" i="33" s="1"/>
  <c r="A455" i="33" s="1"/>
  <c r="A456" i="33" s="1"/>
  <c r="A457" i="33" s="1"/>
  <c r="A458" i="33" s="1"/>
  <c r="A459" i="33" s="1"/>
  <c r="A460" i="33" s="1"/>
  <c r="A461" i="33" s="1"/>
  <c r="A462" i="33" s="1"/>
  <c r="A463" i="33" s="1"/>
  <c r="A464" i="33" s="1"/>
  <c r="A465" i="33" s="1"/>
  <c r="A466" i="33" s="1"/>
  <c r="A467" i="33" s="1"/>
  <c r="A468" i="33" s="1"/>
  <c r="A469" i="33" s="1"/>
  <c r="A470" i="33" s="1"/>
  <c r="A471" i="33" s="1"/>
  <c r="A472" i="33" s="1"/>
  <c r="A474" i="33" s="1"/>
  <c r="A475" i="33" s="1"/>
  <c r="A476" i="33" s="1"/>
  <c r="A477" i="33" s="1"/>
  <c r="A479" i="33" s="1"/>
  <c r="A480" i="33" s="1"/>
  <c r="A481" i="33" s="1"/>
  <c r="A482" i="33" s="1"/>
  <c r="A483" i="33" s="1"/>
  <c r="A484" i="33" s="1"/>
  <c r="A485" i="33" s="1"/>
  <c r="A486" i="33" s="1"/>
  <c r="A487" i="33" s="1"/>
  <c r="A488" i="33" s="1"/>
  <c r="A489" i="33" s="1"/>
  <c r="A490" i="33" s="1"/>
  <c r="A491" i="33" s="1"/>
  <c r="A492" i="33" s="1"/>
  <c r="A493" i="33" s="1"/>
  <c r="A494" i="33" s="1"/>
  <c r="A495" i="33" s="1"/>
  <c r="A496" i="33" s="1"/>
  <c r="A497" i="33" s="1"/>
  <c r="A498" i="33" s="1"/>
  <c r="A499" i="33" s="1"/>
  <c r="A500" i="33" s="1"/>
  <c r="A501" i="33" s="1"/>
  <c r="A502" i="33" s="1"/>
  <c r="A503" i="33" s="1"/>
  <c r="A504" i="33" s="1"/>
  <c r="A505" i="33" s="1"/>
  <c r="A506" i="33" s="1"/>
  <c r="A507" i="33" s="1"/>
  <c r="A508" i="33" s="1"/>
  <c r="A509" i="33" s="1"/>
  <c r="A510" i="33" s="1"/>
  <c r="A511" i="33" s="1"/>
  <c r="A512" i="33" s="1"/>
  <c r="A513" i="33" s="1"/>
  <c r="A514" i="33" s="1"/>
  <c r="A515" i="33" s="1"/>
  <c r="A516" i="33" s="1"/>
  <c r="A517" i="33" s="1"/>
  <c r="A518" i="33" s="1"/>
  <c r="A520" i="33" s="1"/>
  <c r="A521" i="33" s="1"/>
  <c r="A522" i="33" s="1"/>
  <c r="A523" i="33" s="1"/>
  <c r="A524" i="33" s="1"/>
  <c r="A525" i="33" s="1"/>
  <c r="A526" i="33" s="1"/>
  <c r="A527" i="33" s="1"/>
  <c r="A528" i="33" s="1"/>
  <c r="A529" i="33" s="1"/>
  <c r="A531" i="33" s="1"/>
  <c r="A532" i="33" s="1"/>
  <c r="A533" i="33" s="1"/>
  <c r="A534" i="33" s="1"/>
  <c r="A535" i="33" s="1"/>
  <c r="A536" i="33" s="1"/>
  <c r="A537" i="33" s="1"/>
  <c r="A538" i="33" s="1"/>
  <c r="A539" i="33" s="1"/>
  <c r="A540" i="33" s="1"/>
  <c r="A541" i="33" s="1"/>
  <c r="A542" i="33" s="1"/>
  <c r="A544" i="33" s="1"/>
  <c r="A545" i="33" s="1"/>
  <c r="A546" i="33" s="1"/>
  <c r="A547" i="33" s="1"/>
  <c r="A548" i="33" s="1"/>
  <c r="A549" i="33" s="1"/>
  <c r="A550" i="33" s="1"/>
  <c r="A551" i="33" s="1"/>
  <c r="A552" i="33" s="1"/>
  <c r="A553" i="33" s="1"/>
  <c r="A554" i="33" s="1"/>
  <c r="A555" i="33" s="1"/>
  <c r="A556" i="33" s="1"/>
  <c r="A557" i="33" s="1"/>
  <c r="A558" i="33" s="1"/>
  <c r="A559" i="33" s="1"/>
  <c r="A560" i="33" s="1"/>
  <c r="A561" i="33" s="1"/>
  <c r="A562" i="33" s="1"/>
  <c r="A563" i="33" s="1"/>
  <c r="A564" i="33" s="1"/>
  <c r="A565" i="33" s="1"/>
  <c r="A566" i="33" s="1"/>
  <c r="A567" i="33" s="1"/>
  <c r="A568" i="33" s="1"/>
  <c r="A569" i="33" s="1"/>
  <c r="A570" i="33" s="1"/>
  <c r="A571" i="33" s="1"/>
  <c r="A572" i="33" s="1"/>
  <c r="A573" i="33" s="1"/>
  <c r="A574" i="33" s="1"/>
  <c r="A575" i="33" s="1"/>
  <c r="A576" i="33" s="1"/>
  <c r="A577" i="33" s="1"/>
  <c r="A578" i="33" s="1"/>
  <c r="A579" i="33" s="1"/>
  <c r="A580" i="33" s="1"/>
  <c r="A581" i="33" s="1"/>
  <c r="A582" i="33" s="1"/>
  <c r="A583" i="33" s="1"/>
  <c r="A584" i="33" s="1"/>
  <c r="A585" i="33" s="1"/>
  <c r="A586" i="33" s="1"/>
  <c r="A587" i="33" s="1"/>
  <c r="A588" i="33" s="1"/>
  <c r="A589" i="33" s="1"/>
  <c r="A590" i="33" s="1"/>
  <c r="A591" i="33" s="1"/>
  <c r="A592" i="33" s="1"/>
  <c r="A594" i="33" s="1"/>
  <c r="A595" i="33" s="1"/>
  <c r="A596" i="33" s="1"/>
  <c r="A597" i="33" s="1"/>
  <c r="A598" i="33" s="1"/>
  <c r="A599" i="33" s="1"/>
  <c r="A600" i="33" s="1"/>
  <c r="A601" i="33" s="1"/>
  <c r="A602" i="33" s="1"/>
  <c r="A603" i="33" s="1"/>
  <c r="A604" i="33" s="1"/>
  <c r="A605" i="33" s="1"/>
  <c r="A606" i="33" s="1"/>
  <c r="A607" i="33" s="1"/>
  <c r="A608" i="33" s="1"/>
  <c r="A609" i="33" s="1"/>
  <c r="A610" i="33" s="1"/>
  <c r="A611" i="33" s="1"/>
  <c r="A612" i="33" s="1"/>
  <c r="A613" i="33" s="1"/>
  <c r="A614" i="33" s="1"/>
  <c r="A615" i="33" s="1"/>
  <c r="A616" i="33" s="1"/>
  <c r="A617" i="33" s="1"/>
  <c r="A618" i="33" s="1"/>
  <c r="A619" i="33" s="1"/>
  <c r="A620" i="33" s="1"/>
  <c r="A621" i="33" s="1"/>
  <c r="A622" i="33" s="1"/>
  <c r="A623" i="33" s="1"/>
  <c r="A624" i="33" s="1"/>
  <c r="A625" i="33" s="1"/>
  <c r="A626" i="33" s="1"/>
  <c r="A627" i="33" s="1"/>
  <c r="A628" i="33" s="1"/>
  <c r="A629" i="33" s="1"/>
  <c r="A630" i="33" s="1"/>
  <c r="A631" i="33" s="1"/>
  <c r="A632" i="33" s="1"/>
  <c r="A633" i="33" s="1"/>
  <c r="A634" i="33" s="1"/>
  <c r="A635" i="33" s="1"/>
  <c r="A636" i="33" s="1"/>
  <c r="A637" i="33" s="1"/>
  <c r="A638" i="33" s="1"/>
  <c r="A639" i="33" s="1"/>
  <c r="A640" i="33" s="1"/>
  <c r="A641" i="33" s="1"/>
  <c r="A642" i="33" s="1"/>
  <c r="A643" i="33" s="1"/>
  <c r="A644" i="33" s="1"/>
  <c r="A645" i="33" s="1"/>
  <c r="A646" i="33" s="1"/>
  <c r="A647" i="33" s="1"/>
  <c r="A648" i="33" s="1"/>
  <c r="A649" i="33" s="1"/>
  <c r="A650" i="33" s="1"/>
  <c r="A651" i="33" s="1"/>
  <c r="A653" i="33" s="1"/>
  <c r="A654" i="33" s="1"/>
  <c r="A655" i="33" s="1"/>
  <c r="A657" i="33" s="1"/>
  <c r="A658" i="33" s="1"/>
  <c r="A659" i="33" s="1"/>
  <c r="A660" i="33" s="1"/>
  <c r="A661" i="33" s="1"/>
  <c r="A662" i="33" s="1"/>
  <c r="A663" i="33" s="1"/>
  <c r="A664" i="33" s="1"/>
  <c r="A665" i="33" s="1"/>
  <c r="A666" i="33" s="1"/>
  <c r="A667" i="33" s="1"/>
  <c r="A668" i="33" s="1"/>
  <c r="A669" i="33" s="1"/>
  <c r="A670" i="33" s="1"/>
  <c r="A671" i="33" s="1"/>
  <c r="A672" i="33" s="1"/>
  <c r="A673" i="33" s="1"/>
  <c r="A674" i="33" s="1"/>
  <c r="A675" i="33" s="1"/>
  <c r="A676" i="33" s="1"/>
  <c r="A677" i="33" s="1"/>
  <c r="A678" i="33" s="1"/>
  <c r="A679" i="33" s="1"/>
  <c r="A680" i="33" s="1"/>
  <c r="A681" i="33" s="1"/>
  <c r="A682" i="33" s="1"/>
  <c r="A683" i="33" s="1"/>
  <c r="A684" i="33" s="1"/>
  <c r="A685" i="33" s="1"/>
  <c r="A686" i="33" s="1"/>
  <c r="A687" i="33" s="1"/>
  <c r="A688" i="33" s="1"/>
  <c r="A689" i="33" s="1"/>
  <c r="A690" i="33" s="1"/>
  <c r="A691" i="33" s="1"/>
  <c r="A692" i="33" s="1"/>
  <c r="A693" i="33" s="1"/>
  <c r="A694" i="33" s="1"/>
  <c r="A695" i="33" s="1"/>
  <c r="A696" i="33" s="1"/>
  <c r="A697" i="33" s="1"/>
  <c r="A698" i="33" s="1"/>
  <c r="A699" i="33" s="1"/>
  <c r="A700" i="33" s="1"/>
  <c r="A701" i="33" s="1"/>
  <c r="A702" i="33" s="1"/>
  <c r="A703" i="33" s="1"/>
  <c r="A704" i="33" s="1"/>
  <c r="A705" i="33" s="1"/>
  <c r="A707" i="33" s="1"/>
  <c r="A708" i="33" s="1"/>
  <c r="A709" i="33" s="1"/>
  <c r="A710" i="33" s="1"/>
  <c r="A711" i="33" s="1"/>
  <c r="A712" i="33" s="1"/>
  <c r="A713" i="33" s="1"/>
  <c r="A714" i="33" s="1"/>
  <c r="A715" i="33" s="1"/>
  <c r="A716" i="33" s="1"/>
  <c r="A717" i="33" s="1"/>
  <c r="A718" i="33" s="1"/>
  <c r="A719" i="33" s="1"/>
  <c r="A720" i="33" s="1"/>
  <c r="A721" i="33" s="1"/>
  <c r="A722" i="33" s="1"/>
  <c r="A723" i="33" s="1"/>
  <c r="A724" i="33" s="1"/>
  <c r="A725" i="33" s="1"/>
  <c r="A726" i="33" s="1"/>
  <c r="A727" i="33" s="1"/>
  <c r="A728" i="33" s="1"/>
  <c r="A729" i="33" s="1"/>
  <c r="A730" i="33" s="1"/>
  <c r="A731" i="33" s="1"/>
  <c r="A732" i="33" s="1"/>
  <c r="A733" i="33" s="1"/>
  <c r="A734" i="33" s="1"/>
  <c r="A735" i="33" s="1"/>
  <c r="A736" i="33" s="1"/>
  <c r="A737" i="33" s="1"/>
  <c r="A738" i="33" s="1"/>
  <c r="A739" i="33" s="1"/>
  <c r="A740" i="33" s="1"/>
  <c r="A741" i="33" s="1"/>
  <c r="A742" i="33" s="1"/>
  <c r="A743" i="33" s="1"/>
  <c r="A744" i="33" s="1"/>
  <c r="A745" i="33" s="1"/>
  <c r="A746" i="33" s="1"/>
  <c r="A747" i="33" s="1"/>
  <c r="A748" i="33" s="1"/>
  <c r="A749" i="33" s="1"/>
  <c r="A750" i="33" s="1"/>
  <c r="A751" i="33" s="1"/>
  <c r="A753" i="33" s="1"/>
  <c r="A754" i="33" s="1"/>
  <c r="A755" i="33" s="1"/>
  <c r="A756" i="33" s="1"/>
  <c r="A757" i="33" s="1"/>
  <c r="A758" i="33" s="1"/>
  <c r="A759" i="33" s="1"/>
  <c r="A760" i="33" s="1"/>
  <c r="A761" i="33" s="1"/>
  <c r="A762" i="33" s="1"/>
  <c r="A763" i="33" s="1"/>
  <c r="A764" i="33" s="1"/>
  <c r="A765" i="33" s="1"/>
  <c r="A766" i="33" s="1"/>
  <c r="A767" i="33" s="1"/>
  <c r="A768" i="33" s="1"/>
  <c r="A769" i="33" s="1"/>
  <c r="A770" i="33" s="1"/>
  <c r="A771" i="33" s="1"/>
  <c r="A772" i="33" s="1"/>
  <c r="A773" i="33" s="1"/>
  <c r="A774" i="33" s="1"/>
  <c r="A775" i="33" s="1"/>
  <c r="A776" i="33" s="1"/>
  <c r="A777" i="33" s="1"/>
  <c r="A778" i="33" s="1"/>
  <c r="A779" i="33" s="1"/>
  <c r="A780" i="33" s="1"/>
  <c r="A781" i="33" s="1"/>
  <c r="A782" i="33" s="1"/>
  <c r="A783" i="33" s="1"/>
  <c r="A784" i="33" s="1"/>
  <c r="A785" i="33" s="1"/>
  <c r="A786" i="33" s="1"/>
  <c r="A787" i="33" s="1"/>
  <c r="A788" i="33" s="1"/>
  <c r="A789" i="33" s="1"/>
  <c r="A790" i="33" s="1"/>
  <c r="A791" i="33" s="1"/>
  <c r="A792" i="33" s="1"/>
  <c r="A793" i="33" s="1"/>
  <c r="A794" i="33" s="1"/>
  <c r="A795" i="33" s="1"/>
  <c r="A796" i="33" s="1"/>
  <c r="A797" i="33" s="1"/>
  <c r="A800" i="33" s="1"/>
  <c r="A801" i="33" s="1"/>
  <c r="A802" i="33" s="1"/>
  <c r="A803" i="33" s="1"/>
  <c r="A804" i="33" s="1"/>
  <c r="A805" i="33" s="1"/>
  <c r="A806" i="33" s="1"/>
  <c r="A807" i="33" s="1"/>
  <c r="A808" i="33" s="1"/>
  <c r="A809" i="33" s="1"/>
  <c r="A810" i="33" s="1"/>
  <c r="A811" i="33" s="1"/>
  <c r="A812" i="33" s="1"/>
  <c r="A813" i="33" s="1"/>
  <c r="A814" i="33" s="1"/>
  <c r="A815" i="33" s="1"/>
  <c r="A816" i="33" s="1"/>
  <c r="A817" i="33" s="1"/>
  <c r="A818" i="33" s="1"/>
  <c r="A819" i="33" s="1"/>
  <c r="A821" i="33" s="1"/>
  <c r="A822" i="33" s="1"/>
  <c r="A823" i="33" s="1"/>
  <c r="A824" i="33" s="1"/>
  <c r="A825" i="33" s="1"/>
  <c r="A826" i="33" s="1"/>
  <c r="A827" i="33" s="1"/>
  <c r="A828" i="33" s="1"/>
  <c r="A829" i="33" s="1"/>
  <c r="A832" i="33" s="1"/>
  <c r="A833" i="33" s="1"/>
  <c r="A834" i="33" s="1"/>
  <c r="A835" i="33" s="1"/>
  <c r="A837" i="33" s="1"/>
  <c r="A838" i="33" s="1"/>
  <c r="A839" i="33" s="1"/>
  <c r="A840" i="33" s="1"/>
  <c r="A841" i="33" s="1"/>
  <c r="A843" i="33" s="1"/>
  <c r="A844" i="33" s="1"/>
  <c r="A845" i="33" s="1"/>
  <c r="A846" i="33" s="1"/>
  <c r="A847" i="33" s="1"/>
  <c r="A848" i="33" s="1"/>
  <c r="A849" i="33" s="1"/>
  <c r="A850" i="33" s="1"/>
  <c r="A851" i="33" s="1"/>
  <c r="A852" i="33" s="1"/>
  <c r="A853" i="33" s="1"/>
  <c r="A854" i="33" s="1"/>
  <c r="A855" i="33" s="1"/>
  <c r="A856" i="33" s="1"/>
  <c r="A857" i="33" s="1"/>
  <c r="A858" i="33" s="1"/>
  <c r="A859" i="33" s="1"/>
  <c r="A860" i="33" s="1"/>
  <c r="A861" i="33" s="1"/>
  <c r="A862" i="33" s="1"/>
  <c r="A863" i="33" s="1"/>
  <c r="A864" i="33" s="1"/>
  <c r="A865" i="33" s="1"/>
  <c r="A866" i="33" s="1"/>
  <c r="A867" i="33" s="1"/>
  <c r="A868" i="33" s="1"/>
  <c r="A869" i="33" s="1"/>
  <c r="A870" i="33" s="1"/>
  <c r="A871" i="33" s="1"/>
  <c r="A872" i="33" s="1"/>
  <c r="A873" i="33" s="1"/>
  <c r="A874" i="33" s="1"/>
  <c r="A875" i="33" s="1"/>
  <c r="A876" i="33" s="1"/>
  <c r="A877" i="33" s="1"/>
  <c r="A878" i="33" s="1"/>
  <c r="A879" i="33" s="1"/>
  <c r="A880" i="33" s="1"/>
  <c r="A881" i="33" s="1"/>
  <c r="A882" i="33" s="1"/>
  <c r="A883" i="33" s="1"/>
  <c r="A884" i="33" s="1"/>
  <c r="A885" i="33" s="1"/>
  <c r="A886" i="33" s="1"/>
  <c r="A887" i="33" s="1"/>
  <c r="A888" i="33" s="1"/>
  <c r="A889" i="33" s="1"/>
  <c r="A890" i="33" s="1"/>
  <c r="A891" i="33" s="1"/>
  <c r="A892" i="33" s="1"/>
  <c r="A893" i="33" s="1"/>
  <c r="A894" i="33" s="1"/>
  <c r="A895" i="33" s="1"/>
  <c r="A896" i="33" s="1"/>
  <c r="A897" i="33" s="1"/>
  <c r="A898" i="33" s="1"/>
  <c r="A899" i="33" s="1"/>
  <c r="A900" i="33" s="1"/>
  <c r="A901" i="33" s="1"/>
  <c r="A902" i="33" s="1"/>
  <c r="A903" i="33" s="1"/>
  <c r="A904" i="33" s="1"/>
  <c r="A905" i="33" s="1"/>
  <c r="A906" i="33" s="1"/>
  <c r="A907" i="33" s="1"/>
  <c r="A908" i="33" s="1"/>
  <c r="A909" i="33" s="1"/>
  <c r="A910" i="33" s="1"/>
  <c r="A911" i="33" s="1"/>
  <c r="A912" i="33" s="1"/>
  <c r="A913" i="33" s="1"/>
  <c r="A914" i="33" s="1"/>
  <c r="A915" i="33" s="1"/>
  <c r="A916" i="33" s="1"/>
  <c r="A917" i="33" s="1"/>
  <c r="A918" i="33" s="1"/>
  <c r="A919" i="33" s="1"/>
  <c r="A921" i="33" s="1"/>
  <c r="A922" i="33" s="1"/>
  <c r="A923" i="33" s="1"/>
  <c r="A925" i="33" s="1"/>
  <c r="A926" i="33" s="1"/>
  <c r="A927" i="33" s="1"/>
  <c r="A928" i="33" s="1"/>
  <c r="A930" i="33" s="1"/>
  <c r="A931" i="33" s="1"/>
  <c r="A932" i="33" s="1"/>
  <c r="A933" i="33" s="1"/>
  <c r="A934" i="33" s="1"/>
  <c r="A935" i="33" s="1"/>
  <c r="A936" i="33" s="1"/>
  <c r="A937" i="33" s="1"/>
  <c r="A938" i="33" s="1"/>
  <c r="A939" i="33" s="1"/>
  <c r="A940" i="33" s="1"/>
  <c r="A941" i="33" s="1"/>
  <c r="A942" i="33" s="1"/>
  <c r="A943" i="33" s="1"/>
  <c r="A944" i="33" s="1"/>
  <c r="A945" i="33" s="1"/>
  <c r="A946" i="33" s="1"/>
  <c r="A947" i="33" s="1"/>
  <c r="A948" i="33" s="1"/>
  <c r="A949" i="33" s="1"/>
  <c r="A950" i="33" s="1"/>
  <c r="A951" i="33" s="1"/>
  <c r="A952" i="33" s="1"/>
  <c r="A953" i="33" s="1"/>
  <c r="A954" i="33" s="1"/>
  <c r="A955" i="33" s="1"/>
  <c r="A956" i="33" s="1"/>
  <c r="A957" i="33" s="1"/>
  <c r="A958" i="33" s="1"/>
  <c r="A959" i="33" s="1"/>
  <c r="A960" i="33" s="1"/>
  <c r="A961" i="33" s="1"/>
  <c r="A962" i="33" s="1"/>
  <c r="A963" i="33" s="1"/>
  <c r="A964" i="33" s="1"/>
  <c r="A965" i="33" s="1"/>
  <c r="A126" i="35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A127" i="35" l="1"/>
  <c r="L66" i="32"/>
  <c r="L67" i="32"/>
  <c r="L68" i="32"/>
  <c r="L65" i="32"/>
  <c r="L64" i="32"/>
  <c r="L63" i="32"/>
  <c r="A128" i="35" l="1"/>
  <c r="A3" i="17"/>
  <c r="A4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129" i="35" l="1"/>
  <c r="A22" i="32"/>
  <c r="A23" i="32" s="1"/>
  <c r="A24" i="32" s="1"/>
  <c r="A25" i="32" s="1"/>
  <c r="A26" i="32" s="1"/>
  <c r="A27" i="32" s="1"/>
  <c r="A28" i="32" s="1"/>
  <c r="A29" i="32" s="1"/>
  <c r="A130" i="35" l="1"/>
  <c r="A30" i="32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131" i="35" l="1"/>
  <c r="A58" i="32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132" i="35" l="1"/>
  <c r="A133" i="35" l="1"/>
  <c r="A134" i="35" l="1"/>
  <c r="A135" i="35" l="1"/>
  <c r="G529" i="1"/>
  <c r="G528" i="1"/>
  <c r="G527" i="1"/>
  <c r="G526" i="1"/>
  <c r="G525" i="1"/>
  <c r="G524" i="1"/>
  <c r="G523" i="1"/>
  <c r="G522" i="1"/>
  <c r="G521" i="1"/>
  <c r="G520" i="1"/>
  <c r="A136" i="35" l="1"/>
  <c r="G821" i="1"/>
  <c r="G817" i="1"/>
  <c r="G816" i="1"/>
  <c r="G812" i="1"/>
  <c r="G811" i="1"/>
  <c r="G807" i="1"/>
  <c r="G806" i="1"/>
  <c r="A137" i="35" l="1"/>
  <c r="G429" i="1"/>
  <c r="A138" i="35" l="1"/>
  <c r="G184" i="1"/>
  <c r="A139" i="35" l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59" i="1"/>
  <c r="G658" i="1"/>
  <c r="G657" i="1"/>
  <c r="A140" i="35" l="1"/>
  <c r="G622" i="1"/>
  <c r="G654" i="1"/>
  <c r="G655" i="1"/>
  <c r="G653" i="1"/>
  <c r="G623" i="1"/>
  <c r="G595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4" i="1"/>
  <c r="A141" i="35" l="1"/>
  <c r="G540" i="1"/>
  <c r="G439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3" i="1"/>
  <c r="G552" i="1"/>
  <c r="G551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92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0" i="1"/>
  <c r="G549" i="1"/>
  <c r="G548" i="1"/>
  <c r="G547" i="1"/>
  <c r="G546" i="1"/>
  <c r="G545" i="1"/>
  <c r="G54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67" i="1" l="1"/>
  <c r="G921" i="1"/>
  <c r="G920" i="1"/>
  <c r="G919" i="1"/>
  <c r="G922" i="1" l="1"/>
  <c r="G918" i="1"/>
  <c r="G917" i="1"/>
  <c r="G916" i="1"/>
  <c r="G915" i="1"/>
  <c r="G914" i="1"/>
  <c r="G913" i="1"/>
  <c r="G480" i="1" l="1"/>
  <c r="G518" i="1"/>
  <c r="G485" i="1"/>
  <c r="G428" i="1" l="1"/>
  <c r="G434" i="1"/>
  <c r="G435" i="1"/>
  <c r="G472" i="1"/>
  <c r="G433" i="1"/>
  <c r="G43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8" i="1"/>
  <c r="G436" i="1"/>
  <c r="G477" i="1"/>
  <c r="G395" i="1" l="1"/>
  <c r="G394" i="1"/>
  <c r="G430" i="1"/>
  <c r="G396" i="1"/>
  <c r="G384" i="1" l="1"/>
  <c r="G386" i="1" l="1"/>
  <c r="G121" i="1"/>
  <c r="G120" i="1"/>
  <c r="G119" i="1"/>
  <c r="G118" i="1"/>
  <c r="G117" i="1"/>
  <c r="G116" i="1"/>
  <c r="G123" i="1"/>
  <c r="G122" i="1"/>
  <c r="G832" i="1" l="1"/>
  <c r="G822" i="1"/>
  <c r="G387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4" i="1"/>
  <c r="G483" i="1"/>
  <c r="G482" i="1"/>
  <c r="G481" i="1"/>
  <c r="G479" i="1"/>
  <c r="G476" i="1"/>
  <c r="G475" i="1"/>
  <c r="G474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912" i="1" l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44" i="1"/>
  <c r="G383" i="1"/>
  <c r="G931" i="1" l="1"/>
  <c r="G930" i="1"/>
  <c r="G937" i="1"/>
  <c r="G936" i="1"/>
  <c r="G935" i="1"/>
  <c r="G934" i="1"/>
  <c r="G933" i="1"/>
  <c r="G929" i="1"/>
  <c r="G928" i="1"/>
  <c r="G925" i="1"/>
  <c r="G926" i="1"/>
  <c r="G924" i="1"/>
  <c r="G847" i="1"/>
  <c r="G820" i="1"/>
  <c r="G819" i="1"/>
  <c r="G818" i="1"/>
  <c r="G879" i="1" l="1"/>
  <c r="G878" i="1"/>
  <c r="G877" i="1"/>
  <c r="G876" i="1"/>
  <c r="G875" i="1"/>
  <c r="G874" i="1"/>
  <c r="G873" i="1"/>
  <c r="G872" i="1"/>
  <c r="G871" i="1"/>
  <c r="G870" i="1"/>
  <c r="G869" i="1"/>
  <c r="G868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6" i="1"/>
  <c r="G843" i="1"/>
  <c r="G842" i="1"/>
  <c r="G841" i="1"/>
  <c r="G840" i="1"/>
  <c r="G838" i="1"/>
  <c r="G837" i="1"/>
  <c r="G836" i="1"/>
  <c r="G835" i="1"/>
  <c r="G831" i="1"/>
  <c r="G830" i="1"/>
  <c r="G829" i="1"/>
  <c r="G828" i="1"/>
  <c r="G827" i="1"/>
  <c r="G826" i="1"/>
  <c r="G825" i="1"/>
  <c r="G824" i="1"/>
  <c r="G815" i="1"/>
  <c r="G814" i="1"/>
  <c r="G813" i="1"/>
  <c r="G810" i="1"/>
  <c r="G809" i="1"/>
  <c r="G808" i="1"/>
  <c r="G805" i="1"/>
  <c r="G804" i="1"/>
  <c r="G803" i="1"/>
  <c r="G391" i="1" l="1"/>
  <c r="G390" i="1"/>
  <c r="G385" i="1"/>
  <c r="G343" i="1"/>
  <c r="G541" i="1" l="1"/>
  <c r="G539" i="1"/>
  <c r="G538" i="1"/>
  <c r="G537" i="1"/>
  <c r="G536" i="1"/>
  <c r="G535" i="1"/>
  <c r="G534" i="1"/>
  <c r="G533" i="1"/>
  <c r="G532" i="1"/>
  <c r="G531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360" i="1" l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4" i="1"/>
  <c r="G353" i="1"/>
  <c r="G352" i="1"/>
  <c r="G348" i="1"/>
  <c r="G347" i="1"/>
  <c r="G363" i="1"/>
  <c r="G362" i="1"/>
  <c r="G389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3" i="1"/>
  <c r="G392" i="1"/>
  <c r="G382" i="1" l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1" i="1"/>
  <c r="G367" i="1"/>
  <c r="G366" i="1"/>
  <c r="G365" i="1"/>
  <c r="G356" i="1"/>
  <c r="G355" i="1"/>
  <c r="G354" i="1"/>
  <c r="G357" i="1"/>
  <c r="G358" i="1"/>
  <c r="G359" i="1"/>
  <c r="G351" i="1"/>
  <c r="G350" i="1"/>
  <c r="G349" i="1"/>
  <c r="G346" i="1"/>
  <c r="G345" i="1"/>
  <c r="G344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4" i="1" l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4" i="1" s="1"/>
  <c r="A475" i="1" s="1"/>
  <c r="A476" i="1" s="1"/>
  <c r="A477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3" i="1" s="1"/>
  <c r="A654" i="1" s="1"/>
  <c r="A655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l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4" i="1" s="1"/>
  <c r="A825" i="1" s="1"/>
  <c r="A826" i="1" s="1"/>
  <c r="A827" i="1" s="1"/>
  <c r="A828" i="1" s="1"/>
  <c r="A829" i="1" s="1"/>
  <c r="A830" i="1" s="1"/>
  <c r="A831" i="1" s="1"/>
  <c r="A832" i="1" s="1"/>
  <c r="A835" i="1" s="1"/>
  <c r="A836" i="1" s="1"/>
  <c r="A837" i="1" s="1"/>
  <c r="A838" i="1" s="1"/>
  <c r="A840" i="1" s="1"/>
  <c r="A841" i="1" s="1"/>
  <c r="A842" i="1" s="1"/>
  <c r="A843" i="1" s="1"/>
  <c r="A844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4" i="1" s="1"/>
  <c r="A925" i="1" s="1"/>
  <c r="A926" i="1" s="1"/>
  <c r="A928" i="1" s="1"/>
  <c r="A929" i="1" s="1"/>
  <c r="A930" i="1" s="1"/>
  <c r="A931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</calcChain>
</file>

<file path=xl/sharedStrings.xml><?xml version="1.0" encoding="utf-8"?>
<sst xmlns="http://schemas.openxmlformats.org/spreadsheetml/2006/main" count="7310" uniqueCount="1156">
  <si>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</si>
  <si>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</si>
  <si>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</si>
  <si>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</si>
  <si>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</si>
  <si>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</si>
  <si>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</si>
  <si>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</si>
  <si>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</si>
  <si>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</si>
  <si>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</si>
  <si>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</si>
  <si>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</si>
  <si>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</si>
  <si>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</si>
  <si>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</si>
  <si>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</si>
  <si>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</si>
  <si>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</si>
  <si>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</si>
  <si>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</si>
  <si>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</si>
  <si>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</si>
  <si>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</si>
  <si>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</si>
  <si>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</si>
  <si>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</si>
  <si>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</si>
  <si>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</si>
  <si>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</si>
  <si>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</si>
  <si>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</si>
  <si>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</si>
  <si>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</si>
  <si>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</si>
  <si>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</si>
  <si>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</si>
  <si>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</si>
  <si>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</si>
  <si>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</si>
  <si>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</si>
  <si>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</si>
  <si>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</si>
  <si>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</si>
  <si>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</si>
  <si>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</si>
  <si>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</si>
  <si>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</si>
  <si>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</si>
  <si>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</si>
  <si>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</si>
  <si>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</si>
  <si>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</si>
  <si>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</si>
  <si>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</si>
  <si>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</si>
  <si>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</si>
  <si>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</si>
  <si>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</si>
  <si>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</si>
  <si>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</si>
  <si>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</si>
  <si>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</si>
  <si>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</si>
  <si>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</si>
  <si>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</si>
  <si>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</si>
  <si>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</si>
  <si>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</si>
  <si>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</si>
  <si>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</si>
  <si>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</si>
  <si>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</si>
  <si>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</si>
  <si>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</si>
  <si>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</si>
  <si>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</si>
  <si>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</si>
  <si>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</si>
  <si>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</si>
  <si>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</si>
  <si>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</si>
  <si>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</si>
  <si>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</si>
  <si>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</si>
  <si>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</si>
  <si>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</si>
  <si>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</si>
  <si>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</si>
  <si>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</si>
  <si>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</si>
  <si>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</si>
  <si>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</si>
  <si>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</si>
  <si>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</si>
  <si>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</si>
  <si>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</si>
  <si>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</si>
  <si>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</si>
  <si>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</si>
  <si>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</si>
  <si>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</si>
  <si>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</si>
  <si>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</si>
  <si>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</si>
  <si>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</si>
  <si>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</si>
  <si>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</si>
  <si>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</si>
  <si>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</si>
  <si>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</si>
  <si>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</si>
  <si>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</si>
  <si>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</si>
  <si>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</si>
  <si>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</si>
  <si>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</si>
  <si>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</si>
  <si>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</si>
  <si>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</si>
  <si>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</si>
  <si>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</si>
  <si>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</si>
  <si>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</si>
  <si>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</si>
  <si>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</si>
  <si>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</si>
  <si>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</si>
  <si>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</si>
  <si>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</si>
  <si>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</si>
  <si>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</si>
  <si>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</si>
  <si>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</si>
  <si>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</si>
  <si>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</si>
  <si>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</si>
  <si>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</si>
  <si>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</si>
  <si>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</si>
  <si>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</si>
  <si>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</si>
  <si>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</si>
  <si>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</si>
  <si>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</si>
  <si>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</si>
  <si>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</si>
  <si>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</si>
  <si>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</si>
  <si>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</si>
  <si>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</si>
  <si>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</si>
  <si>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</si>
  <si>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</si>
  <si>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</si>
  <si>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</si>
  <si>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</si>
  <si>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</si>
  <si>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</si>
  <si>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</si>
  <si>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</si>
  <si>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</si>
  <si>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</si>
  <si>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</si>
  <si>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</si>
  <si>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</si>
  <si>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</si>
  <si>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</si>
  <si>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</si>
  <si>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</si>
  <si>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</si>
  <si>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</si>
  <si>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</si>
  <si>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</si>
  <si>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</si>
  <si>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</si>
  <si>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</si>
  <si>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</si>
  <si>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</si>
  <si>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</si>
  <si>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</si>
  <si>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</si>
  <si>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</si>
  <si>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</si>
  <si>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</si>
  <si>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</si>
  <si>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</si>
  <si>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</si>
  <si>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</si>
  <si>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</si>
  <si>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</si>
  <si>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</si>
  <si>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</si>
  <si>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</si>
  <si>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</si>
  <si>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</si>
  <si>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</si>
  <si>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</si>
  <si>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</si>
  <si>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</si>
  <si>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</si>
  <si>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</si>
  <si>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</si>
  <si>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</si>
  <si>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</si>
  <si>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</si>
  <si>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</si>
  <si>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</si>
  <si>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</si>
  <si>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</si>
  <si>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</si>
  <si>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</si>
  <si>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</si>
  <si>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</si>
  <si>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</si>
  <si>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</si>
  <si>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</si>
  <si>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</si>
  <si>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</si>
  <si>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</si>
  <si>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</si>
  <si>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</si>
  <si>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</si>
  <si>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</si>
  <si>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</si>
  <si>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</si>
  <si>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</si>
  <si>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</si>
  <si>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</si>
  <si>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</si>
  <si>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</si>
  <si>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</si>
  <si>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</si>
  <si>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</si>
  <si>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</si>
  <si>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</si>
  <si>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</si>
  <si>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</si>
  <si>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</si>
  <si>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</si>
  <si>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</si>
  <si>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</si>
  <si>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</si>
  <si>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</si>
  <si>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</si>
  <si>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</si>
  <si>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</si>
  <si>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</si>
  <si>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</si>
  <si>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</si>
  <si>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</si>
  <si>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</si>
  <si>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</si>
  <si>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</si>
  <si>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</si>
  <si>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</si>
  <si>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</si>
  <si>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</si>
  <si>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</si>
  <si>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</si>
  <si>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</si>
  <si>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</si>
  <si>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</si>
  <si>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</si>
  <si>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</si>
  <si>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</si>
  <si>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</si>
  <si>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</si>
  <si>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</si>
  <si>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</si>
  <si>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</si>
  <si>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</si>
  <si>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</si>
  <si>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</si>
  <si>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</si>
  <si>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</si>
  <si>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</si>
  <si>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</si>
  <si>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</si>
  <si>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</si>
  <si>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</si>
  <si>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</si>
  <si>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</si>
  <si>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</si>
  <si>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</si>
  <si>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</si>
  <si>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</si>
  <si>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</si>
  <si>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</si>
  <si>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</si>
  <si>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</si>
  <si>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</si>
  <si>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</si>
  <si>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</si>
  <si>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</si>
  <si>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</si>
  <si>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</si>
  <si>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</si>
  <si>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</si>
  <si>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</si>
  <si>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</si>
  <si>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</si>
  <si>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</si>
  <si>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</si>
  <si>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</si>
  <si>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</si>
  <si>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</si>
  <si>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</si>
  <si>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</si>
  <si>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</si>
  <si>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</si>
  <si>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</si>
  <si>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</si>
  <si>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</si>
  <si>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</si>
  <si>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</si>
  <si>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</si>
  <si>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</si>
  <si>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</si>
  <si>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</si>
  <si>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</si>
  <si>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</si>
  <si>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</si>
  <si>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</si>
  <si>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</si>
  <si>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</si>
  <si>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</si>
  <si>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</si>
  <si>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</si>
  <si>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</si>
  <si>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</si>
  <si>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</si>
  <si>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</si>
  <si>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</si>
  <si>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</si>
  <si>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</si>
  <si>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</si>
  <si>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</si>
  <si>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</si>
  <si>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</si>
  <si>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</si>
  <si>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</si>
  <si>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</si>
  <si>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</si>
  <si>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</si>
  <si>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</si>
  <si>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</si>
  <si>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</si>
  <si>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</si>
  <si>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</si>
  <si>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</si>
  <si>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</si>
  <si>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</si>
  <si>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</si>
  <si>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</si>
  <si>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</si>
  <si>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</si>
  <si>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</si>
  <si>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</si>
  <si>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</si>
  <si>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</si>
  <si>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</si>
  <si>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</si>
  <si>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</si>
  <si>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</si>
  <si>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</si>
  <si>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</si>
  <si>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</si>
  <si>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</si>
  <si>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</si>
  <si>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</si>
  <si>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</si>
  <si>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</si>
  <si>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</si>
  <si>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</si>
  <si>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</si>
  <si>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</si>
  <si>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</si>
  <si>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</si>
  <si>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</si>
  <si>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</si>
  <si>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</si>
  <si>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</si>
  <si>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</si>
  <si>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</si>
  <si>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</si>
  <si>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</si>
  <si>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</si>
  <si>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</si>
  <si>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</si>
  <si>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</si>
  <si>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</si>
  <si>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</si>
  <si>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</si>
  <si>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</si>
  <si>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</si>
  <si>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</si>
  <si>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</si>
  <si>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</si>
  <si>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</si>
  <si>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</si>
  <si>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</si>
  <si>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</si>
  <si>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</si>
  <si>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</si>
  <si>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</si>
  <si>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</si>
  <si>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</si>
  <si>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</si>
  <si>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</si>
  <si>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</si>
  <si>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</si>
  <si>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</si>
  <si>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</si>
  <si>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</si>
  <si>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</si>
  <si>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</si>
  <si>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</si>
  <si>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</si>
  <si>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</si>
  <si>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</si>
  <si>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</si>
  <si>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</si>
  <si>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</si>
  <si>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</si>
  <si>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</si>
  <si>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</si>
  <si>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</si>
  <si>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</si>
  <si>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</si>
  <si>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</si>
  <si>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</si>
  <si>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</si>
  <si>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</si>
  <si>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</si>
  <si>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</si>
  <si>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</si>
  <si>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</si>
  <si>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</si>
  <si>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</si>
  <si>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</si>
  <si>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</si>
  <si>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</si>
  <si>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</si>
  <si>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</si>
  <si>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</si>
  <si>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</si>
  <si>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</si>
  <si>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</si>
  <si>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</si>
  <si>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</si>
  <si>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</si>
  <si>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</si>
  <si>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</si>
  <si>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</si>
  <si>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</si>
  <si>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</si>
  <si>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</si>
  <si>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</si>
  <si>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</si>
  <si>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</si>
  <si>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</si>
  <si>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</si>
  <si>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</si>
  <si>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</si>
  <si>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</si>
  <si>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</si>
  <si>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</si>
  <si>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</si>
  <si>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</si>
  <si>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</si>
  <si>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</si>
  <si>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</si>
  <si>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</si>
  <si>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</si>
  <si>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</si>
  <si>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</si>
  <si>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</si>
  <si>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</si>
  <si>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</si>
  <si>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</si>
  <si>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</si>
  <si>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</si>
  <si>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</si>
  <si>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</si>
  <si>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</si>
  <si>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</si>
  <si>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</si>
  <si>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</si>
  <si>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</si>
  <si>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</si>
  <si>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</si>
  <si>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</si>
  <si>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</si>
  <si>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</si>
  <si>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</si>
  <si>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</si>
  <si>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</si>
  <si>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</si>
  <si>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</si>
  <si>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</si>
  <si>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</si>
  <si>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</si>
  <si>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</si>
  <si>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</si>
  <si>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</si>
  <si>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</si>
  <si>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</si>
  <si>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</si>
  <si>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</si>
  <si>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</si>
  <si>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</si>
  <si>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</si>
  <si>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</si>
  <si>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</si>
  <si>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</si>
  <si>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</si>
  <si>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</si>
  <si>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</si>
  <si>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</si>
  <si>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</si>
  <si>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</si>
  <si>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</si>
  <si>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</si>
  <si>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</si>
  <si>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</si>
  <si>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</si>
  <si>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</si>
  <si>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</si>
  <si>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</si>
  <si>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</si>
  <si>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</si>
  <si>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</si>
  <si>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</si>
  <si>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</si>
  <si>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</si>
  <si>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</si>
  <si>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</si>
  <si>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</si>
  <si>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</si>
  <si>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</si>
  <si>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</si>
  <si>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</si>
  <si>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</si>
  <si>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</si>
  <si>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</si>
  <si>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</si>
  <si>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</si>
  <si>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</si>
  <si>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</si>
  <si>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</si>
  <si>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</si>
  <si>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</si>
  <si>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</si>
  <si>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</si>
  <si>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</si>
  <si>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</si>
  <si>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</si>
  <si>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</si>
  <si>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</si>
  <si>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</si>
  <si>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</si>
  <si>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</si>
  <si>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</si>
  <si>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</si>
  <si>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</si>
  <si>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</si>
  <si>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</si>
  <si>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</si>
  <si>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Max/Min last data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</si>
  <si>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</si>
  <si>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</si>
  <si>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</si>
  <si>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</si>
  <si>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</si>
  <si>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</si>
  <si>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</si>
  <si>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</si>
  <si>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</si>
  <si>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</si>
  <si>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</si>
  <si>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</si>
  <si>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</si>
  <si>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</si>
  <si>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</si>
  <si>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</si>
  <si>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</si>
  <si>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</si>
  <si>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</si>
  <si>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</si>
  <si>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</si>
  <si>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</si>
  <si>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</si>
  <si>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</si>
  <si>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</si>
  <si>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</si>
  <si>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</si>
  <si>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</si>
  <si>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</si>
  <si>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</si>
  <si>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</si>
  <si>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</si>
  <si>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</si>
  <si>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</si>
  <si>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</si>
  <si>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</si>
  <si>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</si>
  <si>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</si>
  <si>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</si>
  <si>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</si>
  <si>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</si>
  <si>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</si>
  <si>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</si>
  <si>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</si>
  <si>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</si>
  <si>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</si>
  <si>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</si>
  <si>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</si>
  <si>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</si>
  <si>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</si>
  <si>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</si>
  <si>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</si>
  <si>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</si>
  <si>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</si>
  <si>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</si>
  <si>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</si>
  <si>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</si>
  <si>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</si>
  <si>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</si>
  <si>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</si>
  <si>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</si>
  <si>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</si>
  <si>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</si>
  <si>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</si>
  <si>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</si>
  <si>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</si>
  <si>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</si>
  <si>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</si>
  <si>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</si>
  <si>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</si>
  <si>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</si>
  <si>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</si>
  <si>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</si>
  <si>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</si>
  <si>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</si>
  <si>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</si>
  <si>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</si>
  <si>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</si>
  <si>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</si>
  <si>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</si>
  <si>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</si>
  <si>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</si>
  <si>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</si>
  <si>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</si>
  <si>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</si>
  <si>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</si>
  <si>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</si>
  <si>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</si>
  <si>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</si>
  <si>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</si>
  <si>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</si>
  <si>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</si>
  <si>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</si>
  <si>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</si>
  <si>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</si>
  <si>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</si>
  <si>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</si>
  <si>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</si>
  <si>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</si>
  <si>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</si>
  <si>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</si>
  <si>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</si>
  <si>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</si>
  <si>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</si>
  <si>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</si>
  <si>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</si>
  <si>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</si>
  <si>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</si>
  <si>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</si>
  <si>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</si>
  <si>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</si>
  <si>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</si>
  <si>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</si>
  <si>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</si>
  <si>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</si>
  <si>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</si>
  <si>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</si>
  <si>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</si>
  <si>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</si>
  <si>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</si>
  <si>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</si>
  <si>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</si>
  <si>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</si>
  <si>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</si>
  <si>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</si>
  <si>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</si>
  <si>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</si>
  <si>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</si>
  <si>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</si>
  <si>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</si>
  <si>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</si>
  <si>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</si>
  <si>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</si>
  <si>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</si>
  <si>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</si>
  <si>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</si>
  <si>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</si>
  <si>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</si>
  <si>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</si>
  <si>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</si>
  <si>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</si>
  <si>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</si>
  <si>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</si>
  <si>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</si>
  <si>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</si>
  <si>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</si>
  <si>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</si>
  <si>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</si>
  <si>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</si>
  <si>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</si>
  <si>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</si>
  <si>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</si>
  <si>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</si>
  <si>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</si>
  <si>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</si>
  <si>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</si>
  <si>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</si>
  <si>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</si>
  <si>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</si>
  <si>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</si>
  <si>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</si>
  <si>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</si>
  <si>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</si>
  <si>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</si>
  <si>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</si>
  <si>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</si>
  <si>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</si>
  <si>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</si>
  <si>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</si>
  <si>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</si>
  <si>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</si>
  <si>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</si>
  <si>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</si>
  <si>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</si>
  <si>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</si>
  <si>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</si>
  <si>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</si>
  <si>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</si>
  <si>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</si>
  <si>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</si>
  <si>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</si>
  <si>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</si>
  <si>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</si>
  <si>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</si>
  <si>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</si>
  <si>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</si>
  <si>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</si>
  <si>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</si>
  <si>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</si>
  <si>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</si>
  <si>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</si>
  <si>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</si>
  <si>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</si>
  <si>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</si>
  <si>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</si>
  <si>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</si>
  <si>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</si>
  <si>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</si>
  <si>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</si>
  <si>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</si>
  <si>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</si>
  <si>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</si>
  <si>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</si>
  <si>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</si>
  <si>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</si>
  <si>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</si>
  <si>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</si>
  <si>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</si>
  <si>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</si>
  <si>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</si>
  <si>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</si>
  <si>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</si>
  <si>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</si>
  <si>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</si>
  <si>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</si>
  <si>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</si>
  <si>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</si>
  <si>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</si>
  <si>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</si>
  <si>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</si>
  <si>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</si>
  <si>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</si>
  <si>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</si>
  <si>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</si>
  <si>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</si>
  <si>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</si>
  <si>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</si>
  <si>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</si>
  <si>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</si>
  <si>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</si>
  <si>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</si>
  <si>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</si>
  <si>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</si>
  <si>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</si>
  <si>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</si>
  <si>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</si>
  <si>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</si>
  <si>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</si>
  <si>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</si>
  <si>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</si>
  <si>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</si>
  <si>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</si>
  <si>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</si>
  <si>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</si>
  <si>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</si>
  <si>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</si>
  <si>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</si>
  <si>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</si>
  <si>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</si>
  <si>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</si>
  <si>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</si>
  <si>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</si>
  <si>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</si>
  <si>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</si>
  <si>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</si>
  <si>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</si>
  <si>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</si>
  <si>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</si>
  <si>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</si>
  <si>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</si>
  <si>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</si>
  <si>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</si>
  <si>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</si>
  <si>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</si>
  <si>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</si>
  <si>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</si>
  <si>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</si>
  <si>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</si>
  <si>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</si>
  <si>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</si>
  <si>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</si>
  <si>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</si>
  <si>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</si>
  <si>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</si>
  <si>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</si>
  <si>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</si>
  <si>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</si>
  <si>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</si>
  <si>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</si>
  <si>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</si>
  <si>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</si>
  <si>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</si>
  <si>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</si>
  <si>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</si>
  <si>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</si>
  <si>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</si>
  <si>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</si>
  <si>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</si>
  <si>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</si>
  <si>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</si>
  <si>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</si>
  <si>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</si>
  <si>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</si>
  <si>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</si>
  <si>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</si>
  <si>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</si>
  <si>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</si>
  <si>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</si>
  <si>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</si>
  <si>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</si>
  <si>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</si>
  <si>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</si>
  <si>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</si>
  <si>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</si>
  <si>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</si>
  <si>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</si>
  <si>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</si>
  <si>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</si>
  <si>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</si>
  <si>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</si>
  <si>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</si>
  <si>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</si>
  <si>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</si>
  <si>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</si>
  <si>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</si>
  <si>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</si>
  <si>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</si>
  <si>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</si>
  <si>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</si>
  <si>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</si>
  <si>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</si>
  <si>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</si>
  <si>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</si>
  <si>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</si>
  <si>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</si>
  <si>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</si>
  <si>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</si>
  <si>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</si>
  <si>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</si>
  <si>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</si>
  <si>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</si>
  <si>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</si>
  <si>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</si>
  <si>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</si>
  <si>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</si>
  <si>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</si>
  <si>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</si>
  <si>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</si>
  <si>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</si>
  <si>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</si>
  <si>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</si>
  <si>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</si>
  <si>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</si>
  <si>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</si>
  <si>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</si>
  <si>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</si>
  <si>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</si>
  <si>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</si>
  <si>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</si>
  <si>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</si>
  <si>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</si>
  <si>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</si>
  <si>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</si>
  <si>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</si>
  <si>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</si>
  <si>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</si>
  <si>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</si>
  <si>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</si>
  <si>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</si>
  <si>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</si>
  <si>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</si>
  <si>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</si>
  <si>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</si>
  <si>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</si>
  <si>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</si>
  <si>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</si>
  <si>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</si>
  <si>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</si>
  <si>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</si>
  <si>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</si>
  <si>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</si>
  <si>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</si>
  <si>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</si>
  <si>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</si>
  <si>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</si>
  <si>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</si>
  <si>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</si>
  <si>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</si>
  <si>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</si>
  <si>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</si>
  <si>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</si>
  <si>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</si>
  <si>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</si>
  <si>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</si>
  <si>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</si>
  <si>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</si>
  <si>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</si>
  <si>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</si>
  <si>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</si>
  <si>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</si>
  <si>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</si>
  <si>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</si>
  <si>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</si>
  <si>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</si>
  <si>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</si>
  <si>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</si>
  <si>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</si>
  <si>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</si>
  <si>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</si>
  <si>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</si>
  <si>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</si>
  <si>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</si>
  <si>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</si>
  <si>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</si>
  <si>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</si>
  <si>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</si>
  <si>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</si>
  <si>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</si>
  <si>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</si>
  <si>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</si>
  <si>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</si>
  <si>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</si>
  <si>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</si>
  <si>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</si>
  <si>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</si>
  <si>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</si>
  <si>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</si>
  <si>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</si>
  <si>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</si>
  <si>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</si>
  <si>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</si>
  <si>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</si>
  <si>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</si>
  <si>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</si>
  <si>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</si>
  <si>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</si>
  <si>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</si>
  <si>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</si>
  <si>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</si>
  <si>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</si>
  <si>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</si>
  <si>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</si>
  <si>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</si>
  <si>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</si>
  <si>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</si>
  <si>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</si>
  <si>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</si>
  <si>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</si>
  <si>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</si>
  <si>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</si>
  <si>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</si>
  <si>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</si>
  <si>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</si>
  <si>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</si>
  <si>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</si>
  <si>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</si>
  <si>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</si>
  <si>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</si>
  <si>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</si>
  <si>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</si>
  <si>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</si>
  <si>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</si>
  <si>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</si>
  <si>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</si>
  <si>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</si>
  <si>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</si>
  <si>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</si>
  <si>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</si>
  <si>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</si>
  <si>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</si>
  <si>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</si>
  <si>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</si>
  <si>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</si>
  <si>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</si>
  <si>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</si>
  <si>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</si>
  <si>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</si>
  <si>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</si>
  <si>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</si>
  <si>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</si>
  <si>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</si>
  <si>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</si>
  <si>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</si>
  <si>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</si>
  <si>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</si>
  <si>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</si>
  <si>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</si>
  <si>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</si>
  <si>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</si>
  <si>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</si>
  <si>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</si>
  <si>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</si>
  <si>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</si>
  <si>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</si>
  <si>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</si>
  <si>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</si>
  <si>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</si>
  <si>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</si>
  <si>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</si>
  <si>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</si>
  <si>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</si>
  <si>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</si>
  <si>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</si>
  <si>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</si>
  <si>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</si>
  <si>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</si>
  <si>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</si>
  <si>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</si>
  <si>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</si>
  <si>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</si>
  <si>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</si>
  <si>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</si>
  <si>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</si>
  <si>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</si>
  <si>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</si>
  <si>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</si>
  <si>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</si>
  <si>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</si>
  <si>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</si>
  <si>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</si>
  <si>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</si>
  <si>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</si>
  <si>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</si>
  <si>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</si>
  <si>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</si>
  <si>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</si>
  <si>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</si>
  <si>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</si>
  <si>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</si>
  <si>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</si>
  <si>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</si>
  <si>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</si>
  <si>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</si>
  <si>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</si>
  <si>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</si>
  <si>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</si>
  <si>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</si>
  <si>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</si>
  <si>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</si>
  <si>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</si>
  <si>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</si>
  <si>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</si>
  <si>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</si>
  <si>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</si>
  <si>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</si>
  <si>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</si>
  <si>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load itic #1~3</t>
    <phoneticPr fontId="1" type="noConversion"/>
  </si>
  <si>
    <t>load itic2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</si>
  <si>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</si>
  <si>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</si>
  <si>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</si>
  <si>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</si>
  <si>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</si>
  <si>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</si>
  <si>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</si>
  <si>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</si>
  <si>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</si>
  <si>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</si>
  <si>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</si>
  <si>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</si>
  <si>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</si>
  <si>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</si>
  <si>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</si>
  <si>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seq</t>
    <phoneticPr fontId="1" type="noConversion"/>
  </si>
  <si>
    <t>feeder count</t>
    <phoneticPr fontId="1" type="noConversion"/>
  </si>
  <si>
    <t>0: not used
1 : 3p4w
2 : 3p3w(2CT), 3 : 3p3w(3CT)
4: 1p2w(L1), 5 : 1p2w(L2), 6 : 1p2w(L3)
7: 1p3w, 8 : SIMULATION</t>
    <phoneticPr fontId="1" type="noConversion"/>
  </si>
  <si>
    <t>TEST MODE</t>
    <phoneticPr fontId="1" type="noConversion"/>
  </si>
  <si>
    <t>TEST MODE INTERVAL</t>
    <phoneticPr fontId="1" type="noConversion"/>
  </si>
  <si>
    <t>0 : not use, 1 : use</t>
    <phoneticPr fontId="1" type="noConversion"/>
  </si>
  <si>
    <t>MODBUS RX COUNT</t>
    <phoneticPr fontId="1" type="noConversion"/>
  </si>
  <si>
    <t>ALARM STS</t>
    <phoneticPr fontId="1" type="noConversion"/>
  </si>
  <si>
    <t>EVENT STS</t>
    <phoneticPr fontId="1" type="noConversion"/>
  </si>
  <si>
    <t>RSTP STS[0~1]</t>
    <phoneticPr fontId="1" type="noConversion"/>
  </si>
  <si>
    <t>MAC MSB</t>
    <phoneticPr fontId="1" type="noConversion"/>
  </si>
  <si>
    <t>IP ADDR</t>
    <phoneticPr fontId="1" type="noConversion"/>
  </si>
  <si>
    <t>SNTP STS</t>
    <phoneticPr fontId="1" type="noConversion"/>
  </si>
  <si>
    <t>DEV STS</t>
    <phoneticPr fontId="1" type="noConversion"/>
  </si>
  <si>
    <t>HEART BIT</t>
    <phoneticPr fontId="1" type="noConversion"/>
  </si>
  <si>
    <t>NET STS</t>
    <phoneticPr fontId="1" type="noConversion"/>
  </si>
  <si>
    <t>TOT STS</t>
    <phoneticPr fontId="1" type="noConversion"/>
  </si>
  <si>
    <t>Target Demand (W) #1~9</t>
    <phoneticPr fontId="1" type="noConversion"/>
  </si>
  <si>
    <t>Calibration command all, #1~9</t>
    <phoneticPr fontId="1" type="noConversion"/>
  </si>
  <si>
    <t>clear demand ALL,#1~9</t>
    <phoneticPr fontId="1" type="noConversion"/>
  </si>
  <si>
    <t>clear minmax ALL,#1~9</t>
    <phoneticPr fontId="1" type="noConversion"/>
  </si>
  <si>
    <t>clear energy ALL,#1~9</t>
    <phoneticPr fontId="1" type="noConversion"/>
  </si>
  <si>
    <t>clear alarm ALL,#1~9</t>
    <phoneticPr fontId="1" type="noConversion"/>
  </si>
  <si>
    <t>clear event ALL,#1~9</t>
    <phoneticPr fontId="1" type="noConversion"/>
  </si>
  <si>
    <t>clear ITIC ALL,#1~3</t>
    <phoneticPr fontId="1" type="noConversion"/>
  </si>
  <si>
    <t>load event ALL,#1~9</t>
    <phoneticPr fontId="1" type="noConversion"/>
  </si>
  <si>
    <t>load alarm ALL,#1~9</t>
    <phoneticPr fontId="1" type="noConversion"/>
  </si>
  <si>
    <t>Alarm Ack ALL,#1~9</t>
    <phoneticPr fontId="1" type="noConversion"/>
  </si>
  <si>
    <t>Event Ack ALL,#1~9</t>
    <phoneticPr fontId="1" type="noConversion"/>
  </si>
  <si>
    <t>Max Timestamp</t>
  </si>
  <si>
    <t>Max</t>
  </si>
  <si>
    <t>Min</t>
  </si>
  <si>
    <t>Min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</si>
</sst>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9" borderId="1" xfId="0" applyFont="1" applyFill="1" applyBorder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104775</xdr:rowOff>
    </xdr:from>
    <xdr:to>
      <xdr:col>8</xdr:col>
      <xdr:colOff>304800</xdr:colOff>
      <xdr:row>87</xdr:row>
      <xdr:rowOff>66675</xdr:rowOff>
    </xdr:to>
    <xdr:sp macro="" textlink="">
      <xdr:nvSpPr>
        <xdr:cNvPr id="10" name="AutoShape 1" descr="{\displaystyle S={\sqrt {P^{2}+Q^{2}+D^{2}}}}">
          <a:extLst>
            <a:ext uri="{FF2B5EF4-FFF2-40B4-BE49-F238E27FC236}">
              <a16:creationId xmlns:a16="http://schemas.microsoft.com/office/drawing/2014/main" id="{EA8A46EE-4EC1-4C96-994E-1B772A334286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161925</xdr:rowOff>
    </xdr:from>
    <xdr:to>
      <xdr:col>15</xdr:col>
      <xdr:colOff>66675</xdr:colOff>
      <xdr:row>84</xdr:row>
      <xdr:rowOff>4763</xdr:rowOff>
    </xdr:to>
    <xdr:pic>
      <xdr:nvPicPr>
        <xdr:cNvPr id="11" name="그림 10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BF8FC0F7-B99F-4060-B83C-76E7175DE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85726</xdr:rowOff>
    </xdr:from>
    <xdr:to>
      <xdr:col>15</xdr:col>
      <xdr:colOff>38100</xdr:colOff>
      <xdr:row>310</xdr:row>
      <xdr:rowOff>77398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4FDE3E3-F362-475B-8D1A-14BD5167B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276</xdr:row>
      <xdr:rowOff>91767</xdr:rowOff>
    </xdr:from>
    <xdr:to>
      <xdr:col>15</xdr:col>
      <xdr:colOff>198908</xdr:colOff>
      <xdr:row>292</xdr:row>
      <xdr:rowOff>104159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F8D761C-A0FF-4744-97FB-6218B5CC7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248</xdr:row>
      <xdr:rowOff>185378</xdr:rowOff>
    </xdr:from>
    <xdr:to>
      <xdr:col>15</xdr:col>
      <xdr:colOff>474100</xdr:colOff>
      <xdr:row>252</xdr:row>
      <xdr:rowOff>104774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2D02075-BA34-4131-8F0D-F954553C7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220</xdr:row>
      <xdr:rowOff>104776</xdr:rowOff>
    </xdr:from>
    <xdr:to>
      <xdr:col>16</xdr:col>
      <xdr:colOff>200025</xdr:colOff>
      <xdr:row>241</xdr:row>
      <xdr:rowOff>53642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F9E1B0-AC4D-4767-B1C9-0F6E6B5AB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179</xdr:row>
      <xdr:rowOff>66675</xdr:rowOff>
    </xdr:from>
    <xdr:to>
      <xdr:col>17</xdr:col>
      <xdr:colOff>670314</xdr:colOff>
      <xdr:row>201</xdr:row>
      <xdr:rowOff>71783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3B591DB-BA6B-4F5B-9332-73F07A8B4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190500</xdr:rowOff>
    </xdr:from>
    <xdr:to>
      <xdr:col>19</xdr:col>
      <xdr:colOff>577103</xdr:colOff>
      <xdr:row>79</xdr:row>
      <xdr:rowOff>104775</xdr:rowOff>
    </xdr:to>
    <xdr:pic>
      <xdr:nvPicPr>
        <xdr:cNvPr id="17" name="그림 16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C0E27E53-4394-4AD0-8C47-6BF652B5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4541D6CD-3226-4F89-947C-700260C1A77A}"/>
            </a:ext>
          </a:extLst>
        </xdr:cNvPr>
        <xdr:cNvSpPr>
          <a:spLocks noChangeAspect="1" noChangeArrowheads="1"/>
        </xdr:cNvSpPr>
      </xdr:nvSpPr>
      <xdr:spPr bwMode="auto">
        <a:xfrm>
          <a:off x="1501140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80963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18644531-536C-42A8-9FEB-6A4620441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15316200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58348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12565D-5FC5-4243-92D7-01EE7A1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5450" y="64246126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289</xdr:row>
      <xdr:rowOff>123209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2C43931-47BB-417B-93D5-E880CFDF4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5450" y="60851742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171449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0A75B8-3996-4D65-A40E-54A2CBC3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86875" y="5534465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237</xdr:row>
      <xdr:rowOff>91742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8082A34-0DCC-4B74-8590-64DFB6CF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01251" y="4966335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179</xdr:row>
      <xdr:rowOff>66675</xdr:rowOff>
    </xdr:from>
    <xdr:to>
      <xdr:col>11</xdr:col>
      <xdr:colOff>422664</xdr:colOff>
      <xdr:row>197</xdr:row>
      <xdr:rowOff>71783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01149B7-557B-4FF8-97A8-BB21789DE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77350" y="36023550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190500</xdr:rowOff>
    </xdr:from>
    <xdr:to>
      <xdr:col>13</xdr:col>
      <xdr:colOff>329453</xdr:colOff>
      <xdr:row>74</xdr:row>
      <xdr:rowOff>142875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6EAA738B-C5AD-4781-9FF2-CA0B7D6DD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10744200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10" sqref="C10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4">
        <v>45644</v>
      </c>
      <c r="B2" s="2" t="s">
        <v>714</v>
      </c>
    </row>
    <row r="3" spans="1:2" ht="20.25" customHeight="1" x14ac:dyDescent="0.3">
      <c r="A3" s="54">
        <f t="shared" ref="A3:A4" ca="1" si="0">TODAY()</f>
        <v>46181</v>
      </c>
      <c r="B3" s="2" t="s">
        <v>1109</v>
      </c>
    </row>
    <row r="4" spans="1:2" ht="20.25" customHeight="1" x14ac:dyDescent="0.3">
      <c r="A4" s="54">
        <f t="shared" ca="1" si="0"/>
        <v>46181</v>
      </c>
      <c r="B4" s="2"/>
    </row>
    <row r="5" spans="1:2" ht="20.25" customHeight="1" x14ac:dyDescent="0.3"/>
    <row r="6" spans="1:2" ht="20.25" customHeight="1" x14ac:dyDescent="0.3"/>
    <row r="7" spans="1:2" ht="20.25" customHeight="1" x14ac:dyDescent="0.3"/>
    <row r="8" spans="1:2" ht="20.25" customHeight="1" x14ac:dyDescent="0.3"/>
    <row r="9" spans="1:2" ht="20.25" customHeight="1" x14ac:dyDescent="0.3"/>
    <row r="10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zoomScaleNormal="100" workbookViewId="0">
      <selection activeCell="C23" sqref="C23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6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7" customWidth="1"/>
    <col min="13" max="13" width="8.625" style="8" customWidth="1"/>
    <col min="14" max="16384" width="9" style="8"/>
  </cols>
  <sheetData>
    <row r="1" spans="1:13" ht="27.75" customHeight="1" x14ac:dyDescent="0.3">
      <c r="A1" s="44" t="s">
        <v>646</v>
      </c>
      <c r="B1" s="44" t="s">
        <v>658</v>
      </c>
      <c r="C1" s="44" t="s">
        <v>644</v>
      </c>
      <c r="D1" s="44" t="s">
        <v>706</v>
      </c>
      <c r="E1" s="44" t="s">
        <v>747</v>
      </c>
      <c r="F1" s="44" t="s">
        <v>748</v>
      </c>
      <c r="G1" s="44" t="s">
        <v>650</v>
      </c>
      <c r="H1" s="44" t="s">
        <v>659</v>
      </c>
      <c r="I1" s="44" t="s">
        <v>647</v>
      </c>
      <c r="J1" s="44" t="s">
        <v>707</v>
      </c>
      <c r="K1" s="44" t="s">
        <v>708</v>
      </c>
      <c r="L1" s="44" t="s">
        <v>648</v>
      </c>
      <c r="M1" s="44" t="s">
        <v>649</v>
      </c>
    </row>
    <row r="2" spans="1:13" ht="15.95" customHeight="1" x14ac:dyDescent="0.3">
      <c r="A2" s="122" t="s">
        <v>139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</row>
    <row r="3" spans="1:13" s="48" customFormat="1" ht="15.95" customHeight="1" x14ac:dyDescent="0.3">
      <c r="A3" s="47">
        <v>50000</v>
      </c>
      <c r="B3" s="123" t="s">
        <v>713</v>
      </c>
      <c r="C3" s="51" t="s">
        <v>90</v>
      </c>
      <c r="D3" s="2"/>
      <c r="E3" s="1"/>
      <c r="F3" s="1"/>
      <c r="G3" s="1"/>
      <c r="H3" s="1" t="s">
        <v>662</v>
      </c>
      <c r="I3" s="1" t="s">
        <v>145</v>
      </c>
      <c r="J3" s="1"/>
      <c r="K3" s="1"/>
      <c r="L3" s="1">
        <v>2</v>
      </c>
      <c r="M3" s="49">
        <v>1</v>
      </c>
    </row>
    <row r="4" spans="1:13" s="48" customFormat="1" ht="15.95" customHeight="1" x14ac:dyDescent="0.3">
      <c r="A4" s="51">
        <f t="shared" ref="A4:A16" si="0">A3+(L3*M3)</f>
        <v>50002</v>
      </c>
      <c r="B4" s="123"/>
      <c r="C4" s="51" t="s">
        <v>698</v>
      </c>
      <c r="D4" s="2"/>
      <c r="E4" s="1"/>
      <c r="F4" s="1"/>
      <c r="G4" s="1"/>
      <c r="H4" s="1" t="s">
        <v>662</v>
      </c>
      <c r="I4" s="16" t="s">
        <v>709</v>
      </c>
      <c r="J4" s="1"/>
      <c r="K4" s="1"/>
      <c r="L4" s="1">
        <v>1</v>
      </c>
      <c r="M4" s="49">
        <v>1</v>
      </c>
    </row>
    <row r="5" spans="1:13" s="48" customFormat="1" ht="15.95" customHeight="1" x14ac:dyDescent="0.3">
      <c r="A5" s="51">
        <f t="shared" si="0"/>
        <v>50003</v>
      </c>
      <c r="B5" s="123"/>
      <c r="C5" s="1" t="s">
        <v>699</v>
      </c>
      <c r="D5" s="2"/>
      <c r="E5" s="1"/>
      <c r="F5" s="1"/>
      <c r="G5" s="1"/>
      <c r="H5" s="1" t="s">
        <v>662</v>
      </c>
      <c r="I5" s="16" t="s">
        <v>710</v>
      </c>
      <c r="J5" s="1"/>
      <c r="K5" s="1"/>
      <c r="L5" s="1">
        <v>1</v>
      </c>
      <c r="M5" s="49">
        <v>1</v>
      </c>
    </row>
    <row r="6" spans="1:13" s="48" customFormat="1" ht="15.95" customHeight="1" x14ac:dyDescent="0.3">
      <c r="A6" s="51">
        <f t="shared" si="0"/>
        <v>50004</v>
      </c>
      <c r="B6" s="123"/>
      <c r="C6" s="1" t="s">
        <v>700</v>
      </c>
      <c r="D6" s="2"/>
      <c r="E6" s="1"/>
      <c r="F6" s="1"/>
      <c r="G6" s="1"/>
      <c r="H6" s="1" t="s">
        <v>662</v>
      </c>
      <c r="I6" s="16" t="s">
        <v>210</v>
      </c>
      <c r="J6" s="1"/>
      <c r="K6" s="1"/>
      <c r="L6" s="1">
        <v>1</v>
      </c>
      <c r="M6" s="49">
        <v>1</v>
      </c>
    </row>
    <row r="7" spans="1:13" s="48" customFormat="1" ht="15.95" customHeight="1" x14ac:dyDescent="0.3">
      <c r="A7" s="51">
        <f t="shared" si="0"/>
        <v>50005</v>
      </c>
      <c r="B7" s="123"/>
      <c r="C7" s="1" t="s">
        <v>701</v>
      </c>
      <c r="D7" s="2"/>
      <c r="E7" s="1"/>
      <c r="F7" s="1"/>
      <c r="G7" s="1"/>
      <c r="H7" s="1" t="s">
        <v>662</v>
      </c>
      <c r="I7" s="16" t="s">
        <v>210</v>
      </c>
      <c r="J7" s="1"/>
      <c r="K7" s="1"/>
      <c r="L7" s="1">
        <v>1</v>
      </c>
      <c r="M7" s="49">
        <v>1</v>
      </c>
    </row>
    <row r="8" spans="1:13" s="48" customFormat="1" ht="15.95" customHeight="1" x14ac:dyDescent="0.3">
      <c r="A8" s="53">
        <f t="shared" si="0"/>
        <v>50006</v>
      </c>
      <c r="B8" s="123"/>
      <c r="C8" s="1" t="s">
        <v>702</v>
      </c>
      <c r="D8" s="2"/>
      <c r="E8" s="1"/>
      <c r="F8" s="1"/>
      <c r="G8" s="1"/>
      <c r="H8" s="1" t="s">
        <v>662</v>
      </c>
      <c r="I8" s="16" t="s">
        <v>210</v>
      </c>
      <c r="J8" s="1"/>
      <c r="K8" s="1"/>
      <c r="L8" s="1">
        <v>1</v>
      </c>
      <c r="M8" s="49">
        <v>1</v>
      </c>
    </row>
    <row r="9" spans="1:13" s="48" customFormat="1" ht="15.95" customHeight="1" x14ac:dyDescent="0.3">
      <c r="A9" s="53">
        <f t="shared" si="0"/>
        <v>50007</v>
      </c>
      <c r="B9" s="123"/>
      <c r="C9" s="1" t="s">
        <v>528</v>
      </c>
      <c r="D9" s="2"/>
      <c r="E9" s="1"/>
      <c r="F9" s="1"/>
      <c r="G9" s="1"/>
      <c r="H9" s="1" t="s">
        <v>662</v>
      </c>
      <c r="I9" s="16" t="s">
        <v>210</v>
      </c>
      <c r="J9" s="1"/>
      <c r="K9" s="1"/>
      <c r="L9" s="1">
        <v>1</v>
      </c>
      <c r="M9" s="49">
        <v>1</v>
      </c>
    </row>
    <row r="10" spans="1:13" s="48" customFormat="1" ht="15.95" customHeight="1" x14ac:dyDescent="0.3">
      <c r="A10" s="53">
        <f t="shared" si="0"/>
        <v>50008</v>
      </c>
      <c r="B10" s="123"/>
      <c r="C10" s="1" t="s">
        <v>703</v>
      </c>
      <c r="D10" s="2"/>
      <c r="E10" s="1"/>
      <c r="F10" s="1"/>
      <c r="G10" s="1"/>
      <c r="H10" s="1" t="s">
        <v>662</v>
      </c>
      <c r="I10" s="16" t="s">
        <v>210</v>
      </c>
      <c r="J10" s="1"/>
      <c r="K10" s="1"/>
      <c r="L10" s="1">
        <v>1</v>
      </c>
      <c r="M10" s="49">
        <v>1</v>
      </c>
    </row>
    <row r="11" spans="1:13" s="48" customFormat="1" ht="15.95" customHeight="1" x14ac:dyDescent="0.3">
      <c r="A11" s="53">
        <f t="shared" si="0"/>
        <v>50009</v>
      </c>
      <c r="B11" s="123"/>
      <c r="C11" s="1" t="s">
        <v>704</v>
      </c>
      <c r="D11" s="2"/>
      <c r="E11" s="1"/>
      <c r="F11" s="1"/>
      <c r="G11" s="1"/>
      <c r="H11" s="1" t="s">
        <v>662</v>
      </c>
      <c r="I11" s="16" t="s">
        <v>210</v>
      </c>
      <c r="J11" s="1"/>
      <c r="K11" s="1"/>
      <c r="L11" s="1">
        <v>1</v>
      </c>
      <c r="M11" s="49">
        <v>1</v>
      </c>
    </row>
    <row r="12" spans="1:13" s="48" customFormat="1" ht="15.95" customHeight="1" x14ac:dyDescent="0.3">
      <c r="A12" s="53">
        <f t="shared" si="0"/>
        <v>50010</v>
      </c>
      <c r="B12" s="123"/>
      <c r="C12" s="1" t="s">
        <v>705</v>
      </c>
      <c r="D12" s="2"/>
      <c r="E12" s="1"/>
      <c r="F12" s="1"/>
      <c r="G12" s="1"/>
      <c r="H12" s="1" t="s">
        <v>662</v>
      </c>
      <c r="I12" s="16" t="s">
        <v>710</v>
      </c>
      <c r="J12" s="1"/>
      <c r="K12" s="1"/>
      <c r="L12" s="1">
        <v>1</v>
      </c>
      <c r="M12" s="49">
        <v>1</v>
      </c>
    </row>
    <row r="13" spans="1:13" s="48" customFormat="1" ht="15.95" customHeight="1" x14ac:dyDescent="0.3">
      <c r="A13" s="53">
        <f t="shared" si="0"/>
        <v>50011</v>
      </c>
      <c r="B13" s="123"/>
      <c r="C13" s="1" t="s">
        <v>113</v>
      </c>
      <c r="D13" s="2"/>
      <c r="E13" s="1"/>
      <c r="F13" s="1"/>
      <c r="G13" s="1"/>
      <c r="H13" s="1" t="s">
        <v>662</v>
      </c>
      <c r="I13" s="16" t="s">
        <v>710</v>
      </c>
      <c r="J13" s="1"/>
      <c r="K13" s="1"/>
      <c r="L13" s="1">
        <v>1</v>
      </c>
      <c r="M13" s="49">
        <v>1</v>
      </c>
    </row>
    <row r="14" spans="1:13" s="48" customFormat="1" ht="15.95" customHeight="1" x14ac:dyDescent="0.3">
      <c r="A14" s="53">
        <f t="shared" si="0"/>
        <v>50012</v>
      </c>
      <c r="B14" s="123"/>
      <c r="C14" s="51" t="s">
        <v>147</v>
      </c>
      <c r="D14" s="2"/>
      <c r="E14" s="1"/>
      <c r="F14" s="1"/>
      <c r="G14" s="1"/>
      <c r="H14" s="1" t="s">
        <v>662</v>
      </c>
      <c r="I14" s="1" t="s">
        <v>712</v>
      </c>
      <c r="J14" s="1"/>
      <c r="K14" s="1"/>
      <c r="L14" s="1">
        <v>2</v>
      </c>
      <c r="M14" s="49">
        <v>1</v>
      </c>
    </row>
    <row r="15" spans="1:13" s="48" customFormat="1" ht="15.95" customHeight="1" x14ac:dyDescent="0.3">
      <c r="A15" s="53">
        <f t="shared" si="0"/>
        <v>50014</v>
      </c>
      <c r="B15" s="123"/>
      <c r="C15" s="1" t="s">
        <v>113</v>
      </c>
      <c r="D15" s="2"/>
      <c r="E15" s="1"/>
      <c r="F15" s="1"/>
      <c r="G15" s="1"/>
      <c r="H15" s="1" t="s">
        <v>662</v>
      </c>
      <c r="I15" s="1" t="s">
        <v>145</v>
      </c>
      <c r="J15" s="1"/>
      <c r="K15" s="1"/>
      <c r="L15" s="1">
        <v>2</v>
      </c>
      <c r="M15" s="49">
        <v>3</v>
      </c>
    </row>
    <row r="16" spans="1:13" s="48" customFormat="1" ht="15.95" customHeight="1" x14ac:dyDescent="0.3">
      <c r="A16" s="53">
        <f t="shared" si="0"/>
        <v>50020</v>
      </c>
      <c r="B16" s="124" t="s">
        <v>711</v>
      </c>
      <c r="C16" s="1" t="s">
        <v>715</v>
      </c>
      <c r="D16" s="2"/>
      <c r="E16" s="57" t="s">
        <v>758</v>
      </c>
      <c r="F16" s="57" t="s">
        <v>758</v>
      </c>
      <c r="G16" s="1"/>
      <c r="H16" s="1" t="s">
        <v>662</v>
      </c>
      <c r="I16" s="16" t="s">
        <v>123</v>
      </c>
      <c r="J16" s="1"/>
      <c r="K16" s="1"/>
      <c r="L16" s="1">
        <v>1</v>
      </c>
      <c r="M16" s="49">
        <v>1</v>
      </c>
    </row>
    <row r="17" spans="1:13" s="48" customFormat="1" ht="15.95" customHeight="1" x14ac:dyDescent="0.3">
      <c r="A17" s="53">
        <f t="shared" ref="A17:A21" si="1">A16+(L16*M16)</f>
        <v>50021</v>
      </c>
      <c r="B17" s="125"/>
      <c r="C17" s="1" t="s">
        <v>716</v>
      </c>
      <c r="D17" s="2"/>
      <c r="E17" s="1" t="s">
        <v>759</v>
      </c>
      <c r="F17" s="1" t="s">
        <v>759</v>
      </c>
      <c r="G17" s="1"/>
      <c r="H17" s="1" t="s">
        <v>662</v>
      </c>
      <c r="I17" s="16" t="s">
        <v>710</v>
      </c>
      <c r="J17" s="1"/>
      <c r="K17" s="1"/>
      <c r="L17" s="1">
        <v>1</v>
      </c>
      <c r="M17" s="49">
        <v>1</v>
      </c>
    </row>
    <row r="18" spans="1:13" s="48" customFormat="1" ht="15.95" customHeight="1" x14ac:dyDescent="0.3">
      <c r="A18" s="53">
        <f t="shared" si="1"/>
        <v>50022</v>
      </c>
      <c r="B18" s="125"/>
      <c r="C18" s="1" t="s">
        <v>113</v>
      </c>
      <c r="D18" s="2"/>
      <c r="E18" s="57" t="s">
        <v>758</v>
      </c>
      <c r="F18" s="57" t="s">
        <v>758</v>
      </c>
      <c r="G18" s="1"/>
      <c r="H18" s="1" t="s">
        <v>662</v>
      </c>
      <c r="I18" s="16" t="s">
        <v>750</v>
      </c>
      <c r="J18" s="1"/>
      <c r="K18" s="1"/>
      <c r="L18" s="1">
        <v>2</v>
      </c>
      <c r="M18" s="49">
        <v>1</v>
      </c>
    </row>
    <row r="19" spans="1:13" s="48" customFormat="1" ht="15.95" customHeight="1" x14ac:dyDescent="0.3">
      <c r="A19" s="53">
        <f t="shared" si="1"/>
        <v>50024</v>
      </c>
      <c r="B19" s="125"/>
      <c r="C19" s="51" t="s">
        <v>121</v>
      </c>
      <c r="D19" s="2"/>
      <c r="E19" s="1" t="s">
        <v>759</v>
      </c>
      <c r="F19" s="1" t="s">
        <v>759</v>
      </c>
      <c r="G19" s="1" t="s">
        <v>733</v>
      </c>
      <c r="H19" s="1" t="s">
        <v>662</v>
      </c>
      <c r="I19" s="1" t="s">
        <v>58</v>
      </c>
      <c r="J19" s="1"/>
      <c r="K19" s="1"/>
      <c r="L19" s="1">
        <v>2</v>
      </c>
      <c r="M19" s="49">
        <v>1</v>
      </c>
    </row>
    <row r="20" spans="1:13" s="48" customFormat="1" ht="15.95" customHeight="1" x14ac:dyDescent="0.3">
      <c r="A20" s="53">
        <f t="shared" si="1"/>
        <v>50026</v>
      </c>
      <c r="B20" s="125"/>
      <c r="C20" s="1" t="s">
        <v>660</v>
      </c>
      <c r="D20" s="2" t="s">
        <v>661</v>
      </c>
      <c r="E20" s="57" t="s">
        <v>758</v>
      </c>
      <c r="F20" s="57" t="s">
        <v>758</v>
      </c>
      <c r="G20" s="1" t="s">
        <v>734</v>
      </c>
      <c r="H20" s="1" t="s">
        <v>662</v>
      </c>
      <c r="I20" s="16" t="s">
        <v>58</v>
      </c>
      <c r="J20" s="16"/>
      <c r="K20" s="16"/>
      <c r="L20" s="1">
        <v>2</v>
      </c>
      <c r="M20" s="1">
        <v>1</v>
      </c>
    </row>
    <row r="21" spans="1:13" s="48" customFormat="1" ht="15.95" customHeight="1" x14ac:dyDescent="0.3">
      <c r="A21" s="53">
        <f t="shared" si="1"/>
        <v>50028</v>
      </c>
      <c r="B21" s="125"/>
      <c r="C21" s="1" t="s">
        <v>155</v>
      </c>
      <c r="D21" s="2" t="s">
        <v>631</v>
      </c>
      <c r="E21" s="1"/>
      <c r="F21" s="1" t="s">
        <v>759</v>
      </c>
      <c r="G21" s="1"/>
      <c r="H21" s="1" t="s">
        <v>662</v>
      </c>
      <c r="I21" s="16" t="s">
        <v>58</v>
      </c>
      <c r="J21" s="16"/>
      <c r="K21" s="16"/>
      <c r="L21" s="1">
        <v>2</v>
      </c>
      <c r="M21" s="49">
        <v>1</v>
      </c>
    </row>
    <row r="22" spans="1:13" s="48" customFormat="1" ht="15.95" customHeight="1" x14ac:dyDescent="0.3">
      <c r="A22" s="53">
        <f t="shared" ref="A22:A52" si="2">A21+(L21*M21)</f>
        <v>50030</v>
      </c>
      <c r="B22" s="125"/>
      <c r="C22" s="1" t="s">
        <v>156</v>
      </c>
      <c r="D22" s="2" t="s">
        <v>632</v>
      </c>
      <c r="E22" s="1"/>
      <c r="F22" s="57" t="s">
        <v>758</v>
      </c>
      <c r="G22" s="1"/>
      <c r="H22" s="1" t="s">
        <v>662</v>
      </c>
      <c r="I22" s="16" t="s">
        <v>58</v>
      </c>
      <c r="J22" s="16"/>
      <c r="K22" s="16"/>
      <c r="L22" s="1">
        <v>2</v>
      </c>
      <c r="M22" s="1">
        <v>1</v>
      </c>
    </row>
    <row r="23" spans="1:13" s="48" customFormat="1" ht="15.95" customHeight="1" x14ac:dyDescent="0.3">
      <c r="A23" s="53">
        <f t="shared" si="2"/>
        <v>50032</v>
      </c>
      <c r="B23" s="125"/>
      <c r="C23" s="1" t="s">
        <v>730</v>
      </c>
      <c r="D23" s="2"/>
      <c r="E23" s="1"/>
      <c r="F23" s="1" t="s">
        <v>759</v>
      </c>
      <c r="G23" s="1"/>
      <c r="H23" s="1" t="s">
        <v>662</v>
      </c>
      <c r="I23" s="16" t="s">
        <v>58</v>
      </c>
      <c r="J23" s="16"/>
      <c r="K23" s="16"/>
      <c r="L23" s="1">
        <v>2</v>
      </c>
      <c r="M23" s="1">
        <v>1</v>
      </c>
    </row>
    <row r="24" spans="1:13" s="48" customFormat="1" ht="15.95" customHeight="1" x14ac:dyDescent="0.3">
      <c r="A24" s="53">
        <f t="shared" si="2"/>
        <v>50034</v>
      </c>
      <c r="B24" s="125"/>
      <c r="C24" s="1" t="s">
        <v>731</v>
      </c>
      <c r="D24" s="2"/>
      <c r="E24" s="1"/>
      <c r="F24" s="57" t="s">
        <v>758</v>
      </c>
      <c r="G24" s="1"/>
      <c r="H24" s="1" t="s">
        <v>662</v>
      </c>
      <c r="I24" s="16" t="s">
        <v>58</v>
      </c>
      <c r="J24" s="16"/>
      <c r="K24" s="16"/>
      <c r="L24" s="1">
        <v>2</v>
      </c>
      <c r="M24" s="1">
        <v>1</v>
      </c>
    </row>
    <row r="25" spans="1:13" s="48" customFormat="1" ht="15.95" customHeight="1" x14ac:dyDescent="0.3">
      <c r="A25" s="53">
        <f t="shared" si="2"/>
        <v>50036</v>
      </c>
      <c r="B25" s="125"/>
      <c r="C25" s="1" t="s">
        <v>732</v>
      </c>
      <c r="D25" s="2"/>
      <c r="E25" s="1"/>
      <c r="F25" s="1" t="s">
        <v>759</v>
      </c>
      <c r="G25" s="1"/>
      <c r="H25" s="1" t="s">
        <v>662</v>
      </c>
      <c r="I25" s="16" t="s">
        <v>58</v>
      </c>
      <c r="J25" s="16"/>
      <c r="K25" s="16"/>
      <c r="L25" s="1">
        <v>2</v>
      </c>
      <c r="M25" s="1">
        <v>1</v>
      </c>
    </row>
    <row r="26" spans="1:13" s="48" customFormat="1" ht="15.95" customHeight="1" x14ac:dyDescent="0.3">
      <c r="A26" s="53">
        <f t="shared" si="2"/>
        <v>50038</v>
      </c>
      <c r="B26" s="125"/>
      <c r="C26" s="1" t="s">
        <v>663</v>
      </c>
      <c r="D26" s="2" t="s">
        <v>686</v>
      </c>
      <c r="E26" s="57" t="s">
        <v>758</v>
      </c>
      <c r="F26" s="57" t="s">
        <v>758</v>
      </c>
      <c r="G26" s="1" t="s">
        <v>735</v>
      </c>
      <c r="H26" s="1" t="s">
        <v>662</v>
      </c>
      <c r="I26" s="16" t="s">
        <v>58</v>
      </c>
      <c r="J26" s="16"/>
      <c r="K26" s="16"/>
      <c r="L26" s="1">
        <v>2</v>
      </c>
      <c r="M26" s="49">
        <v>1</v>
      </c>
    </row>
    <row r="27" spans="1:13" s="48" customFormat="1" ht="15.95" customHeight="1" x14ac:dyDescent="0.3">
      <c r="A27" s="53">
        <f t="shared" si="2"/>
        <v>50040</v>
      </c>
      <c r="B27" s="125"/>
      <c r="C27" s="1" t="s">
        <v>1</v>
      </c>
      <c r="D27" s="2" t="s">
        <v>717</v>
      </c>
      <c r="E27" s="1"/>
      <c r="F27" s="1" t="s">
        <v>759</v>
      </c>
      <c r="G27" s="1"/>
      <c r="H27" s="1" t="s">
        <v>662</v>
      </c>
      <c r="I27" s="16" t="s">
        <v>58</v>
      </c>
      <c r="J27" s="16"/>
      <c r="K27" s="16"/>
      <c r="L27" s="1">
        <v>2</v>
      </c>
      <c r="M27" s="1">
        <v>1</v>
      </c>
    </row>
    <row r="28" spans="1:13" s="48" customFormat="1" ht="15.95" customHeight="1" x14ac:dyDescent="0.3">
      <c r="A28" s="53">
        <f t="shared" si="2"/>
        <v>50042</v>
      </c>
      <c r="B28" s="125"/>
      <c r="C28" s="1" t="s">
        <v>2</v>
      </c>
      <c r="D28" s="2" t="s">
        <v>687</v>
      </c>
      <c r="E28" s="1"/>
      <c r="F28" s="57" t="s">
        <v>758</v>
      </c>
      <c r="G28" s="1"/>
      <c r="H28" s="1" t="s">
        <v>662</v>
      </c>
      <c r="I28" s="16" t="s">
        <v>58</v>
      </c>
      <c r="J28" s="16"/>
      <c r="K28" s="16"/>
      <c r="L28" s="1">
        <v>2</v>
      </c>
      <c r="M28" s="49">
        <v>1</v>
      </c>
    </row>
    <row r="29" spans="1:13" s="48" customFormat="1" ht="15.95" customHeight="1" x14ac:dyDescent="0.3">
      <c r="A29" s="53">
        <f t="shared" si="2"/>
        <v>50044</v>
      </c>
      <c r="B29" s="125"/>
      <c r="C29" s="1" t="s">
        <v>122</v>
      </c>
      <c r="D29" s="2" t="s">
        <v>607</v>
      </c>
      <c r="E29" s="1"/>
      <c r="F29" s="1" t="s">
        <v>759</v>
      </c>
      <c r="G29" s="1"/>
      <c r="H29" s="1" t="s">
        <v>662</v>
      </c>
      <c r="I29" s="16" t="s">
        <v>58</v>
      </c>
      <c r="J29" s="16"/>
      <c r="K29" s="16"/>
      <c r="L29" s="1">
        <v>2</v>
      </c>
      <c r="M29" s="49">
        <v>1</v>
      </c>
    </row>
    <row r="30" spans="1:13" s="48" customFormat="1" ht="15.95" customHeight="1" x14ac:dyDescent="0.3">
      <c r="A30" s="53">
        <f t="shared" si="2"/>
        <v>50046</v>
      </c>
      <c r="B30" s="125"/>
      <c r="C30" s="1" t="s">
        <v>724</v>
      </c>
      <c r="D30" s="2"/>
      <c r="E30" s="57" t="s">
        <v>758</v>
      </c>
      <c r="F30" s="57" t="s">
        <v>758</v>
      </c>
      <c r="G30" s="1" t="s">
        <v>736</v>
      </c>
      <c r="H30" s="1" t="s">
        <v>662</v>
      </c>
      <c r="I30" s="16" t="s">
        <v>58</v>
      </c>
      <c r="J30" s="16"/>
      <c r="K30" s="16"/>
      <c r="L30" s="1">
        <v>2</v>
      </c>
      <c r="M30" s="49">
        <v>1</v>
      </c>
    </row>
    <row r="31" spans="1:13" s="48" customFormat="1" ht="15.95" customHeight="1" x14ac:dyDescent="0.3">
      <c r="A31" s="53">
        <f t="shared" si="2"/>
        <v>50048</v>
      </c>
      <c r="B31" s="125"/>
      <c r="C31" s="1" t="s">
        <v>725</v>
      </c>
      <c r="D31" s="2"/>
      <c r="E31" s="1"/>
      <c r="F31" s="1" t="s">
        <v>759</v>
      </c>
      <c r="G31" s="1"/>
      <c r="H31" s="1" t="s">
        <v>662</v>
      </c>
      <c r="I31" s="16" t="s">
        <v>58</v>
      </c>
      <c r="J31" s="16"/>
      <c r="K31" s="16"/>
      <c r="L31" s="1">
        <v>2</v>
      </c>
      <c r="M31" s="49">
        <v>1</v>
      </c>
    </row>
    <row r="32" spans="1:13" s="48" customFormat="1" ht="15.95" customHeight="1" x14ac:dyDescent="0.3">
      <c r="A32" s="53">
        <f t="shared" si="2"/>
        <v>50050</v>
      </c>
      <c r="B32" s="125"/>
      <c r="C32" s="1" t="s">
        <v>726</v>
      </c>
      <c r="D32" s="2"/>
      <c r="E32" s="1"/>
      <c r="F32" s="57" t="s">
        <v>758</v>
      </c>
      <c r="G32" s="1"/>
      <c r="H32" s="1" t="s">
        <v>662</v>
      </c>
      <c r="I32" s="16" t="s">
        <v>58</v>
      </c>
      <c r="J32" s="16"/>
      <c r="K32" s="16"/>
      <c r="L32" s="1">
        <v>2</v>
      </c>
      <c r="M32" s="49">
        <v>1</v>
      </c>
    </row>
    <row r="33" spans="1:13" s="48" customFormat="1" ht="15.95" customHeight="1" x14ac:dyDescent="0.3">
      <c r="A33" s="53">
        <f t="shared" si="2"/>
        <v>50052</v>
      </c>
      <c r="B33" s="125"/>
      <c r="C33" s="1" t="s">
        <v>718</v>
      </c>
      <c r="D33" s="2"/>
      <c r="E33" s="57" t="s">
        <v>758</v>
      </c>
      <c r="F33" s="1" t="s">
        <v>759</v>
      </c>
      <c r="G33" s="1"/>
      <c r="H33" s="1" t="s">
        <v>662</v>
      </c>
      <c r="I33" s="16" t="s">
        <v>58</v>
      </c>
      <c r="J33" s="16"/>
      <c r="K33" s="16"/>
      <c r="L33" s="1">
        <v>2</v>
      </c>
      <c r="M33" s="1">
        <v>1</v>
      </c>
    </row>
    <row r="34" spans="1:13" ht="15.95" customHeight="1" x14ac:dyDescent="0.3">
      <c r="A34" s="53">
        <f t="shared" si="2"/>
        <v>50054</v>
      </c>
      <c r="B34" s="125"/>
      <c r="C34" s="1" t="s">
        <v>727</v>
      </c>
      <c r="D34" s="2"/>
      <c r="E34" s="57" t="s">
        <v>758</v>
      </c>
      <c r="F34" s="57" t="s">
        <v>758</v>
      </c>
      <c r="G34" s="1" t="s">
        <v>737</v>
      </c>
      <c r="H34" s="1" t="s">
        <v>662</v>
      </c>
      <c r="I34" s="16" t="s">
        <v>58</v>
      </c>
      <c r="J34" s="16"/>
      <c r="K34" s="16"/>
      <c r="L34" s="1">
        <v>2</v>
      </c>
      <c r="M34" s="1">
        <v>1</v>
      </c>
    </row>
    <row r="35" spans="1:13" ht="15.95" customHeight="1" x14ac:dyDescent="0.3">
      <c r="A35" s="53">
        <f t="shared" si="2"/>
        <v>50056</v>
      </c>
      <c r="B35" s="125"/>
      <c r="C35" s="1" t="s">
        <v>728</v>
      </c>
      <c r="D35" s="2"/>
      <c r="E35" s="57" t="s">
        <v>758</v>
      </c>
      <c r="F35" s="1" t="s">
        <v>759</v>
      </c>
      <c r="G35" s="1" t="s">
        <v>738</v>
      </c>
      <c r="H35" s="1" t="s">
        <v>662</v>
      </c>
      <c r="I35" s="16" t="s">
        <v>58</v>
      </c>
      <c r="J35" s="16"/>
      <c r="K35" s="16"/>
      <c r="L35" s="1">
        <v>2</v>
      </c>
      <c r="M35" s="1">
        <v>1</v>
      </c>
    </row>
    <row r="36" spans="1:13" ht="15.95" customHeight="1" x14ac:dyDescent="0.3">
      <c r="A36" s="53">
        <f t="shared" si="2"/>
        <v>50058</v>
      </c>
      <c r="B36" s="125"/>
      <c r="C36" s="1" t="s">
        <v>729</v>
      </c>
      <c r="D36" s="2"/>
      <c r="E36" s="57" t="s">
        <v>758</v>
      </c>
      <c r="F36" s="57" t="s">
        <v>758</v>
      </c>
      <c r="G36" s="1" t="s">
        <v>739</v>
      </c>
      <c r="H36" s="1" t="s">
        <v>662</v>
      </c>
      <c r="I36" s="16" t="s">
        <v>58</v>
      </c>
      <c r="J36" s="16"/>
      <c r="K36" s="16"/>
      <c r="L36" s="1">
        <v>2</v>
      </c>
      <c r="M36" s="1">
        <v>1</v>
      </c>
    </row>
    <row r="37" spans="1:13" s="48" customFormat="1" ht="15.95" customHeight="1" x14ac:dyDescent="0.3">
      <c r="A37" s="53">
        <f t="shared" si="2"/>
        <v>50060</v>
      </c>
      <c r="B37" s="125"/>
      <c r="C37" s="1" t="s">
        <v>721</v>
      </c>
      <c r="D37" s="2"/>
      <c r="E37" s="57" t="s">
        <v>758</v>
      </c>
      <c r="F37" s="1" t="s">
        <v>759</v>
      </c>
      <c r="G37" s="1" t="s">
        <v>740</v>
      </c>
      <c r="H37" s="1" t="s">
        <v>662</v>
      </c>
      <c r="I37" s="1" t="s">
        <v>145</v>
      </c>
      <c r="J37" s="1"/>
      <c r="K37" s="1"/>
      <c r="L37" s="1">
        <v>2</v>
      </c>
      <c r="M37" s="49">
        <v>1</v>
      </c>
    </row>
    <row r="38" spans="1:13" s="48" customFormat="1" ht="15.95" customHeight="1" x14ac:dyDescent="0.3">
      <c r="A38" s="53">
        <f t="shared" si="2"/>
        <v>50062</v>
      </c>
      <c r="B38" s="125"/>
      <c r="C38" s="1" t="s">
        <v>722</v>
      </c>
      <c r="D38" s="2"/>
      <c r="E38" s="57" t="s">
        <v>758</v>
      </c>
      <c r="F38" s="57" t="s">
        <v>758</v>
      </c>
      <c r="G38" s="1" t="s">
        <v>740</v>
      </c>
      <c r="H38" s="1" t="s">
        <v>662</v>
      </c>
      <c r="I38" s="1" t="s">
        <v>145</v>
      </c>
      <c r="J38" s="1"/>
      <c r="K38" s="1"/>
      <c r="L38" s="1">
        <v>2</v>
      </c>
      <c r="M38" s="49">
        <v>1</v>
      </c>
    </row>
    <row r="39" spans="1:13" s="48" customFormat="1" ht="15.95" customHeight="1" x14ac:dyDescent="0.3">
      <c r="A39" s="53">
        <f t="shared" si="2"/>
        <v>50064</v>
      </c>
      <c r="B39" s="125"/>
      <c r="C39" s="1" t="s">
        <v>723</v>
      </c>
      <c r="D39" s="2"/>
      <c r="E39" s="57" t="s">
        <v>758</v>
      </c>
      <c r="F39" s="1" t="s">
        <v>759</v>
      </c>
      <c r="G39" s="1" t="s">
        <v>740</v>
      </c>
      <c r="H39" s="1" t="s">
        <v>662</v>
      </c>
      <c r="I39" s="1" t="s">
        <v>209</v>
      </c>
      <c r="J39" s="1"/>
      <c r="K39" s="1"/>
      <c r="L39" s="1">
        <v>2</v>
      </c>
      <c r="M39" s="49">
        <v>1</v>
      </c>
    </row>
    <row r="40" spans="1:13" s="48" customFormat="1" ht="15.95" customHeight="1" x14ac:dyDescent="0.3">
      <c r="A40" s="53">
        <f t="shared" si="2"/>
        <v>50066</v>
      </c>
      <c r="B40" s="125"/>
      <c r="C40" s="1" t="s">
        <v>719</v>
      </c>
      <c r="D40" s="2"/>
      <c r="E40" s="57" t="s">
        <v>758</v>
      </c>
      <c r="F40" s="57" t="s">
        <v>758</v>
      </c>
      <c r="G40" s="1" t="s">
        <v>741</v>
      </c>
      <c r="H40" s="1" t="s">
        <v>662</v>
      </c>
      <c r="I40" s="1" t="s">
        <v>209</v>
      </c>
      <c r="J40" s="1"/>
      <c r="K40" s="1"/>
      <c r="L40" s="1">
        <v>2</v>
      </c>
      <c r="M40" s="49">
        <v>1</v>
      </c>
    </row>
    <row r="41" spans="1:13" s="48" customFormat="1" ht="15.95" customHeight="1" x14ac:dyDescent="0.3">
      <c r="A41" s="53">
        <f t="shared" si="2"/>
        <v>50068</v>
      </c>
      <c r="B41" s="125"/>
      <c r="C41" s="1" t="s">
        <v>720</v>
      </c>
      <c r="D41" s="2"/>
      <c r="E41" s="57" t="s">
        <v>758</v>
      </c>
      <c r="F41" s="1" t="s">
        <v>759</v>
      </c>
      <c r="G41" s="1" t="s">
        <v>742</v>
      </c>
      <c r="H41" s="1" t="s">
        <v>662</v>
      </c>
      <c r="I41" s="1" t="s">
        <v>209</v>
      </c>
      <c r="J41" s="1"/>
      <c r="K41" s="1"/>
      <c r="L41" s="1">
        <v>2</v>
      </c>
      <c r="M41" s="49">
        <v>1</v>
      </c>
    </row>
    <row r="42" spans="1:13" ht="15.95" customHeight="1" x14ac:dyDescent="0.3">
      <c r="A42" s="53">
        <f t="shared" si="2"/>
        <v>50070</v>
      </c>
      <c r="B42" s="125"/>
      <c r="C42" s="1" t="s">
        <v>745</v>
      </c>
      <c r="D42" s="2"/>
      <c r="E42" s="57" t="s">
        <v>758</v>
      </c>
      <c r="F42" s="57" t="s">
        <v>758</v>
      </c>
      <c r="G42" s="1" t="s">
        <v>743</v>
      </c>
      <c r="H42" s="1" t="s">
        <v>662</v>
      </c>
      <c r="I42" s="16" t="s">
        <v>58</v>
      </c>
      <c r="J42" s="16"/>
      <c r="K42" s="16"/>
      <c r="L42" s="1">
        <v>2</v>
      </c>
      <c r="M42" s="1">
        <v>1</v>
      </c>
    </row>
    <row r="43" spans="1:13" ht="15.95" customHeight="1" x14ac:dyDescent="0.3">
      <c r="A43" s="53">
        <f t="shared" si="2"/>
        <v>50072</v>
      </c>
      <c r="B43" s="125"/>
      <c r="C43" s="1" t="s">
        <v>746</v>
      </c>
      <c r="D43" s="2"/>
      <c r="E43" s="57" t="s">
        <v>758</v>
      </c>
      <c r="F43" s="1" t="s">
        <v>759</v>
      </c>
      <c r="G43" s="1" t="s">
        <v>739</v>
      </c>
      <c r="H43" s="1" t="s">
        <v>662</v>
      </c>
      <c r="I43" s="16" t="s">
        <v>58</v>
      </c>
      <c r="J43" s="16"/>
      <c r="K43" s="16"/>
      <c r="L43" s="1">
        <v>2</v>
      </c>
      <c r="M43" s="1">
        <v>1</v>
      </c>
    </row>
    <row r="44" spans="1:13" ht="15.95" customHeight="1" x14ac:dyDescent="0.3">
      <c r="A44" s="53">
        <f t="shared" si="2"/>
        <v>50074</v>
      </c>
      <c r="B44" s="125"/>
      <c r="C44" s="1" t="s">
        <v>664</v>
      </c>
      <c r="D44" s="2" t="s">
        <v>688</v>
      </c>
      <c r="E44" s="57" t="s">
        <v>758</v>
      </c>
      <c r="F44" s="57" t="s">
        <v>758</v>
      </c>
      <c r="G44" s="1" t="s">
        <v>744</v>
      </c>
      <c r="H44" s="1" t="s">
        <v>662</v>
      </c>
      <c r="I44" s="16" t="s">
        <v>58</v>
      </c>
      <c r="J44" s="16"/>
      <c r="K44" s="16"/>
      <c r="L44" s="1">
        <v>2</v>
      </c>
      <c r="M44" s="1">
        <v>1</v>
      </c>
    </row>
    <row r="45" spans="1:13" ht="15.95" customHeight="1" x14ac:dyDescent="0.3">
      <c r="A45" s="53">
        <f t="shared" si="2"/>
        <v>50076</v>
      </c>
      <c r="B45" s="125"/>
      <c r="C45" s="1" t="s">
        <v>19</v>
      </c>
      <c r="D45" s="2" t="s">
        <v>689</v>
      </c>
      <c r="E45" s="1"/>
      <c r="F45" s="1" t="s">
        <v>759</v>
      </c>
      <c r="G45" s="1" t="s">
        <v>739</v>
      </c>
      <c r="H45" s="1" t="s">
        <v>662</v>
      </c>
      <c r="I45" s="16" t="s">
        <v>58</v>
      </c>
      <c r="J45" s="16"/>
      <c r="K45" s="16"/>
      <c r="L45" s="1">
        <v>2</v>
      </c>
      <c r="M45" s="49">
        <v>1</v>
      </c>
    </row>
    <row r="46" spans="1:13" ht="15.95" customHeight="1" x14ac:dyDescent="0.3">
      <c r="A46" s="53">
        <f t="shared" si="2"/>
        <v>50078</v>
      </c>
      <c r="B46" s="125"/>
      <c r="C46" s="1" t="s">
        <v>20</v>
      </c>
      <c r="D46" s="2" t="s">
        <v>690</v>
      </c>
      <c r="E46" s="1"/>
      <c r="F46" s="57" t="s">
        <v>758</v>
      </c>
      <c r="G46" s="1" t="s">
        <v>744</v>
      </c>
      <c r="H46" s="1" t="s">
        <v>662</v>
      </c>
      <c r="I46" s="16" t="s">
        <v>58</v>
      </c>
      <c r="J46" s="16"/>
      <c r="K46" s="16"/>
      <c r="L46" s="1">
        <v>2</v>
      </c>
      <c r="M46" s="1">
        <v>1</v>
      </c>
    </row>
    <row r="47" spans="1:13" ht="15.95" customHeight="1" x14ac:dyDescent="0.3">
      <c r="A47" s="53">
        <f t="shared" si="2"/>
        <v>50080</v>
      </c>
      <c r="B47" s="125"/>
      <c r="C47" s="1" t="s">
        <v>243</v>
      </c>
      <c r="D47" s="2" t="s">
        <v>691</v>
      </c>
      <c r="E47" s="57" t="s">
        <v>758</v>
      </c>
      <c r="F47" s="1" t="s">
        <v>759</v>
      </c>
      <c r="G47" s="1" t="s">
        <v>739</v>
      </c>
      <c r="H47" s="1" t="s">
        <v>662</v>
      </c>
      <c r="I47" s="16" t="s">
        <v>58</v>
      </c>
      <c r="J47" s="16"/>
      <c r="K47" s="16"/>
      <c r="L47" s="1">
        <v>2</v>
      </c>
      <c r="M47" s="49">
        <v>1</v>
      </c>
    </row>
    <row r="48" spans="1:13" ht="15.95" customHeight="1" x14ac:dyDescent="0.3">
      <c r="A48" s="53">
        <f t="shared" si="2"/>
        <v>50082</v>
      </c>
      <c r="B48" s="125"/>
      <c r="C48" s="1" t="s">
        <v>25</v>
      </c>
      <c r="D48" s="2" t="s">
        <v>692</v>
      </c>
      <c r="E48" s="1"/>
      <c r="F48" s="57" t="s">
        <v>758</v>
      </c>
      <c r="G48" s="1" t="s">
        <v>744</v>
      </c>
      <c r="H48" s="1" t="s">
        <v>662</v>
      </c>
      <c r="I48" s="16" t="s">
        <v>58</v>
      </c>
      <c r="J48" s="16"/>
      <c r="K48" s="16"/>
      <c r="L48" s="1">
        <v>2</v>
      </c>
      <c r="M48" s="1">
        <v>1</v>
      </c>
    </row>
    <row r="49" spans="1:13" ht="15.95" customHeight="1" x14ac:dyDescent="0.3">
      <c r="A49" s="53">
        <f t="shared" si="2"/>
        <v>50084</v>
      </c>
      <c r="B49" s="125"/>
      <c r="C49" s="1" t="s">
        <v>26</v>
      </c>
      <c r="D49" s="2" t="s">
        <v>693</v>
      </c>
      <c r="E49" s="1"/>
      <c r="F49" s="1" t="s">
        <v>759</v>
      </c>
      <c r="G49" s="1" t="s">
        <v>739</v>
      </c>
      <c r="H49" s="1" t="s">
        <v>662</v>
      </c>
      <c r="I49" s="16" t="s">
        <v>58</v>
      </c>
      <c r="J49" s="16"/>
      <c r="K49" s="16"/>
      <c r="L49" s="1">
        <v>2</v>
      </c>
      <c r="M49" s="49">
        <v>1</v>
      </c>
    </row>
    <row r="50" spans="1:13" ht="15.95" customHeight="1" x14ac:dyDescent="0.3">
      <c r="A50" s="53">
        <f t="shared" si="2"/>
        <v>50086</v>
      </c>
      <c r="B50" s="125"/>
      <c r="C50" s="1" t="s">
        <v>665</v>
      </c>
      <c r="D50" s="2" t="s">
        <v>694</v>
      </c>
      <c r="E50" s="57" t="s">
        <v>758</v>
      </c>
      <c r="F50" s="57" t="s">
        <v>758</v>
      </c>
      <c r="G50" s="1" t="s">
        <v>744</v>
      </c>
      <c r="H50" s="1" t="s">
        <v>662</v>
      </c>
      <c r="I50" s="16" t="s">
        <v>58</v>
      </c>
      <c r="J50" s="16"/>
      <c r="K50" s="16"/>
      <c r="L50" s="1">
        <v>2</v>
      </c>
      <c r="M50" s="1">
        <v>1</v>
      </c>
    </row>
    <row r="51" spans="1:13" ht="15.95" customHeight="1" x14ac:dyDescent="0.3">
      <c r="A51" s="53">
        <f t="shared" si="2"/>
        <v>50088</v>
      </c>
      <c r="B51" s="125"/>
      <c r="C51" s="1" t="s">
        <v>28</v>
      </c>
      <c r="D51" s="2" t="s">
        <v>695</v>
      </c>
      <c r="E51" s="1"/>
      <c r="F51" s="1" t="s">
        <v>759</v>
      </c>
      <c r="G51" s="1" t="s">
        <v>739</v>
      </c>
      <c r="H51" s="1" t="s">
        <v>662</v>
      </c>
      <c r="I51" s="16" t="s">
        <v>58</v>
      </c>
      <c r="J51" s="16"/>
      <c r="K51" s="16"/>
      <c r="L51" s="1">
        <v>2</v>
      </c>
      <c r="M51" s="49">
        <v>1</v>
      </c>
    </row>
    <row r="52" spans="1:13" ht="15.95" customHeight="1" x14ac:dyDescent="0.3">
      <c r="A52" s="53">
        <f t="shared" si="2"/>
        <v>50090</v>
      </c>
      <c r="B52" s="125"/>
      <c r="C52" s="1" t="s">
        <v>29</v>
      </c>
      <c r="D52" s="2" t="s">
        <v>696</v>
      </c>
      <c r="E52" s="1"/>
      <c r="F52" s="57" t="s">
        <v>758</v>
      </c>
      <c r="G52" s="1" t="s">
        <v>744</v>
      </c>
      <c r="H52" s="1" t="s">
        <v>662</v>
      </c>
      <c r="I52" s="16" t="s">
        <v>58</v>
      </c>
      <c r="J52" s="16"/>
      <c r="K52" s="16"/>
      <c r="L52" s="1">
        <v>2</v>
      </c>
      <c r="M52" s="1">
        <v>1</v>
      </c>
    </row>
    <row r="53" spans="1:13" ht="15.95" customHeight="1" x14ac:dyDescent="0.3">
      <c r="A53" s="53">
        <f t="shared" ref="A53:A61" si="3">A52+(L52*M52)</f>
        <v>50092</v>
      </c>
      <c r="B53" s="126"/>
      <c r="C53" s="1" t="s">
        <v>666</v>
      </c>
      <c r="D53" s="2"/>
      <c r="E53" s="57" t="s">
        <v>758</v>
      </c>
      <c r="F53" s="1" t="s">
        <v>759</v>
      </c>
      <c r="G53" s="1"/>
      <c r="H53" s="1" t="s">
        <v>662</v>
      </c>
      <c r="I53" s="16" t="s">
        <v>58</v>
      </c>
      <c r="J53" s="16"/>
      <c r="K53" s="16"/>
      <c r="L53" s="1">
        <v>2</v>
      </c>
      <c r="M53" s="1">
        <v>4</v>
      </c>
    </row>
    <row r="54" spans="1:13" ht="13.5" customHeight="1" x14ac:dyDescent="0.3">
      <c r="A54" s="53">
        <f t="shared" si="3"/>
        <v>50100</v>
      </c>
      <c r="B54" s="52" t="s">
        <v>749</v>
      </c>
      <c r="C54" s="1"/>
      <c r="D54" s="2"/>
      <c r="E54" s="57" t="s">
        <v>758</v>
      </c>
      <c r="F54" s="1" t="s">
        <v>759</v>
      </c>
      <c r="G54" s="1"/>
      <c r="H54" s="1" t="s">
        <v>662</v>
      </c>
      <c r="I54" s="16" t="s">
        <v>58</v>
      </c>
      <c r="J54" s="16"/>
      <c r="K54" s="16"/>
      <c r="L54" s="1">
        <v>1</v>
      </c>
      <c r="M54" s="1">
        <v>80</v>
      </c>
    </row>
    <row r="55" spans="1:13" ht="13.5" customHeight="1" x14ac:dyDescent="0.3">
      <c r="A55" s="53">
        <f t="shared" si="3"/>
        <v>50180</v>
      </c>
      <c r="B55" s="52" t="s">
        <v>751</v>
      </c>
      <c r="C55" s="1"/>
      <c r="D55" s="2"/>
      <c r="E55" s="57" t="s">
        <v>758</v>
      </c>
      <c r="F55" s="1" t="s">
        <v>758</v>
      </c>
      <c r="G55" s="1"/>
      <c r="H55" s="1" t="s">
        <v>662</v>
      </c>
      <c r="I55" s="16" t="s">
        <v>58</v>
      </c>
      <c r="J55" s="16"/>
      <c r="K55" s="16"/>
      <c r="L55" s="1">
        <v>1</v>
      </c>
      <c r="M55" s="1">
        <v>80</v>
      </c>
    </row>
    <row r="56" spans="1:13" ht="13.5" customHeight="1" x14ac:dyDescent="0.3">
      <c r="A56" s="53">
        <f t="shared" si="3"/>
        <v>50260</v>
      </c>
      <c r="B56" s="52" t="s">
        <v>572</v>
      </c>
      <c r="C56" s="1"/>
      <c r="D56" s="2"/>
      <c r="E56" s="57" t="s">
        <v>758</v>
      </c>
      <c r="F56" s="1"/>
      <c r="G56" s="1"/>
      <c r="H56" s="1" t="s">
        <v>662</v>
      </c>
      <c r="I56" s="16" t="s">
        <v>58</v>
      </c>
      <c r="J56" s="16"/>
      <c r="K56" s="16"/>
      <c r="L56" s="1">
        <v>1</v>
      </c>
      <c r="M56" s="1">
        <v>80</v>
      </c>
    </row>
    <row r="57" spans="1:13" ht="13.5" customHeight="1" x14ac:dyDescent="0.3">
      <c r="A57" s="53">
        <f t="shared" si="3"/>
        <v>50340</v>
      </c>
      <c r="B57" s="56" t="s">
        <v>573</v>
      </c>
      <c r="C57" s="1"/>
      <c r="D57" s="2"/>
      <c r="E57" s="57" t="s">
        <v>758</v>
      </c>
      <c r="F57" s="1"/>
      <c r="G57" s="1"/>
      <c r="H57" s="1" t="s">
        <v>662</v>
      </c>
      <c r="I57" s="16" t="s">
        <v>58</v>
      </c>
      <c r="J57" s="16"/>
      <c r="K57" s="16"/>
      <c r="L57" s="1">
        <v>1</v>
      </c>
      <c r="M57" s="1">
        <v>80</v>
      </c>
    </row>
    <row r="58" spans="1:13" ht="13.5" customHeight="1" x14ac:dyDescent="0.3">
      <c r="A58" s="55">
        <f t="shared" si="3"/>
        <v>50420</v>
      </c>
      <c r="B58" s="56" t="s">
        <v>574</v>
      </c>
      <c r="C58" s="1"/>
      <c r="D58" s="2"/>
      <c r="E58" s="57" t="s">
        <v>758</v>
      </c>
      <c r="F58" s="1"/>
      <c r="G58" s="1"/>
      <c r="H58" s="1" t="s">
        <v>662</v>
      </c>
      <c r="I58" s="16" t="s">
        <v>58</v>
      </c>
      <c r="J58" s="16"/>
      <c r="K58" s="16"/>
      <c r="L58" s="1">
        <v>1</v>
      </c>
      <c r="M58" s="1">
        <v>80</v>
      </c>
    </row>
    <row r="59" spans="1:13" ht="13.5" customHeight="1" x14ac:dyDescent="0.3">
      <c r="A59" s="55">
        <f t="shared" si="3"/>
        <v>50500</v>
      </c>
      <c r="B59" s="56" t="s">
        <v>575</v>
      </c>
      <c r="C59" s="1"/>
      <c r="D59" s="2"/>
      <c r="E59" s="57" t="s">
        <v>758</v>
      </c>
      <c r="F59" s="1"/>
      <c r="G59" s="1"/>
      <c r="H59" s="1" t="s">
        <v>662</v>
      </c>
      <c r="I59" s="16" t="s">
        <v>58</v>
      </c>
      <c r="J59" s="16"/>
      <c r="K59" s="16"/>
      <c r="L59" s="1">
        <v>1</v>
      </c>
      <c r="M59" s="1">
        <v>80</v>
      </c>
    </row>
    <row r="60" spans="1:13" ht="13.5" customHeight="1" x14ac:dyDescent="0.3">
      <c r="A60" s="55">
        <f t="shared" si="3"/>
        <v>50580</v>
      </c>
      <c r="B60" s="56" t="s">
        <v>576</v>
      </c>
      <c r="C60" s="1"/>
      <c r="D60" s="2"/>
      <c r="E60" s="57" t="s">
        <v>758</v>
      </c>
      <c r="F60" s="1"/>
      <c r="G60" s="1"/>
      <c r="H60" s="1" t="s">
        <v>662</v>
      </c>
      <c r="I60" s="16" t="s">
        <v>58</v>
      </c>
      <c r="J60" s="16"/>
      <c r="K60" s="16"/>
      <c r="L60" s="1">
        <v>1</v>
      </c>
      <c r="M60" s="1">
        <v>80</v>
      </c>
    </row>
    <row r="61" spans="1:13" ht="13.5" customHeight="1" x14ac:dyDescent="0.3">
      <c r="A61" s="55">
        <f t="shared" si="3"/>
        <v>50660</v>
      </c>
      <c r="B61" s="56" t="s">
        <v>577</v>
      </c>
      <c r="C61" s="1"/>
      <c r="D61" s="2"/>
      <c r="E61" s="57" t="s">
        <v>758</v>
      </c>
      <c r="F61" s="1"/>
      <c r="G61" s="1"/>
      <c r="H61" s="1" t="s">
        <v>662</v>
      </c>
      <c r="I61" s="16" t="s">
        <v>58</v>
      </c>
      <c r="J61" s="16"/>
      <c r="K61" s="16"/>
      <c r="L61" s="1">
        <v>1</v>
      </c>
      <c r="M61" s="1">
        <v>80</v>
      </c>
    </row>
    <row r="62" spans="1:13" ht="13.5" customHeight="1" x14ac:dyDescent="0.3">
      <c r="A62" s="122" t="s">
        <v>753</v>
      </c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</row>
    <row r="63" spans="1:13" ht="13.5" customHeight="1" x14ac:dyDescent="0.3">
      <c r="A63" s="53">
        <f>A61+(L61*M61)</f>
        <v>50740</v>
      </c>
      <c r="B63" s="124" t="s">
        <v>752</v>
      </c>
      <c r="C63" s="9" t="s">
        <v>94</v>
      </c>
      <c r="D63" s="53" t="s">
        <v>760</v>
      </c>
      <c r="E63" s="57" t="s">
        <v>758</v>
      </c>
      <c r="F63" s="1" t="s">
        <v>759</v>
      </c>
      <c r="G63" s="53"/>
      <c r="H63" s="1" t="s">
        <v>754</v>
      </c>
      <c r="I63" s="16" t="s">
        <v>114</v>
      </c>
      <c r="J63" s="16"/>
      <c r="K63" s="16"/>
      <c r="L63" s="16">
        <f>IF(OR(I63="U16", I63="S16"),1,IF(I63="TS",6,2))</f>
        <v>1</v>
      </c>
      <c r="M63" s="53">
        <v>41</v>
      </c>
    </row>
    <row r="64" spans="1:13" ht="13.5" customHeight="1" x14ac:dyDescent="0.3">
      <c r="A64" s="53">
        <f t="shared" ref="A64:A73" si="4">A63+(L63*M63)</f>
        <v>50781</v>
      </c>
      <c r="B64" s="125"/>
      <c r="C64" s="9" t="s">
        <v>95</v>
      </c>
      <c r="D64" s="53"/>
      <c r="E64" s="53"/>
      <c r="F64" s="57" t="s">
        <v>758</v>
      </c>
      <c r="G64" s="53"/>
      <c r="H64" s="53" t="s">
        <v>755</v>
      </c>
      <c r="I64" s="16" t="s">
        <v>114</v>
      </c>
      <c r="J64" s="16"/>
      <c r="K64" s="16"/>
      <c r="L64" s="16">
        <f>IF(OR(I64="U16", I64="S16"),1,IF(I64="TS",6,2))</f>
        <v>1</v>
      </c>
      <c r="M64" s="53">
        <v>41</v>
      </c>
    </row>
    <row r="65" spans="1:13" ht="13.5" customHeight="1" x14ac:dyDescent="0.3">
      <c r="A65" s="53">
        <f t="shared" si="4"/>
        <v>50822</v>
      </c>
      <c r="B65" s="125"/>
      <c r="C65" s="9" t="s">
        <v>96</v>
      </c>
      <c r="D65" s="53"/>
      <c r="E65" s="53"/>
      <c r="F65" s="1" t="s">
        <v>759</v>
      </c>
      <c r="G65" s="53"/>
      <c r="H65" s="1" t="s">
        <v>662</v>
      </c>
      <c r="I65" s="16" t="s">
        <v>756</v>
      </c>
      <c r="J65" s="16"/>
      <c r="K65" s="16"/>
      <c r="L65" s="16">
        <f>IF(OR(I65="U16", I65="S16"),1,IF(I65="TS",6,2))</f>
        <v>1</v>
      </c>
      <c r="M65" s="53">
        <v>41</v>
      </c>
    </row>
    <row r="66" spans="1:13" ht="13.5" customHeight="1" x14ac:dyDescent="0.3">
      <c r="A66" s="53">
        <f t="shared" si="4"/>
        <v>50863</v>
      </c>
      <c r="B66" s="125"/>
      <c r="C66" s="9" t="s">
        <v>100</v>
      </c>
      <c r="D66" s="53"/>
      <c r="E66" s="57" t="s">
        <v>758</v>
      </c>
      <c r="F66" s="57" t="s">
        <v>758</v>
      </c>
      <c r="G66" s="53"/>
      <c r="H66" s="53" t="s">
        <v>662</v>
      </c>
      <c r="I66" s="16" t="s">
        <v>756</v>
      </c>
      <c r="J66" s="16"/>
      <c r="K66" s="16"/>
      <c r="L66" s="16">
        <f t="shared" ref="L66:L68" si="5">IF(OR(I66="U16", I66="S16"),1,IF(I66="TS",6,2))</f>
        <v>1</v>
      </c>
      <c r="M66" s="53">
        <v>41</v>
      </c>
    </row>
    <row r="67" spans="1:13" ht="13.5" customHeight="1" x14ac:dyDescent="0.3">
      <c r="A67" s="53">
        <f t="shared" si="4"/>
        <v>50904</v>
      </c>
      <c r="B67" s="125"/>
      <c r="C67" s="9" t="s">
        <v>101</v>
      </c>
      <c r="D67" s="53"/>
      <c r="E67" s="53"/>
      <c r="F67" s="1" t="s">
        <v>759</v>
      </c>
      <c r="G67" s="53"/>
      <c r="H67" s="1" t="s">
        <v>662</v>
      </c>
      <c r="I67" s="16" t="s">
        <v>756</v>
      </c>
      <c r="J67" s="16"/>
      <c r="K67" s="16"/>
      <c r="L67" s="16">
        <f t="shared" si="5"/>
        <v>1</v>
      </c>
      <c r="M67" s="53">
        <v>41</v>
      </c>
    </row>
    <row r="68" spans="1:13" ht="13.5" customHeight="1" x14ac:dyDescent="0.3">
      <c r="A68" s="53">
        <f t="shared" si="4"/>
        <v>50945</v>
      </c>
      <c r="B68" s="126"/>
      <c r="C68" s="9" t="s">
        <v>102</v>
      </c>
      <c r="D68" s="53"/>
      <c r="E68" s="53"/>
      <c r="F68" s="57" t="s">
        <v>758</v>
      </c>
      <c r="G68" s="53"/>
      <c r="H68" s="53" t="s">
        <v>662</v>
      </c>
      <c r="I68" s="16" t="s">
        <v>756</v>
      </c>
      <c r="J68" s="16"/>
      <c r="K68" s="16"/>
      <c r="L68" s="16">
        <f t="shared" si="5"/>
        <v>1</v>
      </c>
      <c r="M68" s="53">
        <v>41</v>
      </c>
    </row>
    <row r="69" spans="1:13" ht="13.5" customHeight="1" x14ac:dyDescent="0.3">
      <c r="A69" s="53">
        <f t="shared" si="4"/>
        <v>50986</v>
      </c>
      <c r="B69" s="53" t="s">
        <v>749</v>
      </c>
      <c r="C69" s="9"/>
      <c r="D69" s="53"/>
      <c r="E69" s="57" t="s">
        <v>758</v>
      </c>
      <c r="F69" s="57" t="s">
        <v>758</v>
      </c>
      <c r="G69" s="53"/>
      <c r="H69" s="1"/>
      <c r="I69" s="16"/>
      <c r="J69" s="16"/>
      <c r="K69" s="16"/>
      <c r="L69" s="16">
        <v>1</v>
      </c>
      <c r="M69" s="53">
        <v>246</v>
      </c>
    </row>
    <row r="70" spans="1:13" ht="13.5" customHeight="1" x14ac:dyDescent="0.3">
      <c r="A70" s="53">
        <f t="shared" si="4"/>
        <v>51232</v>
      </c>
      <c r="B70" s="53" t="s">
        <v>757</v>
      </c>
      <c r="C70" s="9"/>
      <c r="D70" s="53"/>
      <c r="E70" s="57" t="s">
        <v>758</v>
      </c>
      <c r="F70" s="57" t="s">
        <v>758</v>
      </c>
      <c r="G70" s="53"/>
      <c r="H70" s="53"/>
      <c r="I70" s="16"/>
      <c r="J70" s="16"/>
      <c r="K70" s="16"/>
      <c r="L70" s="16">
        <v>1</v>
      </c>
      <c r="M70" s="53">
        <v>246</v>
      </c>
    </row>
    <row r="71" spans="1:13" ht="13.5" customHeight="1" x14ac:dyDescent="0.3">
      <c r="A71" s="53">
        <f t="shared" si="4"/>
        <v>51478</v>
      </c>
      <c r="B71" s="53" t="s">
        <v>572</v>
      </c>
      <c r="C71" s="9"/>
      <c r="D71" s="53"/>
      <c r="E71" s="57" t="s">
        <v>758</v>
      </c>
      <c r="F71" s="53"/>
      <c r="G71" s="53"/>
      <c r="H71" s="1"/>
      <c r="I71" s="16"/>
      <c r="J71" s="16"/>
      <c r="K71" s="16"/>
      <c r="L71" s="16">
        <v>1</v>
      </c>
      <c r="M71" s="53">
        <v>246</v>
      </c>
    </row>
    <row r="72" spans="1:13" ht="13.5" customHeight="1" x14ac:dyDescent="0.3">
      <c r="A72" s="53">
        <f t="shared" si="4"/>
        <v>51724</v>
      </c>
      <c r="B72" s="53" t="s">
        <v>761</v>
      </c>
      <c r="C72" s="9"/>
      <c r="D72" s="53"/>
      <c r="E72" s="57" t="s">
        <v>758</v>
      </c>
      <c r="F72" s="53"/>
      <c r="G72" s="53"/>
      <c r="H72" s="53"/>
      <c r="I72" s="16"/>
      <c r="J72" s="16"/>
      <c r="K72" s="16"/>
      <c r="L72" s="16">
        <v>1</v>
      </c>
      <c r="M72" s="53">
        <v>246</v>
      </c>
    </row>
    <row r="73" spans="1:13" ht="13.5" customHeight="1" x14ac:dyDescent="0.3">
      <c r="A73" s="53">
        <f t="shared" si="4"/>
        <v>51970</v>
      </c>
      <c r="B73" s="53" t="s">
        <v>574</v>
      </c>
      <c r="C73" s="9"/>
      <c r="D73" s="53"/>
      <c r="E73" s="57" t="s">
        <v>758</v>
      </c>
      <c r="F73" s="53"/>
      <c r="G73" s="53"/>
      <c r="H73" s="53"/>
      <c r="I73" s="16"/>
      <c r="J73" s="16"/>
      <c r="K73" s="16"/>
      <c r="L73" s="16">
        <v>1</v>
      </c>
      <c r="M73" s="53">
        <v>246</v>
      </c>
    </row>
    <row r="74" spans="1:13" ht="13.5" customHeight="1" x14ac:dyDescent="0.3">
      <c r="A74" s="55">
        <f t="shared" ref="A74:A76" si="6">A73+(L73*M73)</f>
        <v>52216</v>
      </c>
      <c r="B74" s="55" t="s">
        <v>575</v>
      </c>
      <c r="C74" s="9"/>
      <c r="D74" s="55"/>
      <c r="E74" s="57" t="s">
        <v>758</v>
      </c>
      <c r="F74" s="55"/>
      <c r="G74" s="55"/>
      <c r="H74" s="55"/>
      <c r="I74" s="16"/>
      <c r="J74" s="16"/>
      <c r="K74" s="16"/>
      <c r="L74" s="16">
        <v>1</v>
      </c>
      <c r="M74" s="55">
        <v>246</v>
      </c>
    </row>
    <row r="75" spans="1:13" ht="13.5" customHeight="1" x14ac:dyDescent="0.3">
      <c r="A75" s="55">
        <f t="shared" si="6"/>
        <v>52462</v>
      </c>
      <c r="B75" s="55" t="s">
        <v>576</v>
      </c>
      <c r="C75" s="9"/>
      <c r="D75" s="55"/>
      <c r="E75" s="57" t="s">
        <v>758</v>
      </c>
      <c r="F75" s="55"/>
      <c r="G75" s="55"/>
      <c r="H75" s="55"/>
      <c r="I75" s="16"/>
      <c r="J75" s="16"/>
      <c r="K75" s="16"/>
      <c r="L75" s="16">
        <v>1</v>
      </c>
      <c r="M75" s="55">
        <v>246</v>
      </c>
    </row>
    <row r="76" spans="1:13" ht="13.5" customHeight="1" x14ac:dyDescent="0.3">
      <c r="A76" s="55">
        <f t="shared" si="6"/>
        <v>52708</v>
      </c>
      <c r="B76" s="55" t="s">
        <v>577</v>
      </c>
      <c r="C76" s="9"/>
      <c r="D76" s="55"/>
      <c r="E76" s="57" t="s">
        <v>758</v>
      </c>
      <c r="F76" s="55"/>
      <c r="G76" s="55"/>
      <c r="H76" s="55"/>
      <c r="I76" s="16"/>
      <c r="J76" s="16"/>
      <c r="K76" s="16"/>
      <c r="L76" s="16">
        <v>1</v>
      </c>
      <c r="M76" s="55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5E84-83B8-46D9-873F-45F0D3BFD0C2}">
  <dimension ref="A1:I141"/>
  <sheetViews>
    <sheetView topLeftCell="A116" workbookViewId="0">
      <selection activeCell="F143" sqref="F143"/>
    </sheetView>
  </sheetViews>
  <sheetFormatPr defaultRowHeight="14.1" customHeight="1" x14ac:dyDescent="0.3"/>
  <cols>
    <col min="1" max="1" width="7.375" bestFit="1" customWidth="1"/>
    <col min="2" max="2" width="20.25" bestFit="1" customWidth="1"/>
    <col min="3" max="3" width="40.25" customWidth="1"/>
    <col min="4" max="4" width="4.5" bestFit="1" customWidth="1"/>
    <col min="5" max="5" width="5" bestFit="1" customWidth="1"/>
    <col min="6" max="6" width="4.5" bestFit="1" customWidth="1"/>
    <col min="7" max="8" width="6" bestFit="1" customWidth="1"/>
  </cols>
  <sheetData>
    <row r="1" spans="1:9" ht="14.1" customHeight="1" x14ac:dyDescent="0.3">
      <c r="A1" s="44" t="s">
        <v>646</v>
      </c>
      <c r="B1" s="44" t="s">
        <v>644</v>
      </c>
      <c r="C1" s="44" t="s">
        <v>645</v>
      </c>
      <c r="D1" s="44" t="s">
        <v>650</v>
      </c>
      <c r="E1" s="44" t="s">
        <v>647</v>
      </c>
      <c r="F1" s="44" t="s">
        <v>1058</v>
      </c>
      <c r="G1" s="44" t="s">
        <v>648</v>
      </c>
      <c r="H1" s="44" t="s">
        <v>649</v>
      </c>
    </row>
    <row r="2" spans="1:9" ht="14.1" customHeight="1" x14ac:dyDescent="0.3">
      <c r="A2" s="122" t="s">
        <v>256</v>
      </c>
      <c r="B2" s="122"/>
      <c r="C2" s="122"/>
      <c r="D2" s="122"/>
      <c r="E2" s="122"/>
      <c r="F2" s="122"/>
      <c r="G2" s="122"/>
      <c r="H2" s="122"/>
      <c r="I2" s="104"/>
    </row>
    <row r="3" spans="1:9" ht="14.1" customHeight="1" x14ac:dyDescent="0.3">
      <c r="A3" s="117">
        <v>7220</v>
      </c>
      <c r="B3" s="19" t="s">
        <v>247</v>
      </c>
      <c r="C3" s="19"/>
      <c r="D3" s="19"/>
      <c r="E3" s="20" t="s">
        <v>123</v>
      </c>
      <c r="F3" s="20">
        <v>3</v>
      </c>
      <c r="G3" s="20">
        <f>IF(OR(E3="U16", E3="S16"),1,IF(E3="TS",6,2))</f>
        <v>1</v>
      </c>
      <c r="H3" s="117">
        <v>1</v>
      </c>
      <c r="I3" s="98"/>
    </row>
    <row r="4" spans="1:9" ht="14.1" customHeight="1" x14ac:dyDescent="0.3">
      <c r="A4" s="117">
        <f>A3+(G3*H3)</f>
        <v>7221</v>
      </c>
      <c r="B4" s="19" t="s">
        <v>248</v>
      </c>
      <c r="C4" s="19"/>
      <c r="D4" s="19"/>
      <c r="E4" s="20" t="s">
        <v>123</v>
      </c>
      <c r="F4" s="20">
        <v>3</v>
      </c>
      <c r="G4" s="20">
        <f>IF(OR(E4="U16", E4="S16"),1,IF(E4="TS",6,2))</f>
        <v>1</v>
      </c>
      <c r="H4" s="117">
        <v>1</v>
      </c>
      <c r="I4" s="98"/>
    </row>
    <row r="5" spans="1:9" ht="14.1" customHeight="1" x14ac:dyDescent="0.3">
      <c r="A5" s="117">
        <f t="shared" ref="A5:A14" si="0">A4+(G4*H4)</f>
        <v>7222</v>
      </c>
      <c r="B5" s="19" t="s">
        <v>249</v>
      </c>
      <c r="C5" s="19"/>
      <c r="D5" s="19"/>
      <c r="E5" s="20" t="s">
        <v>123</v>
      </c>
      <c r="F5" s="20">
        <v>3</v>
      </c>
      <c r="G5" s="20">
        <f>IF(OR(E5="U16", E5="S16"),1,IF(E5="TS",6,2))</f>
        <v>1</v>
      </c>
      <c r="H5" s="117">
        <v>1</v>
      </c>
      <c r="I5" s="98"/>
    </row>
    <row r="6" spans="1:9" ht="14.1" customHeight="1" x14ac:dyDescent="0.3">
      <c r="A6" s="117">
        <f t="shared" si="0"/>
        <v>7223</v>
      </c>
      <c r="B6" s="19" t="s">
        <v>250</v>
      </c>
      <c r="C6" s="19"/>
      <c r="D6" s="19"/>
      <c r="E6" s="20" t="s">
        <v>123</v>
      </c>
      <c r="F6" s="20">
        <v>3</v>
      </c>
      <c r="G6" s="20">
        <f>IF(OR(E6="U16", E6="S16"),1,IF(E6="TS",6,2))</f>
        <v>1</v>
      </c>
      <c r="H6" s="117">
        <v>1</v>
      </c>
      <c r="I6" s="98"/>
    </row>
    <row r="7" spans="1:9" ht="14.1" customHeight="1" x14ac:dyDescent="0.3">
      <c r="A7" s="117">
        <f t="shared" si="0"/>
        <v>7224</v>
      </c>
      <c r="B7" s="19" t="s">
        <v>251</v>
      </c>
      <c r="C7" s="19" t="s">
        <v>41</v>
      </c>
      <c r="D7" s="19"/>
      <c r="E7" s="20" t="s">
        <v>209</v>
      </c>
      <c r="F7" s="20">
        <v>3</v>
      </c>
      <c r="G7" s="20">
        <f t="shared" ref="G7:G14" si="1">IF(OR(E7="U16", E7="S16"),1,IF(E7="TS",6,2))</f>
        <v>2</v>
      </c>
      <c r="H7" s="117">
        <v>1</v>
      </c>
      <c r="I7" s="98"/>
    </row>
    <row r="8" spans="1:9" ht="14.1" customHeight="1" x14ac:dyDescent="0.3">
      <c r="A8" s="117">
        <f t="shared" si="0"/>
        <v>7226</v>
      </c>
      <c r="B8" s="19" t="s">
        <v>252</v>
      </c>
      <c r="C8" s="19"/>
      <c r="D8" s="19"/>
      <c r="E8" s="20" t="s">
        <v>209</v>
      </c>
      <c r="F8" s="20">
        <v>3</v>
      </c>
      <c r="G8" s="20">
        <f t="shared" si="1"/>
        <v>2</v>
      </c>
      <c r="H8" s="117">
        <v>1</v>
      </c>
      <c r="I8" s="98"/>
    </row>
    <row r="9" spans="1:9" ht="14.1" customHeight="1" x14ac:dyDescent="0.3">
      <c r="A9" s="117">
        <f t="shared" si="0"/>
        <v>7228</v>
      </c>
      <c r="B9" s="19" t="s">
        <v>253</v>
      </c>
      <c r="C9" s="19"/>
      <c r="D9" s="19"/>
      <c r="E9" s="20" t="s">
        <v>209</v>
      </c>
      <c r="F9" s="20">
        <v>3</v>
      </c>
      <c r="G9" s="20">
        <f t="shared" si="1"/>
        <v>2</v>
      </c>
      <c r="H9" s="117">
        <v>1</v>
      </c>
      <c r="I9" s="98"/>
    </row>
    <row r="10" spans="1:9" ht="14.1" customHeight="1" x14ac:dyDescent="0.3">
      <c r="A10" s="117">
        <f t="shared" si="0"/>
        <v>7230</v>
      </c>
      <c r="B10" s="19" t="s">
        <v>254</v>
      </c>
      <c r="C10" s="19"/>
      <c r="D10" s="19"/>
      <c r="E10" s="20" t="s">
        <v>209</v>
      </c>
      <c r="F10" s="20">
        <v>3</v>
      </c>
      <c r="G10" s="20">
        <f t="shared" si="1"/>
        <v>2</v>
      </c>
      <c r="H10" s="117">
        <v>1</v>
      </c>
      <c r="I10" s="98"/>
    </row>
    <row r="11" spans="1:9" ht="14.1" customHeight="1" x14ac:dyDescent="0.3">
      <c r="A11" s="117">
        <f t="shared" si="0"/>
        <v>7232</v>
      </c>
      <c r="B11" s="19" t="s">
        <v>970</v>
      </c>
      <c r="C11" s="19"/>
      <c r="D11" s="19"/>
      <c r="E11" s="20" t="s">
        <v>58</v>
      </c>
      <c r="F11" s="20">
        <v>3</v>
      </c>
      <c r="G11" s="20">
        <f t="shared" si="1"/>
        <v>2</v>
      </c>
      <c r="H11" s="117">
        <v>1</v>
      </c>
      <c r="I11" s="98"/>
    </row>
    <row r="12" spans="1:9" ht="14.1" customHeight="1" x14ac:dyDescent="0.3">
      <c r="A12" s="117">
        <f t="shared" si="0"/>
        <v>7234</v>
      </c>
      <c r="B12" s="19" t="s">
        <v>971</v>
      </c>
      <c r="C12" s="19"/>
      <c r="D12" s="19"/>
      <c r="E12" s="20" t="s">
        <v>58</v>
      </c>
      <c r="F12" s="20">
        <v>3</v>
      </c>
      <c r="G12" s="20">
        <f t="shared" si="1"/>
        <v>2</v>
      </c>
      <c r="H12" s="117">
        <v>1</v>
      </c>
      <c r="I12" s="98"/>
    </row>
    <row r="13" spans="1:9" ht="14.1" customHeight="1" x14ac:dyDescent="0.3">
      <c r="A13" s="117">
        <f t="shared" si="0"/>
        <v>7236</v>
      </c>
      <c r="B13" s="19" t="s">
        <v>972</v>
      </c>
      <c r="C13" s="19"/>
      <c r="D13" s="19"/>
      <c r="E13" s="20" t="s">
        <v>58</v>
      </c>
      <c r="F13" s="20">
        <v>3</v>
      </c>
      <c r="G13" s="20">
        <f t="shared" si="1"/>
        <v>2</v>
      </c>
      <c r="H13" s="117">
        <v>1</v>
      </c>
      <c r="I13" s="98"/>
    </row>
    <row r="14" spans="1:9" ht="14.1" customHeight="1" x14ac:dyDescent="0.3">
      <c r="A14" s="117">
        <f t="shared" si="0"/>
        <v>7238</v>
      </c>
      <c r="B14" s="19" t="s">
        <v>973</v>
      </c>
      <c r="C14" s="19"/>
      <c r="D14" s="19"/>
      <c r="E14" s="20" t="s">
        <v>58</v>
      </c>
      <c r="F14" s="20">
        <v>3</v>
      </c>
      <c r="G14" s="20">
        <f t="shared" si="1"/>
        <v>2</v>
      </c>
      <c r="H14" s="117">
        <v>1</v>
      </c>
      <c r="I14" s="98"/>
    </row>
    <row r="15" spans="1:9" ht="14.1" customHeight="1" x14ac:dyDescent="0.3">
      <c r="A15" s="122" t="s">
        <v>257</v>
      </c>
      <c r="B15" s="122"/>
      <c r="C15" s="122"/>
      <c r="D15" s="122"/>
      <c r="E15" s="122"/>
      <c r="F15" s="122"/>
      <c r="G15" s="122"/>
      <c r="H15" s="122"/>
      <c r="I15" s="104"/>
    </row>
    <row r="16" spans="1:9" ht="14.1" customHeight="1" x14ac:dyDescent="0.3">
      <c r="A16" s="117">
        <f>A14+(G14*H14)</f>
        <v>7240</v>
      </c>
      <c r="B16" s="9" t="s">
        <v>150</v>
      </c>
      <c r="C16" s="117"/>
      <c r="D16" s="117"/>
      <c r="E16" s="16" t="s">
        <v>123</v>
      </c>
      <c r="F16" s="16">
        <v>3</v>
      </c>
      <c r="G16" s="16">
        <f t="shared" ref="G16:G23" si="2">IF(OR(E16="U16", E16="S16"),1,IF(E16="TS",6,2))</f>
        <v>1</v>
      </c>
      <c r="H16" s="117">
        <v>6</v>
      </c>
      <c r="I16" s="98"/>
    </row>
    <row r="17" spans="1:9" ht="14.1" customHeight="1" x14ac:dyDescent="0.3">
      <c r="A17" s="117">
        <f>A16+(G16*H16)</f>
        <v>7246</v>
      </c>
      <c r="B17" s="9" t="s">
        <v>1133</v>
      </c>
      <c r="C17" s="117"/>
      <c r="D17" s="117"/>
      <c r="E17" s="16" t="s">
        <v>210</v>
      </c>
      <c r="F17" s="16">
        <v>3</v>
      </c>
      <c r="G17" s="16">
        <f>IF(OR(E17="U16", E17="S16"),1,IF(E17="TS",6,2))</f>
        <v>1</v>
      </c>
      <c r="H17" s="117">
        <v>2</v>
      </c>
      <c r="I17" s="98"/>
    </row>
    <row r="18" spans="1:9" ht="14.1" customHeight="1" x14ac:dyDescent="0.3">
      <c r="A18" s="117">
        <f t="shared" ref="A18:A35" si="3">A17+(G17*H17)</f>
        <v>7248</v>
      </c>
      <c r="B18" s="9" t="s">
        <v>153</v>
      </c>
      <c r="C18" s="117"/>
      <c r="D18" s="117"/>
      <c r="E18" s="16" t="s">
        <v>123</v>
      </c>
      <c r="F18" s="16">
        <v>3</v>
      </c>
      <c r="G18" s="16">
        <f t="shared" si="2"/>
        <v>1</v>
      </c>
      <c r="H18" s="117">
        <v>4</v>
      </c>
      <c r="I18" s="98"/>
    </row>
    <row r="19" spans="1:9" ht="14.1" customHeight="1" x14ac:dyDescent="0.3">
      <c r="A19" s="117">
        <f t="shared" si="3"/>
        <v>7252</v>
      </c>
      <c r="B19" s="9" t="s">
        <v>1134</v>
      </c>
      <c r="C19" s="117"/>
      <c r="D19" s="117"/>
      <c r="E19" s="16" t="s">
        <v>210</v>
      </c>
      <c r="F19" s="16">
        <v>3</v>
      </c>
      <c r="G19" s="16">
        <f>IF(OR(E19="U16", E19="S16"),1,IF(E19="TS",6,2))</f>
        <v>1</v>
      </c>
      <c r="H19" s="117">
        <v>4</v>
      </c>
      <c r="I19" s="98"/>
    </row>
    <row r="20" spans="1:9" ht="14.1" customHeight="1" x14ac:dyDescent="0.3">
      <c r="A20" s="117">
        <f t="shared" si="3"/>
        <v>7256</v>
      </c>
      <c r="B20" s="9" t="s">
        <v>178</v>
      </c>
      <c r="C20" s="117"/>
      <c r="D20" s="117"/>
      <c r="E20" s="16" t="s">
        <v>123</v>
      </c>
      <c r="F20" s="16">
        <v>3</v>
      </c>
      <c r="G20" s="16">
        <f t="shared" si="2"/>
        <v>1</v>
      </c>
      <c r="H20" s="117">
        <v>1</v>
      </c>
      <c r="I20" s="98"/>
    </row>
    <row r="21" spans="1:9" ht="14.1" customHeight="1" x14ac:dyDescent="0.3">
      <c r="A21" s="117">
        <f t="shared" si="3"/>
        <v>7257</v>
      </c>
      <c r="B21" s="9" t="s">
        <v>151</v>
      </c>
      <c r="C21" s="117"/>
      <c r="D21" s="117"/>
      <c r="E21" s="16" t="s">
        <v>123</v>
      </c>
      <c r="F21" s="16">
        <v>3</v>
      </c>
      <c r="G21" s="16">
        <f t="shared" si="2"/>
        <v>1</v>
      </c>
      <c r="H21" s="117">
        <v>1</v>
      </c>
      <c r="I21" s="98"/>
    </row>
    <row r="22" spans="1:9" ht="14.1" customHeight="1" x14ac:dyDescent="0.3">
      <c r="A22" s="117">
        <f t="shared" si="3"/>
        <v>7258</v>
      </c>
      <c r="B22" s="9" t="s">
        <v>152</v>
      </c>
      <c r="C22" s="117"/>
      <c r="D22" s="117"/>
      <c r="E22" s="16" t="s">
        <v>123</v>
      </c>
      <c r="F22" s="16">
        <v>3</v>
      </c>
      <c r="G22" s="16">
        <f t="shared" si="2"/>
        <v>1</v>
      </c>
      <c r="H22" s="117">
        <v>1</v>
      </c>
      <c r="I22" s="98"/>
    </row>
    <row r="23" spans="1:9" ht="14.1" customHeight="1" x14ac:dyDescent="0.3">
      <c r="A23" s="117">
        <f t="shared" si="3"/>
        <v>7259</v>
      </c>
      <c r="B23" s="9" t="s">
        <v>527</v>
      </c>
      <c r="C23" s="117"/>
      <c r="D23" s="117"/>
      <c r="E23" s="16" t="s">
        <v>123</v>
      </c>
      <c r="F23" s="16">
        <v>3</v>
      </c>
      <c r="G23" s="16">
        <f t="shared" si="2"/>
        <v>1</v>
      </c>
      <c r="H23" s="117">
        <v>1</v>
      </c>
      <c r="I23" s="98"/>
    </row>
    <row r="24" spans="1:9" ht="14.1" customHeight="1" x14ac:dyDescent="0.3">
      <c r="A24" s="117">
        <f t="shared" si="3"/>
        <v>7260</v>
      </c>
      <c r="B24" s="9" t="s">
        <v>528</v>
      </c>
      <c r="C24" s="117"/>
      <c r="D24" s="117"/>
      <c r="E24" s="16" t="s">
        <v>123</v>
      </c>
      <c r="F24" s="16">
        <v>3</v>
      </c>
      <c r="G24" s="16">
        <f>IF(OR(E24="U16", E24="S16"),1,IF(E24="TS",6,2))</f>
        <v>1</v>
      </c>
      <c r="H24" s="117">
        <v>1</v>
      </c>
      <c r="I24" s="98"/>
    </row>
    <row r="25" spans="1:9" ht="14.1" customHeight="1" x14ac:dyDescent="0.3">
      <c r="A25" s="117">
        <f t="shared" si="3"/>
        <v>7261</v>
      </c>
      <c r="B25" s="9" t="s">
        <v>529</v>
      </c>
      <c r="C25" s="117"/>
      <c r="D25" s="117"/>
      <c r="E25" s="16" t="s">
        <v>123</v>
      </c>
      <c r="F25" s="16">
        <v>3</v>
      </c>
      <c r="G25" s="16">
        <f>IF(OR(E25="U16", E25="S16"),1,IF(E25="TS",6,2))</f>
        <v>1</v>
      </c>
      <c r="H25" s="117">
        <v>1</v>
      </c>
      <c r="I25" s="98"/>
    </row>
    <row r="26" spans="1:9" ht="14.1" customHeight="1" x14ac:dyDescent="0.3">
      <c r="A26" s="117">
        <f t="shared" si="3"/>
        <v>7262</v>
      </c>
      <c r="B26" s="9" t="s">
        <v>1137</v>
      </c>
      <c r="C26" s="117"/>
      <c r="D26" s="117"/>
      <c r="E26" s="16" t="s">
        <v>210</v>
      </c>
      <c r="F26" s="16">
        <v>3</v>
      </c>
      <c r="G26" s="16">
        <f t="shared" ref="G26:G34" si="4">IF(OR(E26="U16", E26="S16"),1,IF(E26="TS",6,2))</f>
        <v>1</v>
      </c>
      <c r="H26" s="117">
        <v>1</v>
      </c>
      <c r="I26" s="98"/>
    </row>
    <row r="27" spans="1:9" ht="14.1" customHeight="1" x14ac:dyDescent="0.3">
      <c r="A27" s="117">
        <f t="shared" si="3"/>
        <v>7263</v>
      </c>
      <c r="B27" s="9" t="s">
        <v>1129</v>
      </c>
      <c r="C27" s="117"/>
      <c r="D27" s="117"/>
      <c r="E27" s="16" t="s">
        <v>210</v>
      </c>
      <c r="F27" s="16">
        <v>3</v>
      </c>
      <c r="G27" s="16">
        <f t="shared" si="4"/>
        <v>1</v>
      </c>
      <c r="H27" s="117">
        <v>1</v>
      </c>
      <c r="I27" s="98"/>
    </row>
    <row r="28" spans="1:9" ht="14.1" customHeight="1" x14ac:dyDescent="0.3">
      <c r="A28" s="117">
        <f t="shared" si="3"/>
        <v>7264</v>
      </c>
      <c r="B28" s="9" t="s">
        <v>1130</v>
      </c>
      <c r="C28" s="117"/>
      <c r="D28" s="117"/>
      <c r="E28" s="16" t="s">
        <v>210</v>
      </c>
      <c r="F28" s="16">
        <v>3</v>
      </c>
      <c r="G28" s="16">
        <f t="shared" si="4"/>
        <v>1</v>
      </c>
      <c r="H28" s="117">
        <v>1</v>
      </c>
      <c r="I28" s="98"/>
    </row>
    <row r="29" spans="1:9" ht="14.1" customHeight="1" x14ac:dyDescent="0.3">
      <c r="A29" s="117">
        <f t="shared" si="3"/>
        <v>7265</v>
      </c>
      <c r="B29" s="9" t="s">
        <v>1131</v>
      </c>
      <c r="C29" s="117"/>
      <c r="D29" s="117"/>
      <c r="E29" s="16" t="s">
        <v>210</v>
      </c>
      <c r="F29" s="16">
        <v>3</v>
      </c>
      <c r="G29" s="16">
        <f t="shared" si="4"/>
        <v>1</v>
      </c>
      <c r="H29" s="117">
        <v>1</v>
      </c>
      <c r="I29" s="98"/>
    </row>
    <row r="30" spans="1:9" ht="14.1" customHeight="1" x14ac:dyDescent="0.3">
      <c r="A30" s="117">
        <f t="shared" si="3"/>
        <v>7266</v>
      </c>
      <c r="B30" s="9" t="s">
        <v>1132</v>
      </c>
      <c r="C30" s="117"/>
      <c r="D30" s="117"/>
      <c r="E30" s="16" t="s">
        <v>210</v>
      </c>
      <c r="F30" s="16">
        <v>3</v>
      </c>
      <c r="G30" s="16">
        <f t="shared" si="4"/>
        <v>1</v>
      </c>
      <c r="H30" s="117">
        <v>2</v>
      </c>
      <c r="I30" s="98"/>
    </row>
    <row r="31" spans="1:9" ht="14.1" customHeight="1" x14ac:dyDescent="0.3">
      <c r="A31" s="117">
        <f t="shared" si="3"/>
        <v>7268</v>
      </c>
      <c r="B31" s="9" t="s">
        <v>1135</v>
      </c>
      <c r="C31" s="117"/>
      <c r="D31" s="117"/>
      <c r="E31" s="16" t="s">
        <v>210</v>
      </c>
      <c r="F31" s="16">
        <v>3</v>
      </c>
      <c r="G31" s="16">
        <f t="shared" si="4"/>
        <v>1</v>
      </c>
      <c r="H31" s="117">
        <v>1</v>
      </c>
      <c r="I31" s="98"/>
    </row>
    <row r="32" spans="1:9" ht="14.1" customHeight="1" x14ac:dyDescent="0.3">
      <c r="A32" s="117">
        <f t="shared" si="3"/>
        <v>7269</v>
      </c>
      <c r="B32" s="9" t="s">
        <v>1136</v>
      </c>
      <c r="C32" s="117"/>
      <c r="D32" s="117"/>
      <c r="E32" s="16" t="s">
        <v>210</v>
      </c>
      <c r="F32" s="16">
        <v>3</v>
      </c>
      <c r="G32" s="16">
        <f t="shared" si="4"/>
        <v>1</v>
      </c>
      <c r="H32" s="117">
        <v>1</v>
      </c>
      <c r="I32" s="98"/>
    </row>
    <row r="33" spans="1:9" ht="14.1" customHeight="1" x14ac:dyDescent="0.3">
      <c r="A33" s="117">
        <f t="shared" si="3"/>
        <v>7270</v>
      </c>
      <c r="B33" s="9" t="s">
        <v>1138</v>
      </c>
      <c r="C33" s="117"/>
      <c r="D33" s="117"/>
      <c r="E33" s="16" t="s">
        <v>210</v>
      </c>
      <c r="F33" s="16">
        <v>3</v>
      </c>
      <c r="G33" s="16">
        <f t="shared" si="4"/>
        <v>1</v>
      </c>
      <c r="H33" s="117">
        <v>1</v>
      </c>
      <c r="I33" s="98"/>
    </row>
    <row r="34" spans="1:9" ht="14.1" customHeight="1" x14ac:dyDescent="0.3">
      <c r="A34" s="117">
        <f t="shared" si="3"/>
        <v>7271</v>
      </c>
      <c r="B34" s="9" t="s">
        <v>1139</v>
      </c>
      <c r="C34" s="117"/>
      <c r="D34" s="117"/>
      <c r="E34" s="16" t="s">
        <v>210</v>
      </c>
      <c r="F34" s="16">
        <v>3</v>
      </c>
      <c r="G34" s="16">
        <f t="shared" si="4"/>
        <v>1</v>
      </c>
      <c r="H34" s="117">
        <v>1</v>
      </c>
      <c r="I34" s="98"/>
    </row>
    <row r="35" spans="1:9" ht="14.1" customHeight="1" x14ac:dyDescent="0.3">
      <c r="A35" s="117">
        <f t="shared" si="3"/>
        <v>7272</v>
      </c>
      <c r="B35" s="9" t="s">
        <v>196</v>
      </c>
      <c r="C35" s="117"/>
      <c r="D35" s="117"/>
      <c r="E35" s="16" t="s">
        <v>123</v>
      </c>
      <c r="F35" s="16">
        <v>3</v>
      </c>
      <c r="G35" s="16">
        <f>IF(OR(E35="U16", E35="S16"),1,IF(E35="TS",6,2))</f>
        <v>1</v>
      </c>
      <c r="H35" s="117">
        <v>8</v>
      </c>
      <c r="I35" s="98"/>
    </row>
    <row r="36" spans="1:9" ht="14.1" customHeight="1" x14ac:dyDescent="0.3">
      <c r="A36" s="122" t="s">
        <v>244</v>
      </c>
      <c r="B36" s="122"/>
      <c r="C36" s="122"/>
      <c r="D36" s="122"/>
      <c r="E36" s="122"/>
      <c r="F36" s="122"/>
      <c r="G36" s="122"/>
      <c r="H36" s="122"/>
      <c r="I36" s="104"/>
    </row>
    <row r="37" spans="1:9" ht="14.1" customHeight="1" x14ac:dyDescent="0.3">
      <c r="A37" s="119">
        <f>A35+(G35*H35)</f>
        <v>7280</v>
      </c>
      <c r="B37" s="9" t="s">
        <v>199</v>
      </c>
      <c r="C37" s="117"/>
      <c r="D37" s="117"/>
      <c r="E37" s="16" t="s">
        <v>123</v>
      </c>
      <c r="F37" s="16" t="s">
        <v>1062</v>
      </c>
      <c r="G37" s="16">
        <f t="shared" ref="G37:G55" si="5">IF(OR(E37="U16", E37="S16"),1,IF(E37="TS",6,2))</f>
        <v>1</v>
      </c>
      <c r="H37" s="117">
        <v>1</v>
      </c>
      <c r="I37" s="98"/>
    </row>
    <row r="38" spans="1:9" ht="14.1" customHeight="1" x14ac:dyDescent="0.3">
      <c r="A38" s="117">
        <f>A37+(G37*H37)</f>
        <v>7281</v>
      </c>
      <c r="B38" s="13" t="s">
        <v>217</v>
      </c>
      <c r="C38" s="117"/>
      <c r="D38" s="117"/>
      <c r="E38" s="16" t="s">
        <v>123</v>
      </c>
      <c r="F38" s="16" t="s">
        <v>1062</v>
      </c>
      <c r="G38" s="16">
        <f>IF(OR(E38="U16", E38="S16"),1,IF(E38="TS",6,2))</f>
        <v>1</v>
      </c>
      <c r="H38" s="117">
        <v>1</v>
      </c>
      <c r="I38" s="98"/>
    </row>
    <row r="39" spans="1:9" ht="14.1" customHeight="1" x14ac:dyDescent="0.3">
      <c r="A39" s="117">
        <f t="shared" ref="A39:A55" si="6">A38+(G38*H38)</f>
        <v>7282</v>
      </c>
      <c r="B39" s="9" t="s">
        <v>1015</v>
      </c>
      <c r="C39" s="117" t="s">
        <v>1016</v>
      </c>
      <c r="D39" s="117"/>
      <c r="E39" s="16" t="s">
        <v>210</v>
      </c>
      <c r="F39" s="16" t="s">
        <v>1061</v>
      </c>
      <c r="G39" s="16">
        <f>IF(OR(E39="U16", E39="S16"),1,IF(E39="TS",6,2))</f>
        <v>1</v>
      </c>
      <c r="H39" s="117">
        <v>1</v>
      </c>
      <c r="I39" s="98"/>
    </row>
    <row r="40" spans="1:9" ht="14.1" customHeight="1" x14ac:dyDescent="0.3">
      <c r="A40" s="117">
        <f t="shared" si="6"/>
        <v>7283</v>
      </c>
      <c r="B40" s="9" t="s">
        <v>1017</v>
      </c>
      <c r="C40" s="117"/>
      <c r="D40" s="117" t="s">
        <v>1018</v>
      </c>
      <c r="E40" s="16" t="s">
        <v>210</v>
      </c>
      <c r="F40" s="16" t="s">
        <v>1061</v>
      </c>
      <c r="G40" s="16">
        <f>IF(OR(E40="U16", E40="S16"),1,IF(E40="TS",6,2))</f>
        <v>1</v>
      </c>
      <c r="H40" s="117">
        <v>1</v>
      </c>
      <c r="I40" s="98"/>
    </row>
    <row r="41" spans="1:9" ht="14.1" customHeight="1" x14ac:dyDescent="0.3">
      <c r="A41" s="117">
        <f t="shared" si="6"/>
        <v>7284</v>
      </c>
      <c r="B41" s="13" t="s">
        <v>212</v>
      </c>
      <c r="C41" s="117"/>
      <c r="D41" s="117"/>
      <c r="E41" s="16" t="s">
        <v>123</v>
      </c>
      <c r="F41" s="16" t="s">
        <v>1061</v>
      </c>
      <c r="G41" s="16">
        <f t="shared" si="5"/>
        <v>1</v>
      </c>
      <c r="H41" s="117">
        <v>4</v>
      </c>
      <c r="I41" s="98"/>
    </row>
    <row r="42" spans="1:9" ht="14.1" customHeight="1" x14ac:dyDescent="0.3">
      <c r="A42" s="117">
        <f t="shared" si="6"/>
        <v>7288</v>
      </c>
      <c r="B42" s="13" t="s">
        <v>213</v>
      </c>
      <c r="C42" s="117"/>
      <c r="D42" s="117"/>
      <c r="E42" s="16" t="s">
        <v>123</v>
      </c>
      <c r="F42" s="16" t="s">
        <v>1061</v>
      </c>
      <c r="G42" s="16">
        <f t="shared" si="5"/>
        <v>1</v>
      </c>
      <c r="H42" s="117">
        <v>4</v>
      </c>
      <c r="I42" s="98"/>
    </row>
    <row r="43" spans="1:9" ht="14.1" customHeight="1" x14ac:dyDescent="0.3">
      <c r="A43" s="117">
        <f t="shared" si="6"/>
        <v>7292</v>
      </c>
      <c r="B43" s="13" t="s">
        <v>214</v>
      </c>
      <c r="C43" s="117"/>
      <c r="D43" s="117"/>
      <c r="E43" s="16" t="s">
        <v>123</v>
      </c>
      <c r="F43" s="16" t="s">
        <v>1061</v>
      </c>
      <c r="G43" s="16">
        <f t="shared" si="5"/>
        <v>1</v>
      </c>
      <c r="H43" s="117">
        <v>4</v>
      </c>
      <c r="I43" s="98"/>
    </row>
    <row r="44" spans="1:9" ht="14.1" customHeight="1" x14ac:dyDescent="0.3">
      <c r="A44" s="117">
        <f t="shared" si="6"/>
        <v>7296</v>
      </c>
      <c r="B44" s="13" t="s">
        <v>215</v>
      </c>
      <c r="C44" s="117"/>
      <c r="D44" s="117"/>
      <c r="E44" s="16" t="s">
        <v>123</v>
      </c>
      <c r="F44" s="16" t="s">
        <v>1061</v>
      </c>
      <c r="G44" s="16">
        <f t="shared" si="5"/>
        <v>1</v>
      </c>
      <c r="H44" s="117">
        <v>4</v>
      </c>
      <c r="I44" s="98"/>
    </row>
    <row r="45" spans="1:9" ht="14.1" customHeight="1" x14ac:dyDescent="0.3">
      <c r="A45" s="117">
        <f t="shared" si="6"/>
        <v>7300</v>
      </c>
      <c r="B45" s="13" t="s">
        <v>216</v>
      </c>
      <c r="C45" s="117"/>
      <c r="D45" s="117"/>
      <c r="E45" s="16" t="s">
        <v>123</v>
      </c>
      <c r="F45" s="16" t="s">
        <v>1061</v>
      </c>
      <c r="G45" s="16">
        <f>IF(OR(E45="U16", E45="S16"),1,IF(E45="TS",6,2))</f>
        <v>1</v>
      </c>
      <c r="H45" s="117">
        <v>4</v>
      </c>
      <c r="I45" s="98"/>
    </row>
    <row r="46" spans="1:9" ht="14.1" customHeight="1" x14ac:dyDescent="0.3">
      <c r="A46" s="117">
        <f t="shared" si="6"/>
        <v>7304</v>
      </c>
      <c r="B46" s="13" t="s">
        <v>211</v>
      </c>
      <c r="C46" s="117"/>
      <c r="D46" s="117"/>
      <c r="E46" s="16" t="s">
        <v>123</v>
      </c>
      <c r="F46" s="16" t="s">
        <v>1061</v>
      </c>
      <c r="G46" s="16">
        <f t="shared" si="5"/>
        <v>1</v>
      </c>
      <c r="H46" s="117">
        <v>16</v>
      </c>
      <c r="I46" s="98"/>
    </row>
    <row r="47" spans="1:9" ht="14.1" customHeight="1" x14ac:dyDescent="0.3">
      <c r="A47" s="117">
        <f t="shared" si="6"/>
        <v>7320</v>
      </c>
      <c r="B47" s="13" t="s">
        <v>638</v>
      </c>
      <c r="C47" s="117"/>
      <c r="D47" s="117"/>
      <c r="E47" s="16" t="s">
        <v>123</v>
      </c>
      <c r="F47" s="16" t="s">
        <v>1061</v>
      </c>
      <c r="G47" s="16">
        <f t="shared" si="5"/>
        <v>1</v>
      </c>
      <c r="H47" s="117">
        <v>4</v>
      </c>
      <c r="I47" s="98"/>
    </row>
    <row r="48" spans="1:9" ht="14.1" customHeight="1" x14ac:dyDescent="0.3">
      <c r="A48" s="117">
        <f t="shared" si="6"/>
        <v>7324</v>
      </c>
      <c r="B48" s="13" t="s">
        <v>258</v>
      </c>
      <c r="C48" s="117"/>
      <c r="D48" s="117"/>
      <c r="E48" s="16" t="s">
        <v>123</v>
      </c>
      <c r="F48" s="16" t="s">
        <v>1061</v>
      </c>
      <c r="G48" s="16">
        <f>IF(OR(E48="U16", E48="S16"),1,IF(E48="TS",6,2))</f>
        <v>1</v>
      </c>
      <c r="H48" s="117">
        <v>1</v>
      </c>
      <c r="I48" s="98"/>
    </row>
    <row r="49" spans="1:9" ht="14.1" customHeight="1" x14ac:dyDescent="0.3">
      <c r="A49" s="117">
        <f t="shared" si="6"/>
        <v>7325</v>
      </c>
      <c r="B49" s="59" t="s">
        <v>643</v>
      </c>
      <c r="C49" s="119"/>
      <c r="D49" s="119"/>
      <c r="E49" s="119" t="s">
        <v>123</v>
      </c>
      <c r="F49" s="16" t="s">
        <v>1061</v>
      </c>
      <c r="G49" s="119">
        <f t="shared" si="5"/>
        <v>1</v>
      </c>
      <c r="H49" s="119">
        <v>1</v>
      </c>
      <c r="I49" s="100"/>
    </row>
    <row r="50" spans="1:9" ht="14.1" customHeight="1" x14ac:dyDescent="0.3">
      <c r="A50" s="117">
        <f t="shared" si="6"/>
        <v>7326</v>
      </c>
      <c r="B50" s="59" t="s">
        <v>642</v>
      </c>
      <c r="C50" s="119"/>
      <c r="D50" s="119"/>
      <c r="E50" s="119" t="s">
        <v>123</v>
      </c>
      <c r="F50" s="16" t="s">
        <v>1061</v>
      </c>
      <c r="G50" s="119">
        <f t="shared" si="5"/>
        <v>1</v>
      </c>
      <c r="H50" s="119">
        <v>1</v>
      </c>
      <c r="I50" s="100"/>
    </row>
    <row r="51" spans="1:9" ht="14.1" customHeight="1" x14ac:dyDescent="0.3">
      <c r="A51" s="117">
        <f t="shared" si="6"/>
        <v>7327</v>
      </c>
      <c r="B51" s="59" t="s">
        <v>639</v>
      </c>
      <c r="C51" s="119"/>
      <c r="D51" s="119"/>
      <c r="E51" s="119" t="s">
        <v>123</v>
      </c>
      <c r="F51" s="16" t="s">
        <v>1061</v>
      </c>
      <c r="G51" s="119">
        <f t="shared" si="5"/>
        <v>1</v>
      </c>
      <c r="H51" s="119">
        <v>1</v>
      </c>
      <c r="I51" s="100"/>
    </row>
    <row r="52" spans="1:9" ht="14.1" customHeight="1" x14ac:dyDescent="0.3">
      <c r="A52" s="117">
        <f t="shared" si="6"/>
        <v>7328</v>
      </c>
      <c r="B52" s="59" t="s">
        <v>1019</v>
      </c>
      <c r="C52" s="119"/>
      <c r="D52" s="119"/>
      <c r="E52" s="119" t="s">
        <v>123</v>
      </c>
      <c r="F52" s="16" t="s">
        <v>1061</v>
      </c>
      <c r="G52" s="119">
        <f t="shared" si="5"/>
        <v>1</v>
      </c>
      <c r="H52" s="119">
        <v>1</v>
      </c>
      <c r="I52" s="100"/>
    </row>
    <row r="53" spans="1:9" ht="14.1" customHeight="1" x14ac:dyDescent="0.3">
      <c r="A53" s="117">
        <f t="shared" si="6"/>
        <v>7329</v>
      </c>
      <c r="B53" s="59" t="s">
        <v>640</v>
      </c>
      <c r="C53" s="119"/>
      <c r="D53" s="119"/>
      <c r="E53" s="119" t="s">
        <v>123</v>
      </c>
      <c r="F53" s="16" t="s">
        <v>1061</v>
      </c>
      <c r="G53" s="119">
        <f t="shared" si="5"/>
        <v>1</v>
      </c>
      <c r="H53" s="119">
        <v>1</v>
      </c>
      <c r="I53" s="100"/>
    </row>
    <row r="54" spans="1:9" ht="14.1" customHeight="1" x14ac:dyDescent="0.3">
      <c r="A54" s="117">
        <f t="shared" si="6"/>
        <v>7330</v>
      </c>
      <c r="B54" s="59" t="s">
        <v>641</v>
      </c>
      <c r="C54" s="119"/>
      <c r="D54" s="119"/>
      <c r="E54" s="119" t="s">
        <v>123</v>
      </c>
      <c r="F54" s="16" t="s">
        <v>1061</v>
      </c>
      <c r="G54" s="119">
        <f t="shared" si="5"/>
        <v>1</v>
      </c>
      <c r="H54" s="119">
        <v>1</v>
      </c>
      <c r="I54" s="100"/>
    </row>
    <row r="55" spans="1:9" ht="14.1" customHeight="1" x14ac:dyDescent="0.3">
      <c r="A55" s="117">
        <f t="shared" si="6"/>
        <v>7331</v>
      </c>
      <c r="B55" s="13" t="s">
        <v>113</v>
      </c>
      <c r="C55" s="117"/>
      <c r="D55" s="117"/>
      <c r="E55" s="16" t="s">
        <v>123</v>
      </c>
      <c r="F55" s="16" t="s">
        <v>1061</v>
      </c>
      <c r="G55" s="16">
        <f t="shared" si="5"/>
        <v>1</v>
      </c>
      <c r="H55" s="117">
        <v>9</v>
      </c>
      <c r="I55" s="98"/>
    </row>
    <row r="56" spans="1:9" ht="14.1" customHeight="1" x14ac:dyDescent="0.3">
      <c r="A56" s="136" t="s">
        <v>1112</v>
      </c>
      <c r="B56" s="136"/>
      <c r="C56" s="136"/>
      <c r="D56" s="136"/>
      <c r="E56" s="136"/>
      <c r="F56" s="136"/>
      <c r="G56" s="136"/>
      <c r="H56" s="136"/>
      <c r="I56" s="113"/>
    </row>
    <row r="57" spans="1:9" ht="14.1" customHeight="1" x14ac:dyDescent="0.3">
      <c r="A57" s="117">
        <f>A55+(G55*H55)</f>
        <v>7340</v>
      </c>
      <c r="B57" s="11" t="s">
        <v>30</v>
      </c>
      <c r="C57" s="117"/>
      <c r="D57" s="117"/>
      <c r="E57" s="16" t="s">
        <v>123</v>
      </c>
      <c r="F57" s="16" t="s">
        <v>1062</v>
      </c>
      <c r="G57" s="16">
        <f t="shared" ref="G57:G64" si="7">IF(OR(E57="U16", E57="S16"),1,IF(E57="TS",6,2))</f>
        <v>1</v>
      </c>
      <c r="H57" s="117">
        <v>1</v>
      </c>
      <c r="I57" s="98"/>
    </row>
    <row r="58" spans="1:9" ht="14.1" customHeight="1" x14ac:dyDescent="0.3">
      <c r="A58" s="117">
        <f>A57+(G57*H57)</f>
        <v>7341</v>
      </c>
      <c r="B58" s="13" t="s">
        <v>1124</v>
      </c>
      <c r="C58" s="117"/>
      <c r="D58" s="117"/>
      <c r="E58" s="16" t="s">
        <v>123</v>
      </c>
      <c r="F58" s="16" t="s">
        <v>1061</v>
      </c>
      <c r="G58" s="16">
        <f>IF(OR(E58="U16", E58="S16"),1,IF(E58="TS",6,2))</f>
        <v>1</v>
      </c>
      <c r="H58" s="117">
        <v>1</v>
      </c>
      <c r="I58" s="98"/>
    </row>
    <row r="59" spans="1:9" ht="14.1" customHeight="1" x14ac:dyDescent="0.3">
      <c r="A59" s="117">
        <f t="shared" ref="A59:A72" si="8">A58+(G58*H58)</f>
        <v>7342</v>
      </c>
      <c r="B59" s="11" t="s">
        <v>1020</v>
      </c>
      <c r="C59" s="117" t="s">
        <v>1125</v>
      </c>
      <c r="D59" s="117"/>
      <c r="E59" s="16" t="s">
        <v>123</v>
      </c>
      <c r="F59" s="16" t="s">
        <v>1062</v>
      </c>
      <c r="G59" s="16">
        <f>IF(OR(E59="U16", E59="S16"),1,IF(E59="TS",6,2))</f>
        <v>1</v>
      </c>
      <c r="H59" s="117">
        <v>1</v>
      </c>
      <c r="I59" s="98"/>
    </row>
    <row r="60" spans="1:9" ht="14.1" customHeight="1" x14ac:dyDescent="0.3">
      <c r="A60" s="117">
        <f t="shared" si="8"/>
        <v>7343</v>
      </c>
      <c r="B60" s="11" t="s">
        <v>1024</v>
      </c>
      <c r="C60" s="117"/>
      <c r="D60" s="117"/>
      <c r="E60" s="16" t="s">
        <v>123</v>
      </c>
      <c r="F60" s="16" t="s">
        <v>1062</v>
      </c>
      <c r="G60" s="16">
        <f>IF(OR(E60="U16", E60="S16"),1,IF(E60="TS",6,2))</f>
        <v>1</v>
      </c>
      <c r="H60" s="117">
        <v>1</v>
      </c>
      <c r="I60" s="98"/>
    </row>
    <row r="61" spans="1:9" ht="14.1" customHeight="1" x14ac:dyDescent="0.3">
      <c r="A61" s="117">
        <f t="shared" si="8"/>
        <v>7344</v>
      </c>
      <c r="B61" s="11" t="s">
        <v>1021</v>
      </c>
      <c r="C61" s="117"/>
      <c r="D61" s="117"/>
      <c r="E61" s="16" t="s">
        <v>209</v>
      </c>
      <c r="F61" s="16" t="s">
        <v>1061</v>
      </c>
      <c r="G61" s="16">
        <f t="shared" si="7"/>
        <v>2</v>
      </c>
      <c r="H61" s="117">
        <v>1</v>
      </c>
      <c r="I61" s="98"/>
    </row>
    <row r="62" spans="1:9" ht="14.1" customHeight="1" x14ac:dyDescent="0.3">
      <c r="A62" s="117">
        <f t="shared" si="8"/>
        <v>7346</v>
      </c>
      <c r="B62" s="14" t="s">
        <v>1022</v>
      </c>
      <c r="C62" s="117"/>
      <c r="D62" s="117"/>
      <c r="E62" s="16" t="s">
        <v>209</v>
      </c>
      <c r="F62" s="16" t="s">
        <v>1061</v>
      </c>
      <c r="G62" s="16">
        <f t="shared" si="7"/>
        <v>2</v>
      </c>
      <c r="H62" s="117">
        <v>1</v>
      </c>
      <c r="I62" s="98"/>
    </row>
    <row r="63" spans="1:9" ht="14.1" customHeight="1" x14ac:dyDescent="0.3">
      <c r="A63" s="117">
        <f t="shared" si="8"/>
        <v>7348</v>
      </c>
      <c r="B63" s="11" t="s">
        <v>1023</v>
      </c>
      <c r="C63" s="117"/>
      <c r="D63" s="117"/>
      <c r="E63" s="16" t="s">
        <v>123</v>
      </c>
      <c r="F63" s="16" t="s">
        <v>1061</v>
      </c>
      <c r="G63" s="16">
        <f t="shared" si="7"/>
        <v>1</v>
      </c>
      <c r="H63" s="117">
        <v>1</v>
      </c>
      <c r="I63" s="98"/>
    </row>
    <row r="64" spans="1:9" ht="14.1" customHeight="1" x14ac:dyDescent="0.3">
      <c r="A64" s="117">
        <f t="shared" si="8"/>
        <v>7349</v>
      </c>
      <c r="B64" s="13" t="s">
        <v>1024</v>
      </c>
      <c r="C64" s="117"/>
      <c r="D64" s="117"/>
      <c r="E64" s="16" t="s">
        <v>123</v>
      </c>
      <c r="F64" s="16" t="s">
        <v>1061</v>
      </c>
      <c r="G64" s="16">
        <f t="shared" si="7"/>
        <v>1</v>
      </c>
      <c r="H64" s="117">
        <v>1</v>
      </c>
      <c r="I64" s="98"/>
    </row>
    <row r="65" spans="1:9" ht="14.1" customHeight="1" x14ac:dyDescent="0.3">
      <c r="A65" s="117">
        <f t="shared" si="8"/>
        <v>7350</v>
      </c>
      <c r="B65" s="13" t="s">
        <v>1025</v>
      </c>
      <c r="C65" s="117"/>
      <c r="D65" s="117"/>
      <c r="E65" s="16" t="s">
        <v>123</v>
      </c>
      <c r="F65" s="16" t="s">
        <v>1061</v>
      </c>
      <c r="G65" s="16">
        <v>1</v>
      </c>
      <c r="H65" s="117">
        <v>8</v>
      </c>
      <c r="I65" s="98"/>
    </row>
    <row r="66" spans="1:9" ht="14.1" customHeight="1" x14ac:dyDescent="0.3">
      <c r="A66" s="117">
        <f t="shared" si="8"/>
        <v>7358</v>
      </c>
      <c r="B66" s="13" t="s">
        <v>1026</v>
      </c>
      <c r="C66" s="117"/>
      <c r="D66" s="117"/>
      <c r="E66" s="16" t="s">
        <v>123</v>
      </c>
      <c r="F66" s="16" t="s">
        <v>1061</v>
      </c>
      <c r="G66" s="16">
        <v>1</v>
      </c>
      <c r="H66" s="117">
        <v>8</v>
      </c>
      <c r="I66" s="98"/>
    </row>
    <row r="67" spans="1:9" ht="14.1" customHeight="1" x14ac:dyDescent="0.3">
      <c r="A67" s="117">
        <f t="shared" si="8"/>
        <v>7366</v>
      </c>
      <c r="B67" s="13" t="s">
        <v>1027</v>
      </c>
      <c r="C67" s="117"/>
      <c r="D67" s="117"/>
      <c r="E67" s="16" t="s">
        <v>210</v>
      </c>
      <c r="F67" s="16" t="s">
        <v>1061</v>
      </c>
      <c r="G67" s="16">
        <v>1</v>
      </c>
      <c r="H67" s="117">
        <v>8</v>
      </c>
      <c r="I67" s="98"/>
    </row>
    <row r="68" spans="1:9" ht="14.1" customHeight="1" x14ac:dyDescent="0.3">
      <c r="A68" s="117">
        <f t="shared" si="8"/>
        <v>7374</v>
      </c>
      <c r="B68" s="13" t="s">
        <v>1028</v>
      </c>
      <c r="C68" s="117"/>
      <c r="D68" s="117"/>
      <c r="E68" s="16" t="s">
        <v>210</v>
      </c>
      <c r="F68" s="16" t="s">
        <v>1061</v>
      </c>
      <c r="G68" s="16">
        <v>1</v>
      </c>
      <c r="H68" s="117">
        <v>8</v>
      </c>
      <c r="I68" s="98"/>
    </row>
    <row r="69" spans="1:9" ht="14.1" customHeight="1" x14ac:dyDescent="0.3">
      <c r="A69" s="117">
        <f t="shared" si="8"/>
        <v>7382</v>
      </c>
      <c r="B69" s="13" t="s">
        <v>1029</v>
      </c>
      <c r="C69" s="117"/>
      <c r="D69" s="117"/>
      <c r="E69" s="16" t="s">
        <v>210</v>
      </c>
      <c r="F69" s="16" t="s">
        <v>1061</v>
      </c>
      <c r="G69" s="16">
        <v>1</v>
      </c>
      <c r="H69" s="117">
        <v>8</v>
      </c>
      <c r="I69" s="98"/>
    </row>
    <row r="70" spans="1:9" ht="14.1" customHeight="1" x14ac:dyDescent="0.3">
      <c r="A70" s="117">
        <f t="shared" si="8"/>
        <v>7390</v>
      </c>
      <c r="B70" s="13" t="s">
        <v>1113</v>
      </c>
      <c r="C70" s="117"/>
      <c r="D70" s="117"/>
      <c r="E70" s="16" t="s">
        <v>210</v>
      </c>
      <c r="F70" s="16" t="s">
        <v>1061</v>
      </c>
      <c r="G70" s="16">
        <v>1</v>
      </c>
      <c r="H70" s="117">
        <v>8</v>
      </c>
      <c r="I70" s="98"/>
    </row>
    <row r="71" spans="1:9" ht="14.1" customHeight="1" x14ac:dyDescent="0.3">
      <c r="A71" s="117">
        <f t="shared" si="8"/>
        <v>7398</v>
      </c>
      <c r="B71" s="13" t="s">
        <v>1114</v>
      </c>
      <c r="C71" s="117"/>
      <c r="D71" s="117"/>
      <c r="E71" s="16" t="s">
        <v>210</v>
      </c>
      <c r="F71" s="16" t="s">
        <v>1061</v>
      </c>
      <c r="G71" s="16">
        <v>1</v>
      </c>
      <c r="H71" s="117">
        <v>8</v>
      </c>
      <c r="I71" s="98"/>
    </row>
    <row r="72" spans="1:9" ht="14.1" customHeight="1" x14ac:dyDescent="0.3">
      <c r="A72" s="117">
        <f t="shared" si="8"/>
        <v>7406</v>
      </c>
      <c r="B72" s="13" t="s">
        <v>1115</v>
      </c>
      <c r="C72" s="117"/>
      <c r="D72" s="117"/>
      <c r="E72" s="16" t="s">
        <v>210</v>
      </c>
      <c r="F72" s="16" t="s">
        <v>1061</v>
      </c>
      <c r="G72" s="16">
        <v>1</v>
      </c>
      <c r="H72" s="117">
        <v>8</v>
      </c>
      <c r="I72" s="98"/>
    </row>
    <row r="73" spans="1:9" ht="14.1" customHeight="1" x14ac:dyDescent="0.3">
      <c r="A73" s="122" t="s">
        <v>1116</v>
      </c>
      <c r="B73" s="122"/>
      <c r="C73" s="122"/>
      <c r="D73" s="122"/>
      <c r="E73" s="122"/>
      <c r="F73" s="122"/>
      <c r="G73" s="122"/>
      <c r="H73" s="122"/>
      <c r="I73" s="104"/>
    </row>
    <row r="74" spans="1:9" ht="14.1" customHeight="1" x14ac:dyDescent="0.3">
      <c r="A74" s="117">
        <f>A72+(G72*H72)</f>
        <v>7414</v>
      </c>
      <c r="B74" s="11" t="s">
        <v>1030</v>
      </c>
      <c r="C74" s="117"/>
      <c r="D74" s="117"/>
      <c r="E74" s="16" t="s">
        <v>210</v>
      </c>
      <c r="F74" s="16" t="s">
        <v>1062</v>
      </c>
      <c r="G74" s="16">
        <f t="shared" ref="G74:G96" si="9">IF(OR(E74="U16", E74="S16"),1,IF(E74="TS",6,2))</f>
        <v>1</v>
      </c>
      <c r="H74" s="117">
        <v>1</v>
      </c>
      <c r="I74" s="98"/>
    </row>
    <row r="75" spans="1:9" ht="14.1" customHeight="1" x14ac:dyDescent="0.3">
      <c r="A75" s="117">
        <f t="shared" ref="A75:A96" si="10">A74+(G74*H74)</f>
        <v>7415</v>
      </c>
      <c r="B75" s="11" t="s">
        <v>1031</v>
      </c>
      <c r="C75" s="117"/>
      <c r="D75" s="117"/>
      <c r="E75" s="16" t="s">
        <v>210</v>
      </c>
      <c r="F75" s="16" t="s">
        <v>1062</v>
      </c>
      <c r="G75" s="16">
        <f t="shared" si="9"/>
        <v>1</v>
      </c>
      <c r="H75" s="117">
        <v>1</v>
      </c>
      <c r="I75" s="98"/>
    </row>
    <row r="76" spans="1:9" ht="14.1" customHeight="1" x14ac:dyDescent="0.3">
      <c r="A76" s="117">
        <f t="shared" si="10"/>
        <v>7416</v>
      </c>
      <c r="B76" s="11" t="s">
        <v>1032</v>
      </c>
      <c r="C76" s="117" t="s">
        <v>1052</v>
      </c>
      <c r="D76" s="117"/>
      <c r="E76" s="16" t="s">
        <v>123</v>
      </c>
      <c r="F76" s="16" t="s">
        <v>1061</v>
      </c>
      <c r="G76" s="16">
        <f t="shared" si="9"/>
        <v>1</v>
      </c>
      <c r="H76" s="117">
        <v>1</v>
      </c>
      <c r="I76" s="98"/>
    </row>
    <row r="77" spans="1:9" ht="14.1" customHeight="1" x14ac:dyDescent="0.3">
      <c r="A77" s="117">
        <f t="shared" si="10"/>
        <v>7417</v>
      </c>
      <c r="B77" s="11" t="s">
        <v>1033</v>
      </c>
      <c r="C77" s="117"/>
      <c r="D77" s="117"/>
      <c r="E77" s="16" t="s">
        <v>123</v>
      </c>
      <c r="F77" s="16" t="s">
        <v>1061</v>
      </c>
      <c r="G77" s="16">
        <f t="shared" si="9"/>
        <v>1</v>
      </c>
      <c r="H77" s="117">
        <v>1</v>
      </c>
      <c r="I77" s="98"/>
    </row>
    <row r="78" spans="1:9" ht="14.1" customHeight="1" x14ac:dyDescent="0.3">
      <c r="A78" s="117">
        <f t="shared" si="10"/>
        <v>7418</v>
      </c>
      <c r="B78" s="11" t="s">
        <v>1035</v>
      </c>
      <c r="C78" s="117" t="s">
        <v>1034</v>
      </c>
      <c r="D78" s="117"/>
      <c r="E78" s="16" t="s">
        <v>123</v>
      </c>
      <c r="F78" s="16" t="s">
        <v>1061</v>
      </c>
      <c r="G78" s="16">
        <f t="shared" si="9"/>
        <v>1</v>
      </c>
      <c r="H78" s="117">
        <v>1</v>
      </c>
      <c r="I78" s="98"/>
    </row>
    <row r="79" spans="1:9" ht="14.1" customHeight="1" x14ac:dyDescent="0.3">
      <c r="A79" s="117">
        <f t="shared" si="10"/>
        <v>7419</v>
      </c>
      <c r="B79" s="25" t="s">
        <v>1036</v>
      </c>
      <c r="C79" s="24" t="s">
        <v>1053</v>
      </c>
      <c r="D79" s="24"/>
      <c r="E79" s="26" t="s">
        <v>123</v>
      </c>
      <c r="F79" s="16" t="s">
        <v>1061</v>
      </c>
      <c r="G79" s="26">
        <f t="shared" si="9"/>
        <v>1</v>
      </c>
      <c r="H79" s="24">
        <v>1</v>
      </c>
      <c r="I79" s="114"/>
    </row>
    <row r="80" spans="1:9" ht="14.1" customHeight="1" x14ac:dyDescent="0.3">
      <c r="A80" s="117">
        <f t="shared" si="10"/>
        <v>7420</v>
      </c>
      <c r="B80" s="14" t="s">
        <v>1037</v>
      </c>
      <c r="C80" s="117"/>
      <c r="D80" s="117"/>
      <c r="E80" s="16" t="s">
        <v>123</v>
      </c>
      <c r="F80" s="16" t="s">
        <v>1061</v>
      </c>
      <c r="G80" s="16">
        <f t="shared" si="9"/>
        <v>1</v>
      </c>
      <c r="H80" s="117">
        <v>1</v>
      </c>
      <c r="I80" s="98"/>
    </row>
    <row r="81" spans="1:9" ht="14.1" customHeight="1" x14ac:dyDescent="0.3">
      <c r="A81" s="117">
        <f t="shared" si="10"/>
        <v>7421</v>
      </c>
      <c r="B81" s="14" t="s">
        <v>1038</v>
      </c>
      <c r="C81" s="117"/>
      <c r="D81" s="117"/>
      <c r="E81" s="16" t="s">
        <v>123</v>
      </c>
      <c r="F81" s="16" t="s">
        <v>1061</v>
      </c>
      <c r="G81" s="16">
        <f t="shared" si="9"/>
        <v>1</v>
      </c>
      <c r="H81" s="117">
        <v>1</v>
      </c>
      <c r="I81" s="98"/>
    </row>
    <row r="82" spans="1:9" ht="14.1" customHeight="1" x14ac:dyDescent="0.3">
      <c r="A82" s="117">
        <f t="shared" si="10"/>
        <v>7422</v>
      </c>
      <c r="B82" s="14" t="s">
        <v>1039</v>
      </c>
      <c r="C82" s="117"/>
      <c r="D82" s="117"/>
      <c r="E82" s="16" t="s">
        <v>123</v>
      </c>
      <c r="F82" s="16" t="s">
        <v>1061</v>
      </c>
      <c r="G82" s="16">
        <f t="shared" si="9"/>
        <v>1</v>
      </c>
      <c r="H82" s="117">
        <v>1</v>
      </c>
      <c r="I82" s="98"/>
    </row>
    <row r="83" spans="1:9" ht="67.5" x14ac:dyDescent="0.3">
      <c r="A83" s="117">
        <f t="shared" si="10"/>
        <v>7423</v>
      </c>
      <c r="B83" s="14" t="s">
        <v>1041</v>
      </c>
      <c r="C83" s="117" t="s">
        <v>1040</v>
      </c>
      <c r="D83" s="117"/>
      <c r="E83" s="16" t="s">
        <v>123</v>
      </c>
      <c r="F83" s="16" t="s">
        <v>1061</v>
      </c>
      <c r="G83" s="16">
        <f t="shared" si="9"/>
        <v>1</v>
      </c>
      <c r="H83" s="117">
        <v>1</v>
      </c>
      <c r="I83" s="98"/>
    </row>
    <row r="84" spans="1:9" ht="14.1" customHeight="1" x14ac:dyDescent="0.3">
      <c r="A84" s="117">
        <f t="shared" si="10"/>
        <v>7424</v>
      </c>
      <c r="B84" s="14" t="s">
        <v>1042</v>
      </c>
      <c r="C84" s="117"/>
      <c r="D84" s="117"/>
      <c r="E84" s="16" t="s">
        <v>123</v>
      </c>
      <c r="F84" s="16" t="s">
        <v>1061</v>
      </c>
      <c r="G84" s="16">
        <f t="shared" si="9"/>
        <v>1</v>
      </c>
      <c r="H84" s="117">
        <v>1</v>
      </c>
      <c r="I84" s="98"/>
    </row>
    <row r="85" spans="1:9" ht="14.1" customHeight="1" x14ac:dyDescent="0.3">
      <c r="A85" s="117">
        <f t="shared" si="10"/>
        <v>7425</v>
      </c>
      <c r="B85" s="14" t="s">
        <v>1043</v>
      </c>
      <c r="C85" s="117"/>
      <c r="D85" s="117"/>
      <c r="E85" s="16" t="s">
        <v>123</v>
      </c>
      <c r="F85" s="16" t="s">
        <v>1061</v>
      </c>
      <c r="G85" s="16">
        <f t="shared" si="9"/>
        <v>1</v>
      </c>
      <c r="H85" s="117">
        <v>1</v>
      </c>
      <c r="I85" s="98"/>
    </row>
    <row r="86" spans="1:9" ht="14.1" customHeight="1" x14ac:dyDescent="0.3">
      <c r="A86" s="117">
        <f t="shared" si="10"/>
        <v>7426</v>
      </c>
      <c r="B86" s="14" t="s">
        <v>1045</v>
      </c>
      <c r="C86" s="117" t="s">
        <v>1044</v>
      </c>
      <c r="D86" s="117"/>
      <c r="E86" s="16" t="s">
        <v>123</v>
      </c>
      <c r="F86" s="16" t="s">
        <v>1061</v>
      </c>
      <c r="G86" s="16">
        <f t="shared" si="9"/>
        <v>1</v>
      </c>
      <c r="H86" s="117">
        <v>1</v>
      </c>
      <c r="I86" s="98"/>
    </row>
    <row r="87" spans="1:9" ht="14.1" customHeight="1" x14ac:dyDescent="0.3">
      <c r="A87" s="117">
        <f t="shared" si="10"/>
        <v>7427</v>
      </c>
      <c r="B87" s="14" t="s">
        <v>1046</v>
      </c>
      <c r="C87" s="117"/>
      <c r="D87" s="117"/>
      <c r="E87" s="16" t="s">
        <v>123</v>
      </c>
      <c r="F87" s="16" t="s">
        <v>1061</v>
      </c>
      <c r="G87" s="16">
        <f t="shared" si="9"/>
        <v>1</v>
      </c>
      <c r="H87" s="117">
        <v>1</v>
      </c>
      <c r="I87" s="98"/>
    </row>
    <row r="88" spans="1:9" ht="14.1" customHeight="1" x14ac:dyDescent="0.3">
      <c r="A88" s="117">
        <f t="shared" si="10"/>
        <v>7428</v>
      </c>
      <c r="B88" s="14" t="s">
        <v>1024</v>
      </c>
      <c r="C88" s="117"/>
      <c r="D88" s="117"/>
      <c r="E88" s="16" t="s">
        <v>123</v>
      </c>
      <c r="F88" s="16" t="s">
        <v>1061</v>
      </c>
      <c r="G88" s="16">
        <f t="shared" si="9"/>
        <v>1</v>
      </c>
      <c r="H88" s="117">
        <v>2</v>
      </c>
      <c r="I88" s="98"/>
    </row>
    <row r="89" spans="1:9" ht="14.1" customHeight="1" x14ac:dyDescent="0.3">
      <c r="A89" s="117">
        <f t="shared" si="10"/>
        <v>7430</v>
      </c>
      <c r="B89" s="14" t="s">
        <v>1047</v>
      </c>
      <c r="C89" s="117"/>
      <c r="D89" s="117"/>
      <c r="E89" s="16" t="s">
        <v>123</v>
      </c>
      <c r="F89" s="16" t="s">
        <v>1061</v>
      </c>
      <c r="G89" s="16">
        <f t="shared" si="9"/>
        <v>1</v>
      </c>
      <c r="H89" s="117">
        <v>16</v>
      </c>
      <c r="I89" s="98"/>
    </row>
    <row r="90" spans="1:9" ht="14.1" customHeight="1" x14ac:dyDescent="0.3">
      <c r="A90" s="117">
        <f t="shared" si="10"/>
        <v>7446</v>
      </c>
      <c r="B90" s="14" t="s">
        <v>1048</v>
      </c>
      <c r="C90" s="117"/>
      <c r="D90" s="117"/>
      <c r="E90" s="16" t="s">
        <v>123</v>
      </c>
      <c r="F90" s="16" t="s">
        <v>1061</v>
      </c>
      <c r="G90" s="16">
        <f t="shared" si="9"/>
        <v>1</v>
      </c>
      <c r="H90" s="117">
        <v>16</v>
      </c>
      <c r="I90" s="98"/>
    </row>
    <row r="91" spans="1:9" ht="14.1" customHeight="1" x14ac:dyDescent="0.3">
      <c r="A91" s="117">
        <f t="shared" si="10"/>
        <v>7462</v>
      </c>
      <c r="B91" s="14" t="s">
        <v>1049</v>
      </c>
      <c r="C91" s="117"/>
      <c r="D91" s="117"/>
      <c r="E91" s="16" t="s">
        <v>210</v>
      </c>
      <c r="F91" s="16" t="s">
        <v>1061</v>
      </c>
      <c r="G91" s="16">
        <f t="shared" si="9"/>
        <v>1</v>
      </c>
      <c r="H91" s="117">
        <v>16</v>
      </c>
      <c r="I91" s="98"/>
    </row>
    <row r="92" spans="1:9" ht="14.1" customHeight="1" x14ac:dyDescent="0.3">
      <c r="A92" s="117">
        <f t="shared" si="10"/>
        <v>7478</v>
      </c>
      <c r="B92" s="14" t="s">
        <v>1050</v>
      </c>
      <c r="C92" s="117"/>
      <c r="D92" s="117"/>
      <c r="E92" s="16" t="s">
        <v>210</v>
      </c>
      <c r="F92" s="16" t="s">
        <v>1061</v>
      </c>
      <c r="G92" s="16">
        <f t="shared" si="9"/>
        <v>1</v>
      </c>
      <c r="H92" s="117">
        <v>16</v>
      </c>
      <c r="I92" s="98"/>
    </row>
    <row r="93" spans="1:9" ht="14.1" customHeight="1" x14ac:dyDescent="0.3">
      <c r="A93" s="117">
        <f t="shared" si="10"/>
        <v>7494</v>
      </c>
      <c r="B93" s="14" t="s">
        <v>1051</v>
      </c>
      <c r="C93" s="117"/>
      <c r="D93" s="117"/>
      <c r="E93" s="16" t="s">
        <v>210</v>
      </c>
      <c r="F93" s="16" t="s">
        <v>1061</v>
      </c>
      <c r="G93" s="16">
        <f t="shared" si="9"/>
        <v>1</v>
      </c>
      <c r="H93" s="117">
        <v>16</v>
      </c>
      <c r="I93" s="98"/>
    </row>
    <row r="94" spans="1:9" ht="14.1" customHeight="1" x14ac:dyDescent="0.3">
      <c r="A94" s="117">
        <f t="shared" si="10"/>
        <v>7510</v>
      </c>
      <c r="B94" s="14" t="s">
        <v>1117</v>
      </c>
      <c r="C94" s="117"/>
      <c r="D94" s="117"/>
      <c r="E94" s="16" t="s">
        <v>210</v>
      </c>
      <c r="F94" s="16" t="s">
        <v>1061</v>
      </c>
      <c r="G94" s="16">
        <f t="shared" si="9"/>
        <v>1</v>
      </c>
      <c r="H94" s="117">
        <v>16</v>
      </c>
      <c r="I94" s="98"/>
    </row>
    <row r="95" spans="1:9" ht="14.1" customHeight="1" x14ac:dyDescent="0.3">
      <c r="A95" s="117">
        <f t="shared" si="10"/>
        <v>7526</v>
      </c>
      <c r="B95" s="14" t="s">
        <v>1118</v>
      </c>
      <c r="C95" s="117"/>
      <c r="D95" s="117"/>
      <c r="E95" s="16" t="s">
        <v>210</v>
      </c>
      <c r="F95" s="16" t="s">
        <v>1061</v>
      </c>
      <c r="G95" s="16">
        <f t="shared" si="9"/>
        <v>1</v>
      </c>
      <c r="H95" s="117">
        <v>16</v>
      </c>
      <c r="I95" s="98"/>
    </row>
    <row r="96" spans="1:9" ht="14.1" customHeight="1" x14ac:dyDescent="0.3">
      <c r="A96" s="117">
        <f t="shared" si="10"/>
        <v>7542</v>
      </c>
      <c r="B96" s="14" t="s">
        <v>1119</v>
      </c>
      <c r="C96" s="117"/>
      <c r="D96" s="117"/>
      <c r="E96" s="16" t="s">
        <v>210</v>
      </c>
      <c r="F96" s="16" t="s">
        <v>1061</v>
      </c>
      <c r="G96" s="16">
        <f t="shared" si="9"/>
        <v>1</v>
      </c>
      <c r="H96" s="117">
        <v>16</v>
      </c>
      <c r="I96" s="98"/>
    </row>
    <row r="97" spans="1:9" ht="14.1" customHeight="1" x14ac:dyDescent="0.3">
      <c r="A97" s="122" t="s">
        <v>245</v>
      </c>
      <c r="B97" s="122"/>
      <c r="C97" s="122"/>
      <c r="D97" s="122"/>
      <c r="E97" s="122"/>
      <c r="F97" s="122"/>
      <c r="G97" s="122"/>
      <c r="H97" s="122"/>
      <c r="I97" s="104"/>
    </row>
    <row r="98" spans="1:9" ht="14.1" customHeight="1" x14ac:dyDescent="0.3">
      <c r="A98" s="117">
        <f>A96+(G96*H96)</f>
        <v>7558</v>
      </c>
      <c r="B98" s="11" t="s">
        <v>1055</v>
      </c>
      <c r="C98" s="117" t="s">
        <v>1054</v>
      </c>
      <c r="D98" s="117"/>
      <c r="E98" s="16" t="s">
        <v>123</v>
      </c>
      <c r="F98" s="16" t="s">
        <v>1062</v>
      </c>
      <c r="G98" s="16">
        <f t="shared" ref="G98:G110" si="11">IF(OR(E98="U16", E98="S16"),1,IF(E98="TS",6,2))</f>
        <v>1</v>
      </c>
      <c r="H98" s="117">
        <v>1</v>
      </c>
      <c r="I98" s="98"/>
    </row>
    <row r="99" spans="1:9" ht="14.1" customHeight="1" x14ac:dyDescent="0.3">
      <c r="A99" s="117">
        <f t="shared" ref="A99:A110" si="12">A98+(G98*H98)</f>
        <v>7559</v>
      </c>
      <c r="B99" s="11" t="s">
        <v>1056</v>
      </c>
      <c r="C99" s="117" t="s">
        <v>1057</v>
      </c>
      <c r="D99" s="117"/>
      <c r="E99" s="16" t="s">
        <v>123</v>
      </c>
      <c r="F99" s="16" t="s">
        <v>1062</v>
      </c>
      <c r="G99" s="16">
        <f t="shared" si="11"/>
        <v>1</v>
      </c>
      <c r="H99" s="117">
        <v>1</v>
      </c>
      <c r="I99" s="98"/>
    </row>
    <row r="100" spans="1:9" ht="14.1" customHeight="1" x14ac:dyDescent="0.3">
      <c r="A100" s="117">
        <f t="shared" si="12"/>
        <v>7560</v>
      </c>
      <c r="B100" s="14" t="s">
        <v>203</v>
      </c>
      <c r="C100" s="117"/>
      <c r="D100" s="117"/>
      <c r="E100" s="16" t="s">
        <v>123</v>
      </c>
      <c r="F100" s="16" t="s">
        <v>1061</v>
      </c>
      <c r="G100" s="16">
        <f t="shared" si="11"/>
        <v>1</v>
      </c>
      <c r="H100" s="117">
        <v>1</v>
      </c>
      <c r="I100" s="98"/>
    </row>
    <row r="101" spans="1:9" ht="24" x14ac:dyDescent="0.3">
      <c r="A101" s="117">
        <f t="shared" si="12"/>
        <v>7561</v>
      </c>
      <c r="B101" s="42" t="s">
        <v>600</v>
      </c>
      <c r="C101" s="117"/>
      <c r="D101" s="117"/>
      <c r="E101" s="16" t="s">
        <v>123</v>
      </c>
      <c r="F101" s="16" t="s">
        <v>1061</v>
      </c>
      <c r="G101" s="16">
        <f t="shared" si="11"/>
        <v>1</v>
      </c>
      <c r="H101" s="117">
        <v>1</v>
      </c>
      <c r="I101" s="98"/>
    </row>
    <row r="102" spans="1:9" ht="14.1" customHeight="1" x14ac:dyDescent="0.3">
      <c r="A102" s="117">
        <f t="shared" si="12"/>
        <v>7562</v>
      </c>
      <c r="B102" s="14" t="s">
        <v>1140</v>
      </c>
      <c r="C102" s="117"/>
      <c r="D102" s="117"/>
      <c r="E102" s="16" t="s">
        <v>209</v>
      </c>
      <c r="F102" s="16" t="s">
        <v>1061</v>
      </c>
      <c r="G102" s="16">
        <f t="shared" si="11"/>
        <v>2</v>
      </c>
      <c r="H102" s="117">
        <v>9</v>
      </c>
      <c r="I102" s="98"/>
    </row>
    <row r="103" spans="1:9" ht="14.1" customHeight="1" x14ac:dyDescent="0.3">
      <c r="A103" s="117">
        <f t="shared" si="12"/>
        <v>7580</v>
      </c>
      <c r="B103" s="13" t="s">
        <v>200</v>
      </c>
      <c r="C103" s="117"/>
      <c r="D103" s="117"/>
      <c r="E103" s="16" t="s">
        <v>123</v>
      </c>
      <c r="F103" s="16" t="s">
        <v>1061</v>
      </c>
      <c r="G103" s="16">
        <f t="shared" si="11"/>
        <v>1</v>
      </c>
      <c r="H103" s="117">
        <v>1</v>
      </c>
      <c r="I103" s="98"/>
    </row>
    <row r="104" spans="1:9" ht="14.1" customHeight="1" x14ac:dyDescent="0.3">
      <c r="A104" s="117">
        <f t="shared" si="12"/>
        <v>7581</v>
      </c>
      <c r="B104" s="13" t="s">
        <v>201</v>
      </c>
      <c r="C104" s="117"/>
      <c r="D104" s="117"/>
      <c r="E104" s="16" t="s">
        <v>123</v>
      </c>
      <c r="F104" s="16" t="s">
        <v>1061</v>
      </c>
      <c r="G104" s="16">
        <f t="shared" si="11"/>
        <v>1</v>
      </c>
      <c r="H104" s="117">
        <v>1</v>
      </c>
      <c r="I104" s="98"/>
    </row>
    <row r="105" spans="1:9" ht="14.1" customHeight="1" x14ac:dyDescent="0.3">
      <c r="A105" s="117">
        <f t="shared" si="12"/>
        <v>7582</v>
      </c>
      <c r="B105" s="13" t="s">
        <v>202</v>
      </c>
      <c r="C105" s="117"/>
      <c r="D105" s="117"/>
      <c r="E105" s="16" t="s">
        <v>123</v>
      </c>
      <c r="F105" s="16" t="s">
        <v>1061</v>
      </c>
      <c r="G105" s="16">
        <f t="shared" si="11"/>
        <v>1</v>
      </c>
      <c r="H105" s="117">
        <v>1</v>
      </c>
      <c r="I105" s="98"/>
    </row>
    <row r="106" spans="1:9" ht="14.1" customHeight="1" x14ac:dyDescent="0.3">
      <c r="A106" s="117">
        <f t="shared" si="12"/>
        <v>7583</v>
      </c>
      <c r="B106" s="13" t="s">
        <v>602</v>
      </c>
      <c r="C106" s="117" t="s">
        <v>601</v>
      </c>
      <c r="D106" s="117"/>
      <c r="E106" s="16" t="s">
        <v>114</v>
      </c>
      <c r="F106" s="16" t="s">
        <v>1061</v>
      </c>
      <c r="G106" s="16">
        <f t="shared" si="11"/>
        <v>1</v>
      </c>
      <c r="H106" s="117">
        <v>1</v>
      </c>
      <c r="I106" s="98"/>
    </row>
    <row r="107" spans="1:9" ht="14.1" customHeight="1" x14ac:dyDescent="0.3">
      <c r="A107" s="117">
        <f t="shared" si="12"/>
        <v>7584</v>
      </c>
      <c r="B107" s="13" t="s">
        <v>567</v>
      </c>
      <c r="C107" s="117" t="s">
        <v>568</v>
      </c>
      <c r="D107" s="117"/>
      <c r="E107" s="16" t="s">
        <v>123</v>
      </c>
      <c r="F107" s="16" t="s">
        <v>1061</v>
      </c>
      <c r="G107" s="16">
        <f t="shared" si="11"/>
        <v>1</v>
      </c>
      <c r="H107" s="117">
        <v>1</v>
      </c>
      <c r="I107" s="98"/>
    </row>
    <row r="108" spans="1:9" ht="14.1" customHeight="1" x14ac:dyDescent="0.3">
      <c r="A108" s="117">
        <f t="shared" si="12"/>
        <v>7585</v>
      </c>
      <c r="B108" s="13" t="s">
        <v>1126</v>
      </c>
      <c r="C108" s="117" t="s">
        <v>1128</v>
      </c>
      <c r="D108" s="117"/>
      <c r="E108" s="16" t="s">
        <v>123</v>
      </c>
      <c r="F108" s="16" t="s">
        <v>1061</v>
      </c>
      <c r="G108" s="16">
        <f t="shared" si="11"/>
        <v>1</v>
      </c>
      <c r="H108" s="117">
        <v>1</v>
      </c>
      <c r="I108" s="98"/>
    </row>
    <row r="109" spans="1:9" ht="14.1" customHeight="1" x14ac:dyDescent="0.3">
      <c r="A109" s="117">
        <f t="shared" si="12"/>
        <v>7586</v>
      </c>
      <c r="B109" s="9" t="s">
        <v>1127</v>
      </c>
      <c r="C109" s="117"/>
      <c r="D109" s="117"/>
      <c r="E109" s="16" t="s">
        <v>123</v>
      </c>
      <c r="F109" s="16" t="s">
        <v>1061</v>
      </c>
      <c r="G109" s="16">
        <f t="shared" si="11"/>
        <v>1</v>
      </c>
      <c r="H109" s="117">
        <v>1</v>
      </c>
      <c r="I109" s="98"/>
    </row>
    <row r="110" spans="1:9" ht="14.1" customHeight="1" x14ac:dyDescent="0.3">
      <c r="A110" s="117">
        <f t="shared" si="12"/>
        <v>7587</v>
      </c>
      <c r="B110" s="117"/>
      <c r="C110" s="117"/>
      <c r="D110" s="117"/>
      <c r="E110" s="16" t="s">
        <v>123</v>
      </c>
      <c r="F110" s="16"/>
      <c r="G110" s="16">
        <f t="shared" si="11"/>
        <v>1</v>
      </c>
      <c r="H110" s="117">
        <v>1</v>
      </c>
      <c r="I110" s="98"/>
    </row>
    <row r="111" spans="1:9" ht="14.1" customHeight="1" x14ac:dyDescent="0.3">
      <c r="A111" s="135" t="s">
        <v>974</v>
      </c>
      <c r="B111" s="135"/>
      <c r="C111" s="135"/>
      <c r="D111" s="135"/>
      <c r="E111" s="135"/>
      <c r="F111" s="135"/>
      <c r="G111" s="135"/>
      <c r="H111" s="135"/>
      <c r="I111" s="115"/>
    </row>
    <row r="112" spans="1:9" ht="14.1" customHeight="1" x14ac:dyDescent="0.3">
      <c r="A112" s="117">
        <f>A110+(G110*H110)</f>
        <v>7588</v>
      </c>
      <c r="B112" s="19" t="s">
        <v>255</v>
      </c>
      <c r="C112" s="19"/>
      <c r="D112" s="19"/>
      <c r="E112" s="20" t="s">
        <v>123</v>
      </c>
      <c r="F112" s="20" t="s">
        <v>1062</v>
      </c>
      <c r="G112" s="20">
        <f>IF(OR(E112="U16", E112="S16"),1,IF(E112="TS",6,2))</f>
        <v>1</v>
      </c>
      <c r="H112" s="117">
        <v>1</v>
      </c>
      <c r="I112" s="98"/>
    </row>
    <row r="113" spans="1:9" ht="14.1" customHeight="1" x14ac:dyDescent="0.3">
      <c r="A113" s="117">
        <f t="shared" ref="A113:A117" si="13">A112+(G112*H112)</f>
        <v>7589</v>
      </c>
      <c r="B113" s="19" t="s">
        <v>196</v>
      </c>
      <c r="C113" s="21"/>
      <c r="D113" s="21"/>
      <c r="E113" s="20" t="s">
        <v>123</v>
      </c>
      <c r="F113" s="20" t="s">
        <v>1062</v>
      </c>
      <c r="G113" s="20">
        <f t="shared" ref="G113:G117" si="14">IF(OR(E113="U16", E113="S16"),1,IF(E113="TS",6,2))</f>
        <v>1</v>
      </c>
      <c r="H113" s="117">
        <v>1</v>
      </c>
      <c r="I113" s="98"/>
    </row>
    <row r="114" spans="1:9" ht="14.1" customHeight="1" x14ac:dyDescent="0.3">
      <c r="A114" s="117">
        <f t="shared" si="13"/>
        <v>7590</v>
      </c>
      <c r="B114" s="9" t="s">
        <v>976</v>
      </c>
      <c r="C114" s="117" t="s">
        <v>975</v>
      </c>
      <c r="D114" s="19"/>
      <c r="E114" s="20" t="s">
        <v>123</v>
      </c>
      <c r="F114" s="20" t="s">
        <v>1061</v>
      </c>
      <c r="G114" s="20">
        <f t="shared" si="14"/>
        <v>1</v>
      </c>
      <c r="H114" s="117">
        <v>4</v>
      </c>
      <c r="I114" s="98"/>
    </row>
    <row r="115" spans="1:9" ht="14.1" customHeight="1" x14ac:dyDescent="0.3">
      <c r="A115" s="117">
        <f t="shared" si="13"/>
        <v>7594</v>
      </c>
      <c r="B115" s="9" t="s">
        <v>977</v>
      </c>
      <c r="C115" s="20" t="s">
        <v>1102</v>
      </c>
      <c r="D115" s="19"/>
      <c r="E115" s="20" t="s">
        <v>123</v>
      </c>
      <c r="F115" s="20" t="s">
        <v>1061</v>
      </c>
      <c r="G115" s="20">
        <f t="shared" si="14"/>
        <v>1</v>
      </c>
      <c r="H115" s="117">
        <v>4</v>
      </c>
      <c r="I115" s="98"/>
    </row>
    <row r="116" spans="1:9" ht="14.1" customHeight="1" x14ac:dyDescent="0.3">
      <c r="A116" s="117">
        <f t="shared" si="13"/>
        <v>7598</v>
      </c>
      <c r="B116" s="9" t="s">
        <v>978</v>
      </c>
      <c r="C116" s="19"/>
      <c r="D116" s="19"/>
      <c r="E116" s="20" t="s">
        <v>123</v>
      </c>
      <c r="F116" s="20" t="s">
        <v>1061</v>
      </c>
      <c r="G116" s="20">
        <f t="shared" si="14"/>
        <v>1</v>
      </c>
      <c r="H116" s="117">
        <v>4</v>
      </c>
      <c r="I116" s="98"/>
    </row>
    <row r="117" spans="1:9" ht="14.1" customHeight="1" x14ac:dyDescent="0.3">
      <c r="A117" s="117">
        <f t="shared" si="13"/>
        <v>7602</v>
      </c>
      <c r="B117" s="19" t="s">
        <v>196</v>
      </c>
      <c r="C117" s="21"/>
      <c r="D117" s="21"/>
      <c r="E117" s="20" t="s">
        <v>123</v>
      </c>
      <c r="F117" s="20" t="s">
        <v>1061</v>
      </c>
      <c r="G117" s="20">
        <f t="shared" si="14"/>
        <v>1</v>
      </c>
      <c r="H117" s="117">
        <v>14</v>
      </c>
      <c r="I117" s="98"/>
    </row>
    <row r="118" spans="1:9" ht="14.1" customHeight="1" x14ac:dyDescent="0.3">
      <c r="A118" s="122" t="s">
        <v>232</v>
      </c>
      <c r="B118" s="122"/>
      <c r="C118" s="122"/>
      <c r="D118" s="122"/>
      <c r="E118" s="122"/>
      <c r="F118" s="122"/>
      <c r="G118" s="122"/>
      <c r="H118" s="122"/>
      <c r="I118" s="104"/>
    </row>
    <row r="119" spans="1:9" ht="14.1" customHeight="1" x14ac:dyDescent="0.3">
      <c r="A119" s="117">
        <f>A117+(G117*H117)</f>
        <v>7616</v>
      </c>
      <c r="B119" s="9" t="s">
        <v>516</v>
      </c>
      <c r="C119" s="117"/>
      <c r="D119" s="117"/>
      <c r="E119" s="16" t="s">
        <v>123</v>
      </c>
      <c r="F119" s="20" t="s">
        <v>1062</v>
      </c>
      <c r="G119" s="16">
        <f t="shared" ref="G119" si="15">IF(OR(E119="U16", E119="S16"),1,IF(E119="TS",6,2))</f>
        <v>1</v>
      </c>
      <c r="H119" s="117">
        <v>4</v>
      </c>
      <c r="I119" s="98"/>
    </row>
    <row r="120" spans="1:9" ht="14.1" customHeight="1" x14ac:dyDescent="0.3">
      <c r="A120" s="117">
        <f t="shared" ref="A120:A141" si="16">A119+(G119*H119)</f>
        <v>7620</v>
      </c>
      <c r="B120" s="15"/>
      <c r="C120" s="117"/>
      <c r="D120" s="117"/>
      <c r="E120" s="16" t="s">
        <v>123</v>
      </c>
      <c r="F120" s="20" t="s">
        <v>1062</v>
      </c>
      <c r="G120" s="16">
        <v>1</v>
      </c>
      <c r="H120" s="117">
        <v>6</v>
      </c>
      <c r="I120" s="98"/>
    </row>
    <row r="121" spans="1:9" ht="14.1" customHeight="1" x14ac:dyDescent="0.3">
      <c r="A121" s="117">
        <f t="shared" si="16"/>
        <v>7626</v>
      </c>
      <c r="B121" s="15" t="s">
        <v>233</v>
      </c>
      <c r="C121" s="117"/>
      <c r="D121" s="117"/>
      <c r="E121" s="16" t="s">
        <v>123</v>
      </c>
      <c r="F121" s="20">
        <v>6</v>
      </c>
      <c r="G121" s="16">
        <f t="shared" ref="G121:G137" si="17">IF(OR(E121="U16", E121="S16"),1,IF(E121="TS",6,2))</f>
        <v>1</v>
      </c>
      <c r="H121" s="117">
        <v>1</v>
      </c>
      <c r="I121" s="98"/>
    </row>
    <row r="122" spans="1:9" ht="14.1" customHeight="1" x14ac:dyDescent="0.3">
      <c r="A122" s="117">
        <f t="shared" si="16"/>
        <v>7627</v>
      </c>
      <c r="B122" s="15" t="s">
        <v>234</v>
      </c>
      <c r="C122" s="117"/>
      <c r="D122" s="117"/>
      <c r="E122" s="16" t="s">
        <v>123</v>
      </c>
      <c r="F122" s="20">
        <v>6</v>
      </c>
      <c r="G122" s="16">
        <f t="shared" si="17"/>
        <v>1</v>
      </c>
      <c r="H122" s="117">
        <v>1</v>
      </c>
      <c r="I122" s="98"/>
    </row>
    <row r="123" spans="1:9" ht="14.1" customHeight="1" x14ac:dyDescent="0.3">
      <c r="A123" s="117">
        <f t="shared" si="16"/>
        <v>7628</v>
      </c>
      <c r="B123" s="22" t="s">
        <v>1141</v>
      </c>
      <c r="C123" s="117" t="s">
        <v>1105</v>
      </c>
      <c r="D123" s="117"/>
      <c r="E123" s="16" t="s">
        <v>123</v>
      </c>
      <c r="F123" s="20">
        <v>6</v>
      </c>
      <c r="G123" s="16">
        <f t="shared" si="17"/>
        <v>1</v>
      </c>
      <c r="H123" s="116">
        <v>10</v>
      </c>
      <c r="I123" s="98"/>
    </row>
    <row r="124" spans="1:9" ht="14.1" customHeight="1" x14ac:dyDescent="0.3">
      <c r="A124" s="116">
        <f t="shared" si="16"/>
        <v>7638</v>
      </c>
      <c r="B124" s="120" t="s">
        <v>1120</v>
      </c>
      <c r="C124" s="117"/>
      <c r="D124" s="117"/>
      <c r="E124" s="16" t="s">
        <v>123</v>
      </c>
      <c r="F124" s="20">
        <v>6</v>
      </c>
      <c r="G124" s="16">
        <f t="shared" si="17"/>
        <v>1</v>
      </c>
      <c r="H124" s="116">
        <v>1</v>
      </c>
      <c r="I124" s="98"/>
    </row>
    <row r="125" spans="1:9" ht="14.1" customHeight="1" x14ac:dyDescent="0.3">
      <c r="A125" s="116">
        <f t="shared" si="16"/>
        <v>7639</v>
      </c>
      <c r="B125" s="120" t="s">
        <v>1121</v>
      </c>
      <c r="C125" s="117"/>
      <c r="D125" s="117"/>
      <c r="E125" s="16" t="s">
        <v>123</v>
      </c>
      <c r="F125" s="20">
        <v>6</v>
      </c>
      <c r="G125" s="16">
        <f t="shared" si="17"/>
        <v>1</v>
      </c>
      <c r="H125" s="116">
        <v>1</v>
      </c>
      <c r="I125" s="98"/>
    </row>
    <row r="126" spans="1:9" ht="14.1" customHeight="1" x14ac:dyDescent="0.3">
      <c r="A126" s="116">
        <f t="shared" si="16"/>
        <v>7640</v>
      </c>
      <c r="B126" s="120" t="s">
        <v>1122</v>
      </c>
      <c r="C126" s="117"/>
      <c r="D126" s="117"/>
      <c r="E126" s="16" t="s">
        <v>123</v>
      </c>
      <c r="F126" s="16">
        <v>6</v>
      </c>
      <c r="G126" s="16">
        <f t="shared" si="17"/>
        <v>1</v>
      </c>
      <c r="H126" s="116">
        <v>1</v>
      </c>
      <c r="I126" s="98"/>
    </row>
    <row r="127" spans="1:9" ht="14.1" customHeight="1" x14ac:dyDescent="0.3">
      <c r="A127" s="116">
        <f t="shared" si="16"/>
        <v>7641</v>
      </c>
      <c r="B127" s="120" t="s">
        <v>235</v>
      </c>
      <c r="C127" s="117"/>
      <c r="D127" s="117"/>
      <c r="E127" s="16" t="s">
        <v>123</v>
      </c>
      <c r="F127" s="20">
        <v>6</v>
      </c>
      <c r="G127" s="16">
        <f t="shared" si="17"/>
        <v>1</v>
      </c>
      <c r="H127" s="117">
        <v>1</v>
      </c>
      <c r="I127" s="98"/>
    </row>
    <row r="128" spans="1:9" ht="14.1" customHeight="1" x14ac:dyDescent="0.3">
      <c r="A128" s="116">
        <f t="shared" si="16"/>
        <v>7642</v>
      </c>
      <c r="B128" s="121" t="s">
        <v>1103</v>
      </c>
      <c r="C128" s="117"/>
      <c r="D128" s="117"/>
      <c r="E128" s="117" t="s">
        <v>123</v>
      </c>
      <c r="F128" s="16">
        <v>6</v>
      </c>
      <c r="G128" s="117">
        <f t="shared" si="17"/>
        <v>1</v>
      </c>
      <c r="H128" s="117">
        <v>1</v>
      </c>
      <c r="I128" s="98"/>
    </row>
    <row r="129" spans="1:9" ht="14.1" customHeight="1" x14ac:dyDescent="0.3">
      <c r="A129" s="116">
        <f t="shared" si="16"/>
        <v>7643</v>
      </c>
      <c r="B129" s="120" t="s">
        <v>1142</v>
      </c>
      <c r="C129" s="117"/>
      <c r="D129" s="117"/>
      <c r="E129" s="16" t="s">
        <v>123</v>
      </c>
      <c r="F129" s="20">
        <v>6</v>
      </c>
      <c r="G129" s="16">
        <f t="shared" si="17"/>
        <v>1</v>
      </c>
      <c r="H129" s="116">
        <v>10</v>
      </c>
      <c r="I129" s="98"/>
    </row>
    <row r="130" spans="1:9" ht="14.1" customHeight="1" x14ac:dyDescent="0.3">
      <c r="A130" s="116">
        <f t="shared" si="16"/>
        <v>7653</v>
      </c>
      <c r="B130" s="120" t="s">
        <v>1143</v>
      </c>
      <c r="C130" s="117"/>
      <c r="D130" s="117"/>
      <c r="E130" s="16" t="s">
        <v>123</v>
      </c>
      <c r="F130" s="20">
        <v>6</v>
      </c>
      <c r="G130" s="16">
        <f t="shared" si="17"/>
        <v>1</v>
      </c>
      <c r="H130" s="116">
        <v>10</v>
      </c>
      <c r="I130" s="98"/>
    </row>
    <row r="131" spans="1:9" ht="14.1" customHeight="1" x14ac:dyDescent="0.3">
      <c r="A131" s="116">
        <f t="shared" si="16"/>
        <v>7663</v>
      </c>
      <c r="B131" s="120" t="s">
        <v>1144</v>
      </c>
      <c r="C131" s="117"/>
      <c r="D131" s="117"/>
      <c r="E131" s="16" t="s">
        <v>123</v>
      </c>
      <c r="F131" s="20">
        <v>6</v>
      </c>
      <c r="G131" s="16">
        <f t="shared" si="17"/>
        <v>1</v>
      </c>
      <c r="H131" s="116">
        <v>10</v>
      </c>
      <c r="I131" s="98"/>
    </row>
    <row r="132" spans="1:9" ht="14.1" customHeight="1" x14ac:dyDescent="0.3">
      <c r="A132" s="116">
        <f t="shared" si="16"/>
        <v>7673</v>
      </c>
      <c r="B132" s="120" t="s">
        <v>1145</v>
      </c>
      <c r="C132" s="117"/>
      <c r="D132" s="117"/>
      <c r="E132" s="16" t="s">
        <v>123</v>
      </c>
      <c r="F132" s="20">
        <v>6</v>
      </c>
      <c r="G132" s="16">
        <f t="shared" si="17"/>
        <v>1</v>
      </c>
      <c r="H132" s="116">
        <v>10</v>
      </c>
      <c r="I132" s="98"/>
    </row>
    <row r="133" spans="1:9" ht="14.1" customHeight="1" x14ac:dyDescent="0.3">
      <c r="A133" s="116">
        <f t="shared" si="16"/>
        <v>7683</v>
      </c>
      <c r="B133" s="120" t="s">
        <v>1146</v>
      </c>
      <c r="C133" s="117"/>
      <c r="D133" s="117"/>
      <c r="E133" s="16" t="s">
        <v>123</v>
      </c>
      <c r="F133" s="16">
        <v>6</v>
      </c>
      <c r="G133" s="16">
        <f t="shared" si="17"/>
        <v>1</v>
      </c>
      <c r="H133" s="116">
        <v>10</v>
      </c>
      <c r="I133" s="98"/>
    </row>
    <row r="134" spans="1:9" ht="14.1" customHeight="1" x14ac:dyDescent="0.3">
      <c r="A134" s="116">
        <f t="shared" si="16"/>
        <v>7693</v>
      </c>
      <c r="B134" s="121" t="s">
        <v>1148</v>
      </c>
      <c r="C134" s="117" t="s">
        <v>1104</v>
      </c>
      <c r="D134" s="117"/>
      <c r="E134" s="117" t="s">
        <v>123</v>
      </c>
      <c r="F134" s="16">
        <v>6</v>
      </c>
      <c r="G134" s="117">
        <f t="shared" si="17"/>
        <v>1</v>
      </c>
      <c r="H134" s="116">
        <v>10</v>
      </c>
      <c r="I134" s="98"/>
    </row>
    <row r="135" spans="1:9" ht="14.1" customHeight="1" x14ac:dyDescent="0.3">
      <c r="A135" s="116">
        <f t="shared" si="16"/>
        <v>7703</v>
      </c>
      <c r="B135" s="121" t="s">
        <v>1149</v>
      </c>
      <c r="C135" s="117" t="s">
        <v>1104</v>
      </c>
      <c r="D135" s="117"/>
      <c r="E135" s="117" t="s">
        <v>123</v>
      </c>
      <c r="F135" s="117">
        <v>6</v>
      </c>
      <c r="G135" s="117">
        <f t="shared" si="17"/>
        <v>1</v>
      </c>
      <c r="H135" s="116">
        <v>10</v>
      </c>
      <c r="I135" s="98"/>
    </row>
    <row r="136" spans="1:9" ht="14.1" customHeight="1" x14ac:dyDescent="0.3">
      <c r="A136" s="116">
        <f t="shared" si="16"/>
        <v>7713</v>
      </c>
      <c r="B136" s="120" t="s">
        <v>1150</v>
      </c>
      <c r="C136" s="117" t="s">
        <v>1108</v>
      </c>
      <c r="D136" s="117"/>
      <c r="E136" s="16" t="s">
        <v>123</v>
      </c>
      <c r="F136" s="16">
        <v>6</v>
      </c>
      <c r="G136" s="16">
        <f t="shared" si="17"/>
        <v>1</v>
      </c>
      <c r="H136" s="116">
        <v>10</v>
      </c>
      <c r="I136" s="98"/>
    </row>
    <row r="137" spans="1:9" ht="14.1" customHeight="1" x14ac:dyDescent="0.3">
      <c r="A137" s="116">
        <f t="shared" si="16"/>
        <v>7723</v>
      </c>
      <c r="B137" s="121" t="s">
        <v>1151</v>
      </c>
      <c r="C137" s="117" t="s">
        <v>1108</v>
      </c>
      <c r="D137" s="117"/>
      <c r="E137" s="117" t="s">
        <v>123</v>
      </c>
      <c r="F137" s="16">
        <v>6</v>
      </c>
      <c r="G137" s="117">
        <f t="shared" si="17"/>
        <v>1</v>
      </c>
      <c r="H137" s="116">
        <v>10</v>
      </c>
      <c r="I137" s="98"/>
    </row>
    <row r="138" spans="1:9" ht="14.1" customHeight="1" x14ac:dyDescent="0.3">
      <c r="A138" s="116">
        <f t="shared" si="16"/>
        <v>7733</v>
      </c>
      <c r="B138" s="121" t="s">
        <v>1106</v>
      </c>
      <c r="C138" s="117" t="s">
        <v>1104</v>
      </c>
      <c r="D138" s="117"/>
      <c r="E138" s="117" t="s">
        <v>123</v>
      </c>
      <c r="F138" s="117">
        <v>6</v>
      </c>
      <c r="G138" s="117">
        <f>IF(OR(E138="U16", E138="S16"),1,IF(E138="TS",6,2))</f>
        <v>1</v>
      </c>
      <c r="H138" s="117">
        <v>3</v>
      </c>
      <c r="I138" s="98"/>
    </row>
    <row r="139" spans="1:9" ht="14.1" customHeight="1" x14ac:dyDescent="0.3">
      <c r="A139" s="116">
        <f t="shared" si="16"/>
        <v>7736</v>
      </c>
      <c r="B139" s="121" t="s">
        <v>1107</v>
      </c>
      <c r="C139" s="117" t="s">
        <v>1104</v>
      </c>
      <c r="D139" s="117"/>
      <c r="E139" s="117" t="s">
        <v>123</v>
      </c>
      <c r="F139" s="117">
        <v>6</v>
      </c>
      <c r="G139" s="117">
        <f>IF(OR(E139="U16", E139="S16"),1,IF(E139="TS",6,2))</f>
        <v>1</v>
      </c>
      <c r="H139" s="117">
        <v>3</v>
      </c>
      <c r="I139" s="98"/>
    </row>
    <row r="140" spans="1:9" ht="14.1" customHeight="1" x14ac:dyDescent="0.3">
      <c r="A140" s="116">
        <f t="shared" si="16"/>
        <v>7739</v>
      </c>
      <c r="B140" s="121" t="s">
        <v>1147</v>
      </c>
      <c r="C140" s="117"/>
      <c r="D140" s="117"/>
      <c r="E140" s="117" t="s">
        <v>123</v>
      </c>
      <c r="F140" s="16">
        <v>6</v>
      </c>
      <c r="G140" s="117">
        <f>IF(OR(E140="U16", E140="S16"),1,IF(E140="TS",6,2))</f>
        <v>1</v>
      </c>
      <c r="H140" s="117">
        <v>4</v>
      </c>
      <c r="I140" s="98"/>
    </row>
    <row r="141" spans="1:9" ht="14.1" customHeight="1" x14ac:dyDescent="0.3">
      <c r="A141" s="116">
        <f t="shared" si="16"/>
        <v>7743</v>
      </c>
      <c r="B141" s="9" t="s">
        <v>113</v>
      </c>
      <c r="C141" s="117"/>
      <c r="D141" s="117"/>
      <c r="E141" s="117" t="s">
        <v>123</v>
      </c>
      <c r="F141" s="16">
        <v>6</v>
      </c>
      <c r="G141" s="117">
        <f t="shared" ref="G141" si="18">IF(OR(E141="U16", E141="S16"),1,IF(E141="TS",6,2))</f>
        <v>1</v>
      </c>
      <c r="H141" s="117"/>
      <c r="I141" s="98"/>
    </row>
  </sheetData>
  <mergeCells count="8">
    <mergeCell ref="A111:H111"/>
    <mergeCell ref="A118:H118"/>
    <mergeCell ref="A2:H2"/>
    <mergeCell ref="A15:H15"/>
    <mergeCell ref="A36:H36"/>
    <mergeCell ref="A56:H56"/>
    <mergeCell ref="A73:H73"/>
    <mergeCell ref="A97:H9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0"/>
  <sheetViews>
    <sheetView tabSelected="1" topLeftCell="A649" zoomScaleNormal="100" workbookViewId="0">
      <selection activeCell="D658" sqref="D658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10" customWidth="1"/>
    <col min="11" max="16384" width="9" style="8"/>
  </cols>
  <sheetData>
    <row r="1" spans="1:10" ht="27.75" customHeight="1" x14ac:dyDescent="0.3">
      <c r="A1" s="44" t="s">
        <v>646</v>
      </c>
      <c r="B1" s="44" t="s">
        <v>644</v>
      </c>
      <c r="C1" s="44" t="s">
        <v>645</v>
      </c>
      <c r="D1" s="44" t="s">
        <v>650</v>
      </c>
      <c r="E1" s="44" t="s">
        <v>647</v>
      </c>
      <c r="F1" s="44" t="s">
        <v>1058</v>
      </c>
      <c r="G1" s="44" t="s">
        <v>648</v>
      </c>
      <c r="H1" s="44" t="s">
        <v>649</v>
      </c>
      <c r="I1" s="103"/>
    </row>
    <row r="2" spans="1:10" ht="15.95" customHeight="1" x14ac:dyDescent="0.3">
      <c r="A2" s="122" t="s">
        <v>139</v>
      </c>
      <c r="B2" s="122"/>
      <c r="C2" s="122"/>
      <c r="D2" s="122"/>
      <c r="E2" s="122"/>
      <c r="F2" s="122"/>
      <c r="G2" s="122"/>
      <c r="H2" s="122"/>
      <c r="I2" s="104"/>
    </row>
    <row r="3" spans="1:10" ht="15.95" customHeight="1" x14ac:dyDescent="0.3">
      <c r="A3" s="66">
        <v>0</v>
      </c>
      <c r="B3" s="9" t="s">
        <v>90</v>
      </c>
      <c r="C3" s="66"/>
      <c r="D3" s="66"/>
      <c r="E3" s="16" t="s">
        <v>91</v>
      </c>
      <c r="F3" s="16">
        <v>3</v>
      </c>
      <c r="G3" s="16">
        <f>IF(OR(E3="U16",E3="S16"),1,IF(E3="TS",6,IF(E3="U64",4,2)))</f>
        <v>2</v>
      </c>
      <c r="H3" s="66">
        <v>1</v>
      </c>
      <c r="I3" s="98"/>
    </row>
    <row r="4" spans="1:10" ht="15.95" customHeight="1" x14ac:dyDescent="0.3">
      <c r="A4" s="73">
        <f>A3+(G3*H3)</f>
        <v>2</v>
      </c>
      <c r="B4" s="59" t="s">
        <v>647</v>
      </c>
      <c r="C4" s="66"/>
      <c r="D4" s="66"/>
      <c r="E4" s="16" t="s">
        <v>123</v>
      </c>
      <c r="F4" s="16">
        <v>3</v>
      </c>
      <c r="G4" s="16">
        <v>1</v>
      </c>
      <c r="H4" s="66">
        <v>1</v>
      </c>
      <c r="I4" s="98"/>
      <c r="J4" s="65"/>
    </row>
    <row r="5" spans="1:10" ht="15.95" customHeight="1" x14ac:dyDescent="0.3">
      <c r="A5" s="73">
        <f t="shared" ref="A5:A6" si="0">A4+(G4*H4)</f>
        <v>3</v>
      </c>
      <c r="B5" s="59" t="s">
        <v>979</v>
      </c>
      <c r="C5" s="66" t="s">
        <v>980</v>
      </c>
      <c r="D5" s="66"/>
      <c r="E5" s="16" t="s">
        <v>123</v>
      </c>
      <c r="F5" s="16">
        <v>3</v>
      </c>
      <c r="G5" s="16">
        <v>1</v>
      </c>
      <c r="H5" s="66">
        <v>1</v>
      </c>
      <c r="I5" s="98"/>
      <c r="J5" s="65"/>
    </row>
    <row r="6" spans="1:10" ht="15.95" customHeight="1" x14ac:dyDescent="0.3">
      <c r="A6" s="73">
        <f t="shared" si="0"/>
        <v>4</v>
      </c>
      <c r="B6" s="59" t="s">
        <v>30</v>
      </c>
      <c r="C6" s="66" t="s">
        <v>608</v>
      </c>
      <c r="D6" s="66" t="s">
        <v>651</v>
      </c>
      <c r="E6" s="16" t="s">
        <v>59</v>
      </c>
      <c r="F6" s="16">
        <v>3</v>
      </c>
      <c r="G6" s="16">
        <f t="shared" ref="G6:G66" si="1">IF(OR(E6="U16",E6="S16"),1,IF(E6="TS",6,IF(E6="U64",4,2)))</f>
        <v>2</v>
      </c>
      <c r="H6" s="66">
        <v>1</v>
      </c>
      <c r="I6" s="98"/>
    </row>
    <row r="7" spans="1:10" ht="15.95" customHeight="1" x14ac:dyDescent="0.3">
      <c r="A7" s="73">
        <f t="shared" ref="A7" si="2">A6+(G6*H6)</f>
        <v>6</v>
      </c>
      <c r="B7" s="59" t="s">
        <v>147</v>
      </c>
      <c r="C7" s="66"/>
      <c r="D7" s="45" t="s">
        <v>652</v>
      </c>
      <c r="E7" s="16" t="s">
        <v>58</v>
      </c>
      <c r="F7" s="16">
        <v>3</v>
      </c>
      <c r="G7" s="16">
        <f t="shared" si="1"/>
        <v>2</v>
      </c>
      <c r="H7" s="66">
        <v>1</v>
      </c>
      <c r="I7" s="98"/>
    </row>
    <row r="8" spans="1:10" ht="15.95" customHeight="1" x14ac:dyDescent="0.3">
      <c r="A8" s="73">
        <f t="shared" ref="A8:A73" si="3">A7+(G7*H7)</f>
        <v>8</v>
      </c>
      <c r="B8" s="59" t="s">
        <v>154</v>
      </c>
      <c r="C8" s="61" t="s">
        <v>630</v>
      </c>
      <c r="D8" s="129" t="s">
        <v>142</v>
      </c>
      <c r="E8" s="73" t="s">
        <v>59</v>
      </c>
      <c r="F8" s="16">
        <v>3</v>
      </c>
      <c r="G8" s="16">
        <f t="shared" si="1"/>
        <v>2</v>
      </c>
      <c r="H8" s="66">
        <v>1</v>
      </c>
      <c r="I8" s="98"/>
    </row>
    <row r="9" spans="1:10" ht="15.95" customHeight="1" x14ac:dyDescent="0.3">
      <c r="A9" s="73">
        <f t="shared" si="3"/>
        <v>10</v>
      </c>
      <c r="B9" s="59" t="s">
        <v>155</v>
      </c>
      <c r="C9" s="61" t="s">
        <v>631</v>
      </c>
      <c r="D9" s="129"/>
      <c r="E9" s="73" t="s">
        <v>59</v>
      </c>
      <c r="F9" s="16">
        <v>3</v>
      </c>
      <c r="G9" s="16">
        <f t="shared" si="1"/>
        <v>2</v>
      </c>
      <c r="H9" s="66">
        <v>1</v>
      </c>
      <c r="I9" s="98"/>
    </row>
    <row r="10" spans="1:10" ht="15.95" customHeight="1" x14ac:dyDescent="0.3">
      <c r="A10" s="73">
        <f t="shared" si="3"/>
        <v>12</v>
      </c>
      <c r="B10" s="59" t="s">
        <v>156</v>
      </c>
      <c r="C10" s="61" t="s">
        <v>632</v>
      </c>
      <c r="D10" s="129"/>
      <c r="E10" s="73" t="s">
        <v>59</v>
      </c>
      <c r="F10" s="16">
        <v>3</v>
      </c>
      <c r="G10" s="16">
        <f t="shared" si="1"/>
        <v>2</v>
      </c>
      <c r="H10" s="66">
        <v>1</v>
      </c>
      <c r="I10" s="98"/>
    </row>
    <row r="11" spans="1:10" ht="15.95" customHeight="1" x14ac:dyDescent="0.3">
      <c r="A11" s="73">
        <f t="shared" si="3"/>
        <v>14</v>
      </c>
      <c r="B11" s="59" t="s">
        <v>162</v>
      </c>
      <c r="C11" s="61" t="s">
        <v>633</v>
      </c>
      <c r="D11" s="129"/>
      <c r="E11" s="73" t="s">
        <v>59</v>
      </c>
      <c r="F11" s="16">
        <v>3</v>
      </c>
      <c r="G11" s="16">
        <f t="shared" si="1"/>
        <v>2</v>
      </c>
      <c r="H11" s="66">
        <v>1</v>
      </c>
      <c r="I11" s="98"/>
    </row>
    <row r="12" spans="1:10" ht="15.95" customHeight="1" x14ac:dyDescent="0.3">
      <c r="A12" s="73">
        <f t="shared" si="3"/>
        <v>16</v>
      </c>
      <c r="B12" s="59" t="s">
        <v>158</v>
      </c>
      <c r="C12" s="59" t="s">
        <v>609</v>
      </c>
      <c r="D12" s="129"/>
      <c r="E12" s="73" t="s">
        <v>59</v>
      </c>
      <c r="F12" s="16">
        <v>3</v>
      </c>
      <c r="G12" s="16">
        <f t="shared" si="1"/>
        <v>2</v>
      </c>
      <c r="H12" s="66">
        <v>1</v>
      </c>
      <c r="I12" s="98"/>
    </row>
    <row r="13" spans="1:10" ht="15.95" customHeight="1" x14ac:dyDescent="0.3">
      <c r="A13" s="73">
        <f t="shared" si="3"/>
        <v>18</v>
      </c>
      <c r="B13" s="59" t="s">
        <v>159</v>
      </c>
      <c r="C13" s="59" t="s">
        <v>610</v>
      </c>
      <c r="D13" s="129"/>
      <c r="E13" s="73" t="s">
        <v>59</v>
      </c>
      <c r="F13" s="16">
        <v>3</v>
      </c>
      <c r="G13" s="16">
        <f t="shared" si="1"/>
        <v>2</v>
      </c>
      <c r="H13" s="66">
        <v>1</v>
      </c>
      <c r="I13" s="98"/>
    </row>
    <row r="14" spans="1:10" ht="15.95" customHeight="1" x14ac:dyDescent="0.3">
      <c r="A14" s="73">
        <f t="shared" si="3"/>
        <v>20</v>
      </c>
      <c r="B14" s="59" t="s">
        <v>160</v>
      </c>
      <c r="C14" s="59" t="s">
        <v>611</v>
      </c>
      <c r="D14" s="129"/>
      <c r="E14" s="73" t="s">
        <v>59</v>
      </c>
      <c r="F14" s="16">
        <v>3</v>
      </c>
      <c r="G14" s="16">
        <f t="shared" si="1"/>
        <v>2</v>
      </c>
      <c r="H14" s="66">
        <v>1</v>
      </c>
      <c r="I14" s="98"/>
    </row>
    <row r="15" spans="1:10" ht="15.95" customHeight="1" x14ac:dyDescent="0.3">
      <c r="A15" s="73">
        <f t="shared" si="3"/>
        <v>22</v>
      </c>
      <c r="B15" s="59" t="s">
        <v>161</v>
      </c>
      <c r="C15" s="59" t="s">
        <v>634</v>
      </c>
      <c r="D15" s="129"/>
      <c r="E15" s="73" t="s">
        <v>59</v>
      </c>
      <c r="F15" s="16">
        <v>3</v>
      </c>
      <c r="G15" s="16">
        <f t="shared" si="1"/>
        <v>2</v>
      </c>
      <c r="H15" s="66">
        <v>1</v>
      </c>
      <c r="I15" s="98"/>
    </row>
    <row r="16" spans="1:10" ht="15.95" customHeight="1" x14ac:dyDescent="0.3">
      <c r="A16" s="66">
        <f t="shared" si="3"/>
        <v>24</v>
      </c>
      <c r="B16" s="9" t="s">
        <v>190</v>
      </c>
      <c r="C16" s="35"/>
      <c r="D16" s="123" t="s">
        <v>146</v>
      </c>
      <c r="E16" s="16" t="s">
        <v>59</v>
      </c>
      <c r="F16" s="16">
        <v>3</v>
      </c>
      <c r="G16" s="16">
        <f t="shared" si="1"/>
        <v>2</v>
      </c>
      <c r="H16" s="66">
        <v>1</v>
      </c>
      <c r="I16" s="98"/>
      <c r="J16" s="10" t="s">
        <v>181</v>
      </c>
    </row>
    <row r="17" spans="1:10" ht="15.95" customHeight="1" x14ac:dyDescent="0.3">
      <c r="A17" s="66">
        <f t="shared" si="3"/>
        <v>26</v>
      </c>
      <c r="B17" s="9" t="s">
        <v>191</v>
      </c>
      <c r="C17" s="66"/>
      <c r="D17" s="123"/>
      <c r="E17" s="16" t="s">
        <v>58</v>
      </c>
      <c r="F17" s="16">
        <v>3</v>
      </c>
      <c r="G17" s="16">
        <f t="shared" si="1"/>
        <v>2</v>
      </c>
      <c r="H17" s="66">
        <v>1</v>
      </c>
      <c r="I17" s="98"/>
      <c r="J17" s="10" t="s">
        <v>182</v>
      </c>
    </row>
    <row r="18" spans="1:10" ht="15.95" customHeight="1" x14ac:dyDescent="0.3">
      <c r="A18" s="66">
        <f t="shared" si="3"/>
        <v>28</v>
      </c>
      <c r="B18" s="9" t="s">
        <v>169</v>
      </c>
      <c r="C18" s="123"/>
      <c r="D18" s="35"/>
      <c r="E18" s="16" t="s">
        <v>59</v>
      </c>
      <c r="F18" s="16">
        <v>3</v>
      </c>
      <c r="G18" s="16">
        <f t="shared" si="1"/>
        <v>2</v>
      </c>
      <c r="H18" s="66">
        <v>1</v>
      </c>
      <c r="I18" s="98"/>
    </row>
    <row r="19" spans="1:10" ht="15.95" customHeight="1" x14ac:dyDescent="0.3">
      <c r="A19" s="66">
        <f t="shared" si="3"/>
        <v>30</v>
      </c>
      <c r="B19" s="9" t="s">
        <v>170</v>
      </c>
      <c r="C19" s="123"/>
      <c r="D19" s="35"/>
      <c r="E19" s="16" t="s">
        <v>59</v>
      </c>
      <c r="F19" s="16">
        <v>3</v>
      </c>
      <c r="G19" s="16">
        <f t="shared" si="1"/>
        <v>2</v>
      </c>
      <c r="H19" s="66">
        <v>1</v>
      </c>
      <c r="I19" s="98"/>
    </row>
    <row r="20" spans="1:10" ht="15.95" customHeight="1" x14ac:dyDescent="0.3">
      <c r="A20" s="66">
        <f t="shared" si="3"/>
        <v>32</v>
      </c>
      <c r="B20" s="9" t="s">
        <v>171</v>
      </c>
      <c r="C20" s="123"/>
      <c r="D20" s="35"/>
      <c r="E20" s="16" t="s">
        <v>59</v>
      </c>
      <c r="F20" s="16">
        <v>3</v>
      </c>
      <c r="G20" s="16">
        <f t="shared" si="1"/>
        <v>2</v>
      </c>
      <c r="H20" s="66">
        <v>1</v>
      </c>
      <c r="I20" s="98"/>
    </row>
    <row r="21" spans="1:10" ht="15.95" customHeight="1" x14ac:dyDescent="0.3">
      <c r="A21" s="66">
        <f t="shared" si="3"/>
        <v>34</v>
      </c>
      <c r="B21" s="9" t="s">
        <v>172</v>
      </c>
      <c r="C21" s="123"/>
      <c r="D21" s="35"/>
      <c r="E21" s="16" t="s">
        <v>59</v>
      </c>
      <c r="F21" s="16">
        <v>3</v>
      </c>
      <c r="G21" s="16">
        <f t="shared" si="1"/>
        <v>2</v>
      </c>
      <c r="H21" s="66">
        <v>1</v>
      </c>
      <c r="I21" s="98"/>
    </row>
    <row r="22" spans="1:10" ht="15.95" customHeight="1" x14ac:dyDescent="0.3">
      <c r="A22" s="66">
        <f t="shared" si="3"/>
        <v>36</v>
      </c>
      <c r="B22" s="9" t="s">
        <v>173</v>
      </c>
      <c r="C22" s="123"/>
      <c r="D22" s="35"/>
      <c r="E22" s="16" t="s">
        <v>59</v>
      </c>
      <c r="F22" s="16">
        <v>3</v>
      </c>
      <c r="G22" s="16">
        <f t="shared" si="1"/>
        <v>2</v>
      </c>
      <c r="H22" s="66">
        <v>1</v>
      </c>
      <c r="I22" s="98"/>
    </row>
    <row r="23" spans="1:10" ht="15.95" customHeight="1" x14ac:dyDescent="0.3">
      <c r="A23" s="66">
        <f t="shared" si="3"/>
        <v>38</v>
      </c>
      <c r="B23" s="9" t="s">
        <v>177</v>
      </c>
      <c r="C23" s="123"/>
      <c r="D23" s="35"/>
      <c r="E23" s="16" t="s">
        <v>59</v>
      </c>
      <c r="F23" s="16">
        <v>3</v>
      </c>
      <c r="G23" s="16">
        <f t="shared" si="1"/>
        <v>2</v>
      </c>
      <c r="H23" s="66">
        <v>1</v>
      </c>
      <c r="I23" s="98"/>
    </row>
    <row r="24" spans="1:10" ht="15.95" customHeight="1" x14ac:dyDescent="0.3">
      <c r="A24" s="66">
        <f t="shared" si="3"/>
        <v>40</v>
      </c>
      <c r="B24" s="9" t="s">
        <v>174</v>
      </c>
      <c r="C24" s="123"/>
      <c r="D24" s="35"/>
      <c r="E24" s="16" t="s">
        <v>59</v>
      </c>
      <c r="F24" s="16">
        <v>3</v>
      </c>
      <c r="G24" s="16">
        <f t="shared" si="1"/>
        <v>2</v>
      </c>
      <c r="H24" s="66">
        <v>1</v>
      </c>
      <c r="I24" s="98"/>
    </row>
    <row r="25" spans="1:10" ht="15.95" customHeight="1" x14ac:dyDescent="0.3">
      <c r="A25" s="66">
        <f t="shared" si="3"/>
        <v>42</v>
      </c>
      <c r="B25" s="9" t="s">
        <v>175</v>
      </c>
      <c r="C25" s="123"/>
      <c r="D25" s="35"/>
      <c r="E25" s="16" t="s">
        <v>59</v>
      </c>
      <c r="F25" s="16">
        <v>3</v>
      </c>
      <c r="G25" s="16">
        <f t="shared" si="1"/>
        <v>2</v>
      </c>
      <c r="H25" s="66">
        <v>1</v>
      </c>
      <c r="I25" s="98"/>
    </row>
    <row r="26" spans="1:10" ht="15.95" customHeight="1" x14ac:dyDescent="0.3">
      <c r="A26" s="66">
        <f t="shared" si="3"/>
        <v>44</v>
      </c>
      <c r="B26" s="9" t="s">
        <v>176</v>
      </c>
      <c r="C26" s="123"/>
      <c r="D26" s="35"/>
      <c r="E26" s="16" t="s">
        <v>59</v>
      </c>
      <c r="F26" s="16">
        <v>3</v>
      </c>
      <c r="G26" s="16">
        <f t="shared" si="1"/>
        <v>2</v>
      </c>
      <c r="H26" s="66">
        <v>1</v>
      </c>
      <c r="I26" s="98"/>
    </row>
    <row r="27" spans="1:10" ht="15.95" customHeight="1" x14ac:dyDescent="0.3">
      <c r="A27" s="66">
        <f t="shared" si="3"/>
        <v>46</v>
      </c>
      <c r="B27" s="9" t="s">
        <v>163</v>
      </c>
      <c r="C27" s="123"/>
      <c r="D27" s="66" t="s">
        <v>146</v>
      </c>
      <c r="E27" s="16" t="s">
        <v>59</v>
      </c>
      <c r="F27" s="16">
        <v>3</v>
      </c>
      <c r="G27" s="16">
        <f t="shared" si="1"/>
        <v>2</v>
      </c>
      <c r="H27" s="66">
        <v>1</v>
      </c>
      <c r="I27" s="98"/>
    </row>
    <row r="28" spans="1:10" ht="15.95" customHeight="1" x14ac:dyDescent="0.3">
      <c r="A28" s="66">
        <f t="shared" si="3"/>
        <v>48</v>
      </c>
      <c r="B28" s="9" t="s">
        <v>164</v>
      </c>
      <c r="C28" s="123"/>
      <c r="D28" s="66" t="s">
        <v>146</v>
      </c>
      <c r="E28" s="16" t="s">
        <v>59</v>
      </c>
      <c r="F28" s="16">
        <v>3</v>
      </c>
      <c r="G28" s="16">
        <f t="shared" si="1"/>
        <v>2</v>
      </c>
      <c r="H28" s="66">
        <v>1</v>
      </c>
      <c r="I28" s="98"/>
    </row>
    <row r="29" spans="1:10" ht="15.95" customHeight="1" x14ac:dyDescent="0.3">
      <c r="A29" s="66">
        <f t="shared" si="3"/>
        <v>50</v>
      </c>
      <c r="B29" s="9" t="s">
        <v>165</v>
      </c>
      <c r="C29" s="123"/>
      <c r="D29" s="66" t="s">
        <v>146</v>
      </c>
      <c r="E29" s="16" t="s">
        <v>59</v>
      </c>
      <c r="F29" s="16">
        <v>3</v>
      </c>
      <c r="G29" s="16">
        <f t="shared" si="1"/>
        <v>2</v>
      </c>
      <c r="H29" s="66">
        <v>1</v>
      </c>
      <c r="I29" s="98"/>
    </row>
    <row r="30" spans="1:10" ht="15.95" customHeight="1" x14ac:dyDescent="0.3">
      <c r="A30" s="66">
        <f t="shared" si="3"/>
        <v>52</v>
      </c>
      <c r="B30" s="9" t="s">
        <v>166</v>
      </c>
      <c r="C30" s="66"/>
      <c r="D30" s="66" t="s">
        <v>146</v>
      </c>
      <c r="E30" s="16" t="s">
        <v>59</v>
      </c>
      <c r="F30" s="16">
        <v>3</v>
      </c>
      <c r="G30" s="16">
        <f t="shared" si="1"/>
        <v>2</v>
      </c>
      <c r="H30" s="66">
        <v>1</v>
      </c>
      <c r="I30" s="98"/>
    </row>
    <row r="31" spans="1:10" ht="15.95" customHeight="1" x14ac:dyDescent="0.3">
      <c r="A31" s="66">
        <f t="shared" si="3"/>
        <v>54</v>
      </c>
      <c r="B31" s="9" t="s">
        <v>167</v>
      </c>
      <c r="C31" s="66"/>
      <c r="D31" s="66" t="s">
        <v>146</v>
      </c>
      <c r="E31" s="16" t="s">
        <v>59</v>
      </c>
      <c r="F31" s="16">
        <v>3</v>
      </c>
      <c r="G31" s="16">
        <f t="shared" si="1"/>
        <v>2</v>
      </c>
      <c r="H31" s="66">
        <v>1</v>
      </c>
      <c r="I31" s="98"/>
    </row>
    <row r="32" spans="1:10" ht="15.95" customHeight="1" x14ac:dyDescent="0.3">
      <c r="A32" s="66">
        <f t="shared" si="3"/>
        <v>56</v>
      </c>
      <c r="B32" s="9" t="s">
        <v>168</v>
      </c>
      <c r="C32" s="66"/>
      <c r="D32" s="66" t="s">
        <v>146</v>
      </c>
      <c r="E32" s="16" t="s">
        <v>59</v>
      </c>
      <c r="F32" s="16">
        <v>3</v>
      </c>
      <c r="G32" s="16">
        <f t="shared" si="1"/>
        <v>2</v>
      </c>
      <c r="H32" s="66">
        <v>1</v>
      </c>
      <c r="I32" s="98"/>
    </row>
    <row r="33" spans="1:10" ht="15.95" customHeight="1" x14ac:dyDescent="0.3">
      <c r="A33" s="66">
        <f t="shared" si="3"/>
        <v>58</v>
      </c>
      <c r="B33" s="59" t="s">
        <v>0</v>
      </c>
      <c r="C33" s="61" t="s">
        <v>635</v>
      </c>
      <c r="D33" s="129" t="s">
        <v>653</v>
      </c>
      <c r="E33" s="73" t="s">
        <v>59</v>
      </c>
      <c r="F33" s="16">
        <v>3</v>
      </c>
      <c r="G33" s="16">
        <f t="shared" si="1"/>
        <v>2</v>
      </c>
      <c r="H33" s="66">
        <v>1</v>
      </c>
      <c r="I33" s="98"/>
    </row>
    <row r="34" spans="1:10" ht="15.95" customHeight="1" x14ac:dyDescent="0.3">
      <c r="A34" s="66">
        <f t="shared" si="3"/>
        <v>60</v>
      </c>
      <c r="B34" s="59" t="s">
        <v>1</v>
      </c>
      <c r="C34" s="61" t="s">
        <v>636</v>
      </c>
      <c r="D34" s="129"/>
      <c r="E34" s="73" t="s">
        <v>59</v>
      </c>
      <c r="F34" s="16">
        <v>3</v>
      </c>
      <c r="G34" s="16">
        <f t="shared" si="1"/>
        <v>2</v>
      </c>
      <c r="H34" s="66">
        <v>1</v>
      </c>
      <c r="I34" s="98"/>
    </row>
    <row r="35" spans="1:10" ht="15.95" customHeight="1" x14ac:dyDescent="0.3">
      <c r="A35" s="73">
        <f t="shared" si="3"/>
        <v>62</v>
      </c>
      <c r="B35" s="59" t="s">
        <v>2</v>
      </c>
      <c r="C35" s="61" t="s">
        <v>637</v>
      </c>
      <c r="D35" s="129"/>
      <c r="E35" s="73" t="s">
        <v>59</v>
      </c>
      <c r="F35" s="16">
        <v>3</v>
      </c>
      <c r="G35" s="16">
        <f t="shared" si="1"/>
        <v>2</v>
      </c>
      <c r="H35" s="66">
        <v>1</v>
      </c>
      <c r="I35" s="98"/>
    </row>
    <row r="36" spans="1:10" ht="15.95" customHeight="1" x14ac:dyDescent="0.3">
      <c r="A36" s="73">
        <f t="shared" si="3"/>
        <v>64</v>
      </c>
      <c r="B36" s="59" t="s">
        <v>149</v>
      </c>
      <c r="C36" s="73"/>
      <c r="D36" s="129"/>
      <c r="E36" s="73" t="s">
        <v>59</v>
      </c>
      <c r="F36" s="16">
        <v>3</v>
      </c>
      <c r="G36" s="16">
        <f t="shared" si="1"/>
        <v>2</v>
      </c>
      <c r="H36" s="66">
        <v>1</v>
      </c>
      <c r="I36" s="98"/>
    </row>
    <row r="37" spans="1:10" ht="15.95" customHeight="1" x14ac:dyDescent="0.3">
      <c r="A37" s="73">
        <f t="shared" si="3"/>
        <v>66</v>
      </c>
      <c r="B37" s="59" t="s">
        <v>5</v>
      </c>
      <c r="C37" s="73"/>
      <c r="D37" s="129"/>
      <c r="E37" s="73" t="s">
        <v>59</v>
      </c>
      <c r="F37" s="16">
        <v>3</v>
      </c>
      <c r="G37" s="16">
        <f t="shared" si="1"/>
        <v>2</v>
      </c>
      <c r="H37" s="66">
        <v>1</v>
      </c>
      <c r="I37" s="98"/>
    </row>
    <row r="38" spans="1:10" ht="15.95" customHeight="1" x14ac:dyDescent="0.3">
      <c r="A38" s="73">
        <f t="shared" si="3"/>
        <v>68</v>
      </c>
      <c r="B38" s="59" t="s">
        <v>40</v>
      </c>
      <c r="C38" s="73"/>
      <c r="D38" s="73"/>
      <c r="E38" s="73" t="s">
        <v>59</v>
      </c>
      <c r="F38" s="16">
        <v>3</v>
      </c>
      <c r="G38" s="16">
        <f t="shared" si="1"/>
        <v>2</v>
      </c>
      <c r="H38" s="66">
        <v>1</v>
      </c>
      <c r="I38" s="91"/>
      <c r="J38" s="9" t="s">
        <v>592</v>
      </c>
    </row>
    <row r="39" spans="1:10" ht="15.95" customHeight="1" x14ac:dyDescent="0.3">
      <c r="A39" s="73">
        <f t="shared" si="3"/>
        <v>70</v>
      </c>
      <c r="B39" s="59" t="s">
        <v>590</v>
      </c>
      <c r="C39" s="73" t="s">
        <v>591</v>
      </c>
      <c r="D39" s="73"/>
      <c r="E39" s="73" t="s">
        <v>59</v>
      </c>
      <c r="F39" s="16">
        <v>3</v>
      </c>
      <c r="G39" s="16">
        <f t="shared" si="1"/>
        <v>2</v>
      </c>
      <c r="H39" s="66">
        <v>1</v>
      </c>
      <c r="I39" s="98"/>
      <c r="J39" s="10" t="s">
        <v>593</v>
      </c>
    </row>
    <row r="40" spans="1:10" ht="15.95" customHeight="1" x14ac:dyDescent="0.3">
      <c r="A40" s="73">
        <f t="shared" si="3"/>
        <v>72</v>
      </c>
      <c r="B40" s="59" t="s">
        <v>667</v>
      </c>
      <c r="C40" s="73"/>
      <c r="D40" s="73"/>
      <c r="E40" s="73" t="s">
        <v>59</v>
      </c>
      <c r="F40" s="16">
        <v>3</v>
      </c>
      <c r="G40" s="16">
        <f t="shared" si="1"/>
        <v>2</v>
      </c>
      <c r="H40" s="66">
        <v>1</v>
      </c>
      <c r="I40" s="98"/>
    </row>
    <row r="41" spans="1:10" ht="15.95" customHeight="1" x14ac:dyDescent="0.3">
      <c r="A41" s="66">
        <f t="shared" si="3"/>
        <v>74</v>
      </c>
      <c r="B41" s="9" t="s">
        <v>183</v>
      </c>
      <c r="C41" s="123"/>
      <c r="D41" s="66"/>
      <c r="E41" s="16" t="s">
        <v>59</v>
      </c>
      <c r="F41" s="16">
        <v>3</v>
      </c>
      <c r="G41" s="16">
        <f t="shared" si="1"/>
        <v>2</v>
      </c>
      <c r="H41" s="66">
        <v>1</v>
      </c>
      <c r="I41" s="98"/>
    </row>
    <row r="42" spans="1:10" ht="15.95" customHeight="1" x14ac:dyDescent="0.3">
      <c r="A42" s="66">
        <f t="shared" si="3"/>
        <v>76</v>
      </c>
      <c r="B42" s="9" t="s">
        <v>184</v>
      </c>
      <c r="C42" s="123"/>
      <c r="D42" s="66"/>
      <c r="E42" s="16" t="s">
        <v>59</v>
      </c>
      <c r="F42" s="16">
        <v>3</v>
      </c>
      <c r="G42" s="16">
        <f t="shared" si="1"/>
        <v>2</v>
      </c>
      <c r="H42" s="66">
        <v>1</v>
      </c>
      <c r="I42" s="98"/>
    </row>
    <row r="43" spans="1:10" ht="15.95" customHeight="1" x14ac:dyDescent="0.3">
      <c r="A43" s="66">
        <f t="shared" si="3"/>
        <v>78</v>
      </c>
      <c r="B43" s="9" t="s">
        <v>185</v>
      </c>
      <c r="C43" s="123"/>
      <c r="D43" s="66"/>
      <c r="E43" s="16" t="s">
        <v>59</v>
      </c>
      <c r="F43" s="16">
        <v>3</v>
      </c>
      <c r="G43" s="16">
        <f t="shared" si="1"/>
        <v>2</v>
      </c>
      <c r="H43" s="66">
        <v>1</v>
      </c>
      <c r="I43" s="98"/>
    </row>
    <row r="44" spans="1:10" ht="15.95" customHeight="1" x14ac:dyDescent="0.3">
      <c r="A44" s="66">
        <f t="shared" si="3"/>
        <v>80</v>
      </c>
      <c r="B44" s="9" t="s">
        <v>186</v>
      </c>
      <c r="C44" s="123"/>
      <c r="D44" s="66"/>
      <c r="E44" s="16" t="s">
        <v>59</v>
      </c>
      <c r="F44" s="16">
        <v>3</v>
      </c>
      <c r="G44" s="16">
        <f t="shared" si="1"/>
        <v>2</v>
      </c>
      <c r="H44" s="66">
        <v>1</v>
      </c>
      <c r="I44" s="98"/>
    </row>
    <row r="45" spans="1:10" ht="15.95" customHeight="1" x14ac:dyDescent="0.3">
      <c r="A45" s="66">
        <f t="shared" si="3"/>
        <v>82</v>
      </c>
      <c r="B45" s="9" t="s">
        <v>187</v>
      </c>
      <c r="C45" s="123"/>
      <c r="D45" s="66"/>
      <c r="E45" s="16" t="s">
        <v>59</v>
      </c>
      <c r="F45" s="16">
        <v>3</v>
      </c>
      <c r="G45" s="16">
        <f t="shared" si="1"/>
        <v>2</v>
      </c>
      <c r="H45" s="66">
        <v>1</v>
      </c>
      <c r="I45" s="98"/>
    </row>
    <row r="46" spans="1:10" ht="15.95" customHeight="1" x14ac:dyDescent="0.3">
      <c r="A46" s="66">
        <f t="shared" si="3"/>
        <v>84</v>
      </c>
      <c r="B46" s="9" t="s">
        <v>188</v>
      </c>
      <c r="C46" s="123"/>
      <c r="D46" s="66"/>
      <c r="E46" s="16" t="s">
        <v>59</v>
      </c>
      <c r="F46" s="16">
        <v>3</v>
      </c>
      <c r="G46" s="16">
        <f t="shared" si="1"/>
        <v>2</v>
      </c>
      <c r="H46" s="66">
        <v>1</v>
      </c>
      <c r="I46" s="98"/>
    </row>
    <row r="47" spans="1:10" ht="15.95" customHeight="1" x14ac:dyDescent="0.3">
      <c r="A47" s="66">
        <f t="shared" si="3"/>
        <v>86</v>
      </c>
      <c r="B47" s="9" t="s">
        <v>192</v>
      </c>
      <c r="C47" s="123"/>
      <c r="D47" s="66"/>
      <c r="E47" s="16" t="s">
        <v>59</v>
      </c>
      <c r="F47" s="16">
        <v>3</v>
      </c>
      <c r="G47" s="16">
        <f t="shared" si="1"/>
        <v>2</v>
      </c>
      <c r="H47" s="66">
        <v>1</v>
      </c>
      <c r="I47" s="98"/>
    </row>
    <row r="48" spans="1:10" ht="15.95" customHeight="1" x14ac:dyDescent="0.3">
      <c r="A48" s="66">
        <f t="shared" si="3"/>
        <v>88</v>
      </c>
      <c r="B48" s="9" t="s">
        <v>193</v>
      </c>
      <c r="C48" s="123"/>
      <c r="D48" s="66"/>
      <c r="E48" s="16" t="s">
        <v>59</v>
      </c>
      <c r="F48" s="16">
        <v>3</v>
      </c>
      <c r="G48" s="16">
        <f t="shared" si="1"/>
        <v>2</v>
      </c>
      <c r="H48" s="66">
        <v>1</v>
      </c>
      <c r="I48" s="98"/>
    </row>
    <row r="49" spans="1:9" ht="15.95" customHeight="1" x14ac:dyDescent="0.3">
      <c r="A49" s="66">
        <f t="shared" si="3"/>
        <v>90</v>
      </c>
      <c r="B49" s="9" t="s">
        <v>194</v>
      </c>
      <c r="C49" s="123"/>
      <c r="D49" s="66"/>
      <c r="E49" s="16" t="s">
        <v>59</v>
      </c>
      <c r="F49" s="16">
        <v>3</v>
      </c>
      <c r="G49" s="16">
        <f t="shared" si="1"/>
        <v>2</v>
      </c>
      <c r="H49" s="66">
        <v>1</v>
      </c>
      <c r="I49" s="98"/>
    </row>
    <row r="50" spans="1:9" ht="15.95" customHeight="1" x14ac:dyDescent="0.3">
      <c r="A50" s="66">
        <f t="shared" si="3"/>
        <v>92</v>
      </c>
      <c r="B50" s="9" t="s">
        <v>195</v>
      </c>
      <c r="C50" s="66"/>
      <c r="D50" s="123" t="s">
        <v>146</v>
      </c>
      <c r="E50" s="16" t="s">
        <v>59</v>
      </c>
      <c r="F50" s="16">
        <v>3</v>
      </c>
      <c r="G50" s="16">
        <f t="shared" si="1"/>
        <v>2</v>
      </c>
      <c r="H50" s="66">
        <v>1</v>
      </c>
      <c r="I50" s="98"/>
    </row>
    <row r="51" spans="1:9" ht="15.95" customHeight="1" x14ac:dyDescent="0.3">
      <c r="A51" s="66">
        <f t="shared" si="3"/>
        <v>94</v>
      </c>
      <c r="B51" s="9" t="s">
        <v>189</v>
      </c>
      <c r="C51" s="66"/>
      <c r="D51" s="123"/>
      <c r="E51" s="16" t="s">
        <v>59</v>
      </c>
      <c r="F51" s="16">
        <v>3</v>
      </c>
      <c r="G51" s="16">
        <f t="shared" si="1"/>
        <v>2</v>
      </c>
      <c r="H51" s="66">
        <v>1</v>
      </c>
      <c r="I51" s="98"/>
    </row>
    <row r="52" spans="1:9" ht="15.95" customHeight="1" x14ac:dyDescent="0.3">
      <c r="A52" s="66">
        <f t="shared" si="3"/>
        <v>96</v>
      </c>
      <c r="B52" s="59" t="s">
        <v>60</v>
      </c>
      <c r="C52" s="61" t="s">
        <v>612</v>
      </c>
      <c r="D52" s="129" t="s">
        <v>604</v>
      </c>
      <c r="E52" s="73" t="s">
        <v>59</v>
      </c>
      <c r="F52" s="16">
        <v>3</v>
      </c>
      <c r="G52" s="16">
        <f t="shared" si="1"/>
        <v>2</v>
      </c>
      <c r="H52" s="66">
        <v>1</v>
      </c>
      <c r="I52" s="98"/>
    </row>
    <row r="53" spans="1:9" ht="15.95" customHeight="1" x14ac:dyDescent="0.3">
      <c r="A53" s="73">
        <f t="shared" si="3"/>
        <v>98</v>
      </c>
      <c r="B53" s="59" t="s">
        <v>148</v>
      </c>
      <c r="C53" s="61" t="s">
        <v>613</v>
      </c>
      <c r="D53" s="129"/>
      <c r="E53" s="73" t="s">
        <v>59</v>
      </c>
      <c r="F53" s="16">
        <v>3</v>
      </c>
      <c r="G53" s="16">
        <f t="shared" si="1"/>
        <v>2</v>
      </c>
      <c r="H53" s="66">
        <v>1</v>
      </c>
      <c r="I53" s="98"/>
    </row>
    <row r="54" spans="1:9" ht="15.95" customHeight="1" x14ac:dyDescent="0.3">
      <c r="A54" s="73">
        <f t="shared" si="3"/>
        <v>100</v>
      </c>
      <c r="B54" s="59" t="s">
        <v>4</v>
      </c>
      <c r="C54" s="61" t="s">
        <v>614</v>
      </c>
      <c r="D54" s="129"/>
      <c r="E54" s="73" t="s">
        <v>59</v>
      </c>
      <c r="F54" s="16">
        <v>3</v>
      </c>
      <c r="G54" s="16">
        <f t="shared" si="1"/>
        <v>2</v>
      </c>
      <c r="H54" s="66">
        <v>1</v>
      </c>
      <c r="I54" s="98"/>
    </row>
    <row r="55" spans="1:9" ht="15.95" customHeight="1" x14ac:dyDescent="0.3">
      <c r="A55" s="73">
        <f t="shared" si="3"/>
        <v>102</v>
      </c>
      <c r="B55" s="59" t="s">
        <v>61</v>
      </c>
      <c r="C55" s="61" t="s">
        <v>615</v>
      </c>
      <c r="D55" s="129"/>
      <c r="E55" s="73" t="s">
        <v>59</v>
      </c>
      <c r="F55" s="16">
        <v>3</v>
      </c>
      <c r="G55" s="16">
        <f t="shared" si="1"/>
        <v>2</v>
      </c>
      <c r="H55" s="66">
        <v>1</v>
      </c>
      <c r="I55" s="98"/>
    </row>
    <row r="56" spans="1:9" ht="15.95" customHeight="1" x14ac:dyDescent="0.3">
      <c r="A56" s="73">
        <f t="shared" si="3"/>
        <v>104</v>
      </c>
      <c r="B56" s="59" t="s">
        <v>68</v>
      </c>
      <c r="C56" s="61"/>
      <c r="D56" s="129"/>
      <c r="E56" s="73" t="s">
        <v>59</v>
      </c>
      <c r="F56" s="16">
        <v>3</v>
      </c>
      <c r="G56" s="16">
        <f t="shared" si="1"/>
        <v>2</v>
      </c>
      <c r="H56" s="66">
        <v>1</v>
      </c>
      <c r="I56" s="98"/>
    </row>
    <row r="57" spans="1:9" ht="15.95" customHeight="1" x14ac:dyDescent="0.3">
      <c r="A57" s="73">
        <f t="shared" si="3"/>
        <v>106</v>
      </c>
      <c r="B57" s="59" t="s">
        <v>69</v>
      </c>
      <c r="C57" s="61"/>
      <c r="D57" s="129"/>
      <c r="E57" s="73" t="s">
        <v>59</v>
      </c>
      <c r="F57" s="16">
        <v>3</v>
      </c>
      <c r="G57" s="16">
        <f t="shared" si="1"/>
        <v>2</v>
      </c>
      <c r="H57" s="66">
        <v>1</v>
      </c>
      <c r="I57" s="98"/>
    </row>
    <row r="58" spans="1:9" ht="15.95" customHeight="1" x14ac:dyDescent="0.3">
      <c r="A58" s="73">
        <f t="shared" si="3"/>
        <v>108</v>
      </c>
      <c r="B58" s="59" t="s">
        <v>70</v>
      </c>
      <c r="C58" s="61"/>
      <c r="D58" s="129"/>
      <c r="E58" s="73" t="s">
        <v>59</v>
      </c>
      <c r="F58" s="16">
        <v>3</v>
      </c>
      <c r="G58" s="16">
        <f t="shared" si="1"/>
        <v>2</v>
      </c>
      <c r="H58" s="66">
        <v>1</v>
      </c>
      <c r="I58" s="98"/>
    </row>
    <row r="59" spans="1:9" ht="15.95" customHeight="1" x14ac:dyDescent="0.3">
      <c r="A59" s="73">
        <f t="shared" si="3"/>
        <v>110</v>
      </c>
      <c r="B59" s="59" t="s">
        <v>71</v>
      </c>
      <c r="C59" s="61"/>
      <c r="D59" s="129"/>
      <c r="E59" s="73" t="s">
        <v>59</v>
      </c>
      <c r="F59" s="16">
        <v>3</v>
      </c>
      <c r="G59" s="16">
        <f t="shared" si="1"/>
        <v>2</v>
      </c>
      <c r="H59" s="66">
        <v>1</v>
      </c>
      <c r="I59" s="98"/>
    </row>
    <row r="60" spans="1:9" ht="15.95" customHeight="1" x14ac:dyDescent="0.3">
      <c r="A60" s="73">
        <f t="shared" si="3"/>
        <v>112</v>
      </c>
      <c r="B60" s="59" t="s">
        <v>62</v>
      </c>
      <c r="C60" s="61" t="s">
        <v>616</v>
      </c>
      <c r="D60" s="129" t="s">
        <v>605</v>
      </c>
      <c r="E60" s="73" t="s">
        <v>59</v>
      </c>
      <c r="F60" s="16">
        <v>3</v>
      </c>
      <c r="G60" s="16">
        <f t="shared" si="1"/>
        <v>2</v>
      </c>
      <c r="H60" s="66">
        <v>1</v>
      </c>
      <c r="I60" s="98"/>
    </row>
    <row r="61" spans="1:9" ht="15.95" customHeight="1" x14ac:dyDescent="0.3">
      <c r="A61" s="73">
        <f t="shared" si="3"/>
        <v>114</v>
      </c>
      <c r="B61" s="59" t="s">
        <v>63</v>
      </c>
      <c r="C61" s="61" t="s">
        <v>617</v>
      </c>
      <c r="D61" s="129"/>
      <c r="E61" s="73" t="s">
        <v>59</v>
      </c>
      <c r="F61" s="16">
        <v>3</v>
      </c>
      <c r="G61" s="16">
        <f t="shared" si="1"/>
        <v>2</v>
      </c>
      <c r="H61" s="66">
        <v>1</v>
      </c>
      <c r="I61" s="98"/>
    </row>
    <row r="62" spans="1:9" ht="15.95" customHeight="1" x14ac:dyDescent="0.3">
      <c r="A62" s="73">
        <f t="shared" si="3"/>
        <v>116</v>
      </c>
      <c r="B62" s="59" t="s">
        <v>64</v>
      </c>
      <c r="C62" s="61" t="s">
        <v>618</v>
      </c>
      <c r="D62" s="129"/>
      <c r="E62" s="73" t="s">
        <v>59</v>
      </c>
      <c r="F62" s="16">
        <v>3</v>
      </c>
      <c r="G62" s="16">
        <f t="shared" si="1"/>
        <v>2</v>
      </c>
      <c r="H62" s="66">
        <v>1</v>
      </c>
      <c r="I62" s="98"/>
    </row>
    <row r="63" spans="1:9" ht="15.95" customHeight="1" x14ac:dyDescent="0.3">
      <c r="A63" s="73">
        <f t="shared" si="3"/>
        <v>118</v>
      </c>
      <c r="B63" s="59" t="s">
        <v>65</v>
      </c>
      <c r="C63" s="61" t="s">
        <v>619</v>
      </c>
      <c r="D63" s="129"/>
      <c r="E63" s="73" t="s">
        <v>59</v>
      </c>
      <c r="F63" s="16">
        <v>3</v>
      </c>
      <c r="G63" s="16">
        <f t="shared" si="1"/>
        <v>2</v>
      </c>
      <c r="H63" s="66">
        <v>1</v>
      </c>
      <c r="I63" s="98"/>
    </row>
    <row r="64" spans="1:9" ht="15.95" customHeight="1" x14ac:dyDescent="0.3">
      <c r="A64" s="73">
        <f t="shared" si="3"/>
        <v>120</v>
      </c>
      <c r="B64" s="59" t="s">
        <v>72</v>
      </c>
      <c r="C64" s="129"/>
      <c r="D64" s="129"/>
      <c r="E64" s="73" t="s">
        <v>59</v>
      </c>
      <c r="F64" s="16">
        <v>3</v>
      </c>
      <c r="G64" s="16">
        <f t="shared" si="1"/>
        <v>2</v>
      </c>
      <c r="H64" s="66">
        <v>1</v>
      </c>
      <c r="I64" s="98"/>
    </row>
    <row r="65" spans="1:10" ht="15.95" customHeight="1" x14ac:dyDescent="0.3">
      <c r="A65" s="73">
        <f t="shared" si="3"/>
        <v>122</v>
      </c>
      <c r="B65" s="59" t="s">
        <v>73</v>
      </c>
      <c r="C65" s="129"/>
      <c r="D65" s="129"/>
      <c r="E65" s="73" t="s">
        <v>59</v>
      </c>
      <c r="F65" s="16">
        <v>3</v>
      </c>
      <c r="G65" s="16">
        <f t="shared" si="1"/>
        <v>2</v>
      </c>
      <c r="H65" s="66">
        <v>1</v>
      </c>
      <c r="I65" s="98"/>
    </row>
    <row r="66" spans="1:10" ht="15.95" customHeight="1" x14ac:dyDescent="0.3">
      <c r="A66" s="73">
        <f t="shared" si="3"/>
        <v>124</v>
      </c>
      <c r="B66" s="59" t="s">
        <v>74</v>
      </c>
      <c r="C66" s="129"/>
      <c r="D66" s="129"/>
      <c r="E66" s="73" t="s">
        <v>59</v>
      </c>
      <c r="F66" s="16">
        <v>3</v>
      </c>
      <c r="G66" s="16">
        <f t="shared" si="1"/>
        <v>2</v>
      </c>
      <c r="H66" s="66">
        <v>1</v>
      </c>
      <c r="I66" s="98"/>
    </row>
    <row r="67" spans="1:10" ht="15.95" customHeight="1" x14ac:dyDescent="0.3">
      <c r="A67" s="73">
        <f t="shared" si="3"/>
        <v>126</v>
      </c>
      <c r="B67" s="59" t="s">
        <v>75</v>
      </c>
      <c r="C67" s="129"/>
      <c r="D67" s="129"/>
      <c r="E67" s="73" t="s">
        <v>59</v>
      </c>
      <c r="F67" s="16">
        <v>3</v>
      </c>
      <c r="G67" s="16">
        <f t="shared" ref="G67:G91" si="4">IF(OR(E67="U16",E67="S16"),1,IF(E67="TS",6,IF(E67="U64",4,2)))</f>
        <v>2</v>
      </c>
      <c r="H67" s="66">
        <v>1</v>
      </c>
      <c r="I67" s="98"/>
    </row>
    <row r="68" spans="1:10" ht="15.95" customHeight="1" x14ac:dyDescent="0.3">
      <c r="A68" s="73">
        <f t="shared" si="3"/>
        <v>128</v>
      </c>
      <c r="B68" s="59" t="s">
        <v>66</v>
      </c>
      <c r="C68" s="61" t="s">
        <v>620</v>
      </c>
      <c r="D68" s="129" t="s">
        <v>606</v>
      </c>
      <c r="E68" s="73" t="s">
        <v>59</v>
      </c>
      <c r="F68" s="16">
        <v>3</v>
      </c>
      <c r="G68" s="16">
        <f t="shared" si="4"/>
        <v>2</v>
      </c>
      <c r="H68" s="66">
        <v>1</v>
      </c>
      <c r="I68" s="98"/>
    </row>
    <row r="69" spans="1:10" ht="15.95" customHeight="1" x14ac:dyDescent="0.3">
      <c r="A69" s="73">
        <f t="shared" si="3"/>
        <v>130</v>
      </c>
      <c r="B69" s="59" t="s">
        <v>6</v>
      </c>
      <c r="C69" s="61" t="s">
        <v>621</v>
      </c>
      <c r="D69" s="129"/>
      <c r="E69" s="73" t="s">
        <v>59</v>
      </c>
      <c r="F69" s="16">
        <v>3</v>
      </c>
      <c r="G69" s="16">
        <f t="shared" si="4"/>
        <v>2</v>
      </c>
      <c r="H69" s="66">
        <v>1</v>
      </c>
      <c r="I69" s="98"/>
    </row>
    <row r="70" spans="1:10" ht="15.95" customHeight="1" x14ac:dyDescent="0.3">
      <c r="A70" s="73">
        <f t="shared" si="3"/>
        <v>132</v>
      </c>
      <c r="B70" s="59" t="s">
        <v>7</v>
      </c>
      <c r="C70" s="61" t="s">
        <v>622</v>
      </c>
      <c r="D70" s="129"/>
      <c r="E70" s="73" t="s">
        <v>59</v>
      </c>
      <c r="F70" s="16">
        <v>3</v>
      </c>
      <c r="G70" s="16">
        <f t="shared" si="4"/>
        <v>2</v>
      </c>
      <c r="H70" s="66">
        <v>1</v>
      </c>
      <c r="I70" s="98"/>
      <c r="J70" s="29"/>
    </row>
    <row r="71" spans="1:10" ht="15.95" customHeight="1" x14ac:dyDescent="0.3">
      <c r="A71" s="73">
        <f t="shared" si="3"/>
        <v>134</v>
      </c>
      <c r="B71" s="59" t="s">
        <v>67</v>
      </c>
      <c r="C71" s="61" t="s">
        <v>623</v>
      </c>
      <c r="D71" s="129"/>
      <c r="E71" s="73" t="s">
        <v>59</v>
      </c>
      <c r="F71" s="16">
        <v>3</v>
      </c>
      <c r="G71" s="16">
        <f t="shared" si="4"/>
        <v>2</v>
      </c>
      <c r="H71" s="66">
        <v>1</v>
      </c>
      <c r="I71" s="98"/>
    </row>
    <row r="72" spans="1:10" ht="15.95" customHeight="1" x14ac:dyDescent="0.3">
      <c r="A72" s="73">
        <f t="shared" si="3"/>
        <v>136</v>
      </c>
      <c r="B72" s="59" t="s">
        <v>76</v>
      </c>
      <c r="C72" s="129"/>
      <c r="D72" s="129"/>
      <c r="E72" s="73" t="s">
        <v>59</v>
      </c>
      <c r="F72" s="16">
        <v>3</v>
      </c>
      <c r="G72" s="16">
        <f t="shared" si="4"/>
        <v>2</v>
      </c>
      <c r="H72" s="66">
        <v>1</v>
      </c>
      <c r="I72" s="98"/>
    </row>
    <row r="73" spans="1:10" ht="15.95" customHeight="1" x14ac:dyDescent="0.3">
      <c r="A73" s="73">
        <f t="shared" si="3"/>
        <v>138</v>
      </c>
      <c r="B73" s="59" t="s">
        <v>77</v>
      </c>
      <c r="C73" s="129"/>
      <c r="D73" s="129"/>
      <c r="E73" s="73" t="s">
        <v>59</v>
      </c>
      <c r="F73" s="16">
        <v>3</v>
      </c>
      <c r="G73" s="16">
        <f t="shared" si="4"/>
        <v>2</v>
      </c>
      <c r="H73" s="66">
        <v>1</v>
      </c>
      <c r="I73" s="98"/>
    </row>
    <row r="74" spans="1:10" ht="15.95" customHeight="1" x14ac:dyDescent="0.3">
      <c r="A74" s="73">
        <f t="shared" ref="A74:A91" si="5">A73+(G73*H73)</f>
        <v>140</v>
      </c>
      <c r="B74" s="59" t="s">
        <v>78</v>
      </c>
      <c r="C74" s="129"/>
      <c r="D74" s="129"/>
      <c r="E74" s="73" t="s">
        <v>59</v>
      </c>
      <c r="F74" s="16">
        <v>3</v>
      </c>
      <c r="G74" s="16">
        <f t="shared" si="4"/>
        <v>2</v>
      </c>
      <c r="H74" s="66">
        <v>1</v>
      </c>
      <c r="I74" s="98"/>
    </row>
    <row r="75" spans="1:10" ht="15.95" customHeight="1" x14ac:dyDescent="0.3">
      <c r="A75" s="73">
        <f t="shared" si="5"/>
        <v>142</v>
      </c>
      <c r="B75" s="59" t="s">
        <v>79</v>
      </c>
      <c r="C75" s="129"/>
      <c r="D75" s="129"/>
      <c r="E75" s="73" t="s">
        <v>59</v>
      </c>
      <c r="F75" s="16">
        <v>3</v>
      </c>
      <c r="G75" s="16">
        <f t="shared" si="4"/>
        <v>2</v>
      </c>
      <c r="H75" s="66">
        <v>1</v>
      </c>
      <c r="I75" s="98"/>
    </row>
    <row r="76" spans="1:10" ht="15.95" customHeight="1" x14ac:dyDescent="0.3">
      <c r="A76" s="73">
        <f t="shared" si="5"/>
        <v>144</v>
      </c>
      <c r="B76" s="59" t="s">
        <v>80</v>
      </c>
      <c r="C76" s="61" t="s">
        <v>625</v>
      </c>
      <c r="D76" s="129" t="s">
        <v>146</v>
      </c>
      <c r="E76" s="73" t="s">
        <v>59</v>
      </c>
      <c r="F76" s="73">
        <v>3</v>
      </c>
      <c r="G76" s="73">
        <f t="shared" si="4"/>
        <v>2</v>
      </c>
      <c r="H76" s="66">
        <v>1</v>
      </c>
      <c r="I76" s="98"/>
    </row>
    <row r="77" spans="1:10" ht="15.95" customHeight="1" x14ac:dyDescent="0.3">
      <c r="A77" s="73">
        <f t="shared" si="5"/>
        <v>146</v>
      </c>
      <c r="B77" s="59" t="s">
        <v>8</v>
      </c>
      <c r="C77" s="61" t="s">
        <v>626</v>
      </c>
      <c r="D77" s="129"/>
      <c r="E77" s="73" t="s">
        <v>59</v>
      </c>
      <c r="F77" s="73">
        <v>3</v>
      </c>
      <c r="G77" s="73">
        <f t="shared" si="4"/>
        <v>2</v>
      </c>
      <c r="H77" s="66">
        <v>1</v>
      </c>
      <c r="I77" s="98"/>
    </row>
    <row r="78" spans="1:10" ht="15.95" customHeight="1" x14ac:dyDescent="0.3">
      <c r="A78" s="73">
        <f t="shared" si="5"/>
        <v>148</v>
      </c>
      <c r="B78" s="59" t="s">
        <v>9</v>
      </c>
      <c r="C78" s="61" t="s">
        <v>627</v>
      </c>
      <c r="D78" s="129"/>
      <c r="E78" s="73" t="s">
        <v>59</v>
      </c>
      <c r="F78" s="73">
        <v>3</v>
      </c>
      <c r="G78" s="73">
        <f t="shared" si="4"/>
        <v>2</v>
      </c>
      <c r="H78" s="66">
        <v>1</v>
      </c>
      <c r="I78" s="98"/>
    </row>
    <row r="79" spans="1:10" ht="15.95" customHeight="1" x14ac:dyDescent="0.3">
      <c r="A79" s="73">
        <f t="shared" si="5"/>
        <v>150</v>
      </c>
      <c r="B79" s="59" t="s">
        <v>81</v>
      </c>
      <c r="C79" s="61" t="s">
        <v>624</v>
      </c>
      <c r="D79" s="129"/>
      <c r="E79" s="73" t="s">
        <v>59</v>
      </c>
      <c r="F79" s="73">
        <v>3</v>
      </c>
      <c r="G79" s="73">
        <f t="shared" si="4"/>
        <v>2</v>
      </c>
      <c r="H79" s="66">
        <v>1</v>
      </c>
      <c r="I79" s="98"/>
    </row>
    <row r="80" spans="1:10" ht="15.95" customHeight="1" x14ac:dyDescent="0.3">
      <c r="A80" s="66">
        <f t="shared" si="5"/>
        <v>152</v>
      </c>
      <c r="B80" s="9" t="s">
        <v>82</v>
      </c>
      <c r="C80" s="123"/>
      <c r="D80" s="123" t="s">
        <v>146</v>
      </c>
      <c r="E80" s="16" t="s">
        <v>59</v>
      </c>
      <c r="F80" s="16">
        <v>3</v>
      </c>
      <c r="G80" s="16">
        <f t="shared" si="4"/>
        <v>2</v>
      </c>
      <c r="H80" s="66">
        <v>1</v>
      </c>
      <c r="I80" s="98"/>
    </row>
    <row r="81" spans="1:10" ht="15.95" customHeight="1" x14ac:dyDescent="0.3">
      <c r="A81" s="66">
        <f t="shared" si="5"/>
        <v>154</v>
      </c>
      <c r="B81" s="9" t="s">
        <v>83</v>
      </c>
      <c r="C81" s="123"/>
      <c r="D81" s="123"/>
      <c r="E81" s="16" t="s">
        <v>59</v>
      </c>
      <c r="F81" s="16">
        <v>3</v>
      </c>
      <c r="G81" s="16">
        <f t="shared" si="4"/>
        <v>2</v>
      </c>
      <c r="H81" s="66">
        <v>1</v>
      </c>
      <c r="I81" s="98"/>
    </row>
    <row r="82" spans="1:10" ht="15.95" customHeight="1" x14ac:dyDescent="0.3">
      <c r="A82" s="66">
        <f t="shared" si="5"/>
        <v>156</v>
      </c>
      <c r="B82" s="9" t="s">
        <v>84</v>
      </c>
      <c r="C82" s="123"/>
      <c r="D82" s="123"/>
      <c r="E82" s="16" t="s">
        <v>59</v>
      </c>
      <c r="F82" s="16">
        <v>3</v>
      </c>
      <c r="G82" s="16">
        <f t="shared" si="4"/>
        <v>2</v>
      </c>
      <c r="H82" s="66">
        <v>1</v>
      </c>
      <c r="I82" s="98"/>
    </row>
    <row r="83" spans="1:10" ht="15.95" customHeight="1" x14ac:dyDescent="0.3">
      <c r="A83" s="66">
        <f t="shared" si="5"/>
        <v>158</v>
      </c>
      <c r="B83" s="9" t="s">
        <v>85</v>
      </c>
      <c r="C83" s="123"/>
      <c r="D83" s="123"/>
      <c r="E83" s="16" t="s">
        <v>59</v>
      </c>
      <c r="F83" s="16">
        <v>3</v>
      </c>
      <c r="G83" s="16">
        <f t="shared" si="4"/>
        <v>2</v>
      </c>
      <c r="H83" s="66">
        <v>1</v>
      </c>
      <c r="I83" s="98"/>
    </row>
    <row r="84" spans="1:10" ht="15.95" customHeight="1" x14ac:dyDescent="0.3">
      <c r="A84" s="66">
        <f t="shared" si="5"/>
        <v>160</v>
      </c>
      <c r="B84" s="9" t="s">
        <v>108</v>
      </c>
      <c r="C84" s="123"/>
      <c r="D84" s="123" t="s">
        <v>604</v>
      </c>
      <c r="E84" s="16" t="s">
        <v>59</v>
      </c>
      <c r="F84" s="16">
        <v>3</v>
      </c>
      <c r="G84" s="16">
        <f t="shared" si="4"/>
        <v>2</v>
      </c>
      <c r="H84" s="66">
        <v>1</v>
      </c>
      <c r="I84" s="98"/>
      <c r="J84" s="137" t="s">
        <v>112</v>
      </c>
    </row>
    <row r="85" spans="1:10" ht="15.95" customHeight="1" x14ac:dyDescent="0.3">
      <c r="A85" s="66">
        <f t="shared" si="5"/>
        <v>162</v>
      </c>
      <c r="B85" s="9" t="s">
        <v>109</v>
      </c>
      <c r="C85" s="123"/>
      <c r="D85" s="123"/>
      <c r="E85" s="16" t="s">
        <v>59</v>
      </c>
      <c r="F85" s="16">
        <v>3</v>
      </c>
      <c r="G85" s="16">
        <f t="shared" si="4"/>
        <v>2</v>
      </c>
      <c r="H85" s="66">
        <v>1</v>
      </c>
      <c r="I85" s="98"/>
      <c r="J85" s="137"/>
    </row>
    <row r="86" spans="1:10" ht="15.95" customHeight="1" x14ac:dyDescent="0.3">
      <c r="A86" s="66">
        <f t="shared" si="5"/>
        <v>164</v>
      </c>
      <c r="B86" s="9" t="s">
        <v>110</v>
      </c>
      <c r="C86" s="123"/>
      <c r="D86" s="123"/>
      <c r="E86" s="16" t="s">
        <v>59</v>
      </c>
      <c r="F86" s="16">
        <v>3</v>
      </c>
      <c r="G86" s="16">
        <f t="shared" si="4"/>
        <v>2</v>
      </c>
      <c r="H86" s="66">
        <v>1</v>
      </c>
      <c r="I86" s="98"/>
      <c r="J86" s="137"/>
    </row>
    <row r="87" spans="1:10" ht="15.95" customHeight="1" x14ac:dyDescent="0.3">
      <c r="A87" s="66">
        <f t="shared" si="5"/>
        <v>166</v>
      </c>
      <c r="B87" s="9" t="s">
        <v>111</v>
      </c>
      <c r="C87" s="123"/>
      <c r="D87" s="123"/>
      <c r="E87" s="16" t="s">
        <v>59</v>
      </c>
      <c r="F87" s="16">
        <v>3</v>
      </c>
      <c r="G87" s="16">
        <f t="shared" si="4"/>
        <v>2</v>
      </c>
      <c r="H87" s="66">
        <v>1</v>
      </c>
      <c r="I87" s="98"/>
      <c r="J87" s="137"/>
    </row>
    <row r="88" spans="1:10" ht="15.95" customHeight="1" x14ac:dyDescent="0.3">
      <c r="A88" s="66">
        <f t="shared" si="5"/>
        <v>168</v>
      </c>
      <c r="B88" s="9" t="s">
        <v>105</v>
      </c>
      <c r="C88" s="123"/>
      <c r="D88" s="123" t="s">
        <v>654</v>
      </c>
      <c r="E88" s="16" t="s">
        <v>59</v>
      </c>
      <c r="F88" s="16">
        <v>3</v>
      </c>
      <c r="G88" s="16">
        <f t="shared" si="4"/>
        <v>2</v>
      </c>
      <c r="H88" s="66">
        <v>1</v>
      </c>
      <c r="I88" s="98"/>
      <c r="J88" s="137" t="s">
        <v>395</v>
      </c>
    </row>
    <row r="89" spans="1:10" ht="15.95" customHeight="1" x14ac:dyDescent="0.3">
      <c r="A89" s="66">
        <f t="shared" si="5"/>
        <v>170</v>
      </c>
      <c r="B89" s="9" t="s">
        <v>106</v>
      </c>
      <c r="C89" s="123"/>
      <c r="D89" s="123"/>
      <c r="E89" s="16" t="s">
        <v>59</v>
      </c>
      <c r="F89" s="16">
        <v>3</v>
      </c>
      <c r="G89" s="16">
        <f t="shared" si="4"/>
        <v>2</v>
      </c>
      <c r="H89" s="66">
        <v>1</v>
      </c>
      <c r="I89" s="98"/>
      <c r="J89" s="137"/>
    </row>
    <row r="90" spans="1:10" ht="15.95" customHeight="1" x14ac:dyDescent="0.3">
      <c r="A90" s="66">
        <f t="shared" si="5"/>
        <v>172</v>
      </c>
      <c r="B90" s="9" t="s">
        <v>107</v>
      </c>
      <c r="C90" s="123"/>
      <c r="D90" s="123"/>
      <c r="E90" s="16" t="s">
        <v>59</v>
      </c>
      <c r="F90" s="16">
        <v>3</v>
      </c>
      <c r="G90" s="16">
        <f t="shared" si="4"/>
        <v>2</v>
      </c>
      <c r="H90" s="66">
        <v>1</v>
      </c>
      <c r="I90" s="98"/>
      <c r="J90" s="137"/>
    </row>
    <row r="91" spans="1:10" ht="15.95" customHeight="1" x14ac:dyDescent="0.3">
      <c r="A91" s="66">
        <f t="shared" si="5"/>
        <v>174</v>
      </c>
      <c r="B91" s="9" t="s">
        <v>384</v>
      </c>
      <c r="C91" s="123"/>
      <c r="D91" s="66"/>
      <c r="E91" s="16" t="s">
        <v>58</v>
      </c>
      <c r="F91" s="16">
        <v>3</v>
      </c>
      <c r="G91" s="16">
        <f t="shared" si="4"/>
        <v>2</v>
      </c>
      <c r="H91" s="66">
        <v>1</v>
      </c>
      <c r="I91" s="105"/>
      <c r="J91" s="43" t="s">
        <v>396</v>
      </c>
    </row>
    <row r="92" spans="1:10" ht="15.95" customHeight="1" x14ac:dyDescent="0.3">
      <c r="A92" s="66">
        <f t="shared" ref="A92:A123" si="6">A91+(G91*H91)</f>
        <v>176</v>
      </c>
      <c r="B92" s="9" t="s">
        <v>18</v>
      </c>
      <c r="C92" s="123"/>
      <c r="D92" s="123" t="s">
        <v>146</v>
      </c>
      <c r="E92" s="16" t="s">
        <v>59</v>
      </c>
      <c r="F92" s="16">
        <v>3</v>
      </c>
      <c r="G92" s="16">
        <f t="shared" ref="G92:G118" si="7">IF(OR(E92="U16", E92="S16"),1,IF(E92="TS",6,2))</f>
        <v>2</v>
      </c>
      <c r="H92" s="66">
        <v>1</v>
      </c>
      <c r="I92" s="98"/>
    </row>
    <row r="93" spans="1:10" ht="15.95" customHeight="1" x14ac:dyDescent="0.3">
      <c r="A93" s="66">
        <f t="shared" si="6"/>
        <v>178</v>
      </c>
      <c r="B93" s="9" t="s">
        <v>19</v>
      </c>
      <c r="C93" s="123"/>
      <c r="D93" s="123"/>
      <c r="E93" s="16" t="s">
        <v>59</v>
      </c>
      <c r="F93" s="16">
        <v>3</v>
      </c>
      <c r="G93" s="16">
        <f t="shared" si="7"/>
        <v>2</v>
      </c>
      <c r="H93" s="66">
        <v>1</v>
      </c>
      <c r="I93" s="98"/>
      <c r="J93" s="10" t="s">
        <v>179</v>
      </c>
    </row>
    <row r="94" spans="1:10" ht="15.95" customHeight="1" x14ac:dyDescent="0.3">
      <c r="A94" s="66">
        <f t="shared" si="6"/>
        <v>180</v>
      </c>
      <c r="B94" s="9" t="s">
        <v>20</v>
      </c>
      <c r="C94" s="123"/>
      <c r="D94" s="123"/>
      <c r="E94" s="16" t="s">
        <v>59</v>
      </c>
      <c r="F94" s="16">
        <v>3</v>
      </c>
      <c r="G94" s="16">
        <f t="shared" si="7"/>
        <v>2</v>
      </c>
      <c r="H94" s="66">
        <v>1</v>
      </c>
      <c r="I94" s="98"/>
    </row>
    <row r="95" spans="1:10" ht="15.95" customHeight="1" x14ac:dyDescent="0.3">
      <c r="A95" s="66">
        <f t="shared" si="6"/>
        <v>182</v>
      </c>
      <c r="B95" s="9" t="s">
        <v>21</v>
      </c>
      <c r="C95" s="123"/>
      <c r="D95" s="123"/>
      <c r="E95" s="16" t="s">
        <v>59</v>
      </c>
      <c r="F95" s="16">
        <v>3</v>
      </c>
      <c r="G95" s="16">
        <f t="shared" si="7"/>
        <v>2</v>
      </c>
      <c r="H95" s="66">
        <v>1</v>
      </c>
      <c r="I95" s="98"/>
    </row>
    <row r="96" spans="1:10" ht="15.95" customHeight="1" x14ac:dyDescent="0.3">
      <c r="A96" s="66">
        <f t="shared" si="6"/>
        <v>184</v>
      </c>
      <c r="B96" s="9" t="s">
        <v>22</v>
      </c>
      <c r="C96" s="123"/>
      <c r="D96" s="123"/>
      <c r="E96" s="16" t="s">
        <v>59</v>
      </c>
      <c r="F96" s="16">
        <v>3</v>
      </c>
      <c r="G96" s="16">
        <f t="shared" si="7"/>
        <v>2</v>
      </c>
      <c r="H96" s="66">
        <v>1</v>
      </c>
      <c r="I96" s="98"/>
    </row>
    <row r="97" spans="1:9" ht="15.95" customHeight="1" x14ac:dyDescent="0.3">
      <c r="A97" s="66">
        <f t="shared" si="6"/>
        <v>186</v>
      </c>
      <c r="B97" s="9" t="s">
        <v>23</v>
      </c>
      <c r="C97" s="123"/>
      <c r="D97" s="123"/>
      <c r="E97" s="16" t="s">
        <v>59</v>
      </c>
      <c r="F97" s="16">
        <v>3</v>
      </c>
      <c r="G97" s="16">
        <f t="shared" si="7"/>
        <v>2</v>
      </c>
      <c r="H97" s="66">
        <v>1</v>
      </c>
      <c r="I97" s="98"/>
    </row>
    <row r="98" spans="1:9" ht="15.95" customHeight="1" x14ac:dyDescent="0.3">
      <c r="A98" s="66">
        <f t="shared" si="6"/>
        <v>188</v>
      </c>
      <c r="B98" s="9" t="s">
        <v>86</v>
      </c>
      <c r="C98" s="66" t="s">
        <v>655</v>
      </c>
      <c r="D98" s="123"/>
      <c r="E98" s="16" t="s">
        <v>59</v>
      </c>
      <c r="F98" s="16">
        <v>3</v>
      </c>
      <c r="G98" s="16">
        <f t="shared" si="7"/>
        <v>2</v>
      </c>
      <c r="H98" s="66">
        <v>1</v>
      </c>
      <c r="I98" s="98"/>
    </row>
    <row r="99" spans="1:9" ht="15.95" customHeight="1" x14ac:dyDescent="0.3">
      <c r="A99" s="66">
        <f t="shared" si="6"/>
        <v>190</v>
      </c>
      <c r="B99" s="9" t="s">
        <v>16</v>
      </c>
      <c r="C99" s="66"/>
      <c r="D99" s="123"/>
      <c r="E99" s="16" t="s">
        <v>59</v>
      </c>
      <c r="F99" s="16">
        <v>3</v>
      </c>
      <c r="G99" s="16">
        <f t="shared" si="7"/>
        <v>2</v>
      </c>
      <c r="H99" s="66">
        <v>1</v>
      </c>
      <c r="I99" s="98"/>
    </row>
    <row r="100" spans="1:9" ht="15.95" customHeight="1" x14ac:dyDescent="0.3">
      <c r="A100" s="66">
        <f t="shared" si="6"/>
        <v>192</v>
      </c>
      <c r="B100" s="9" t="s">
        <v>17</v>
      </c>
      <c r="C100" s="66"/>
      <c r="D100" s="123"/>
      <c r="E100" s="16" t="s">
        <v>59</v>
      </c>
      <c r="F100" s="16">
        <v>3</v>
      </c>
      <c r="G100" s="16">
        <f t="shared" si="7"/>
        <v>2</v>
      </c>
      <c r="H100" s="66">
        <v>1</v>
      </c>
      <c r="I100" s="98"/>
    </row>
    <row r="101" spans="1:9" ht="15.95" customHeight="1" x14ac:dyDescent="0.3">
      <c r="A101" s="66">
        <f t="shared" si="6"/>
        <v>194</v>
      </c>
      <c r="B101" s="9" t="s">
        <v>87</v>
      </c>
      <c r="C101" s="66"/>
      <c r="D101" s="123"/>
      <c r="E101" s="16" t="s">
        <v>59</v>
      </c>
      <c r="F101" s="16">
        <v>3</v>
      </c>
      <c r="G101" s="16">
        <f t="shared" si="7"/>
        <v>2</v>
      </c>
      <c r="H101" s="66">
        <v>1</v>
      </c>
      <c r="I101" s="98"/>
    </row>
    <row r="102" spans="1:9" ht="15.95" customHeight="1" x14ac:dyDescent="0.3">
      <c r="A102" s="66">
        <f t="shared" si="6"/>
        <v>196</v>
      </c>
      <c r="B102" s="9" t="s">
        <v>88</v>
      </c>
      <c r="C102" s="66"/>
      <c r="D102" s="123"/>
      <c r="E102" s="16" t="s">
        <v>59</v>
      </c>
      <c r="F102" s="16">
        <v>3</v>
      </c>
      <c r="G102" s="16">
        <f t="shared" si="7"/>
        <v>2</v>
      </c>
      <c r="H102" s="66">
        <v>1</v>
      </c>
      <c r="I102" s="98"/>
    </row>
    <row r="103" spans="1:9" ht="15.95" customHeight="1" x14ac:dyDescent="0.3">
      <c r="A103" s="66">
        <f t="shared" si="6"/>
        <v>198</v>
      </c>
      <c r="B103" s="9" t="s">
        <v>89</v>
      </c>
      <c r="C103" s="66"/>
      <c r="D103" s="123"/>
      <c r="E103" s="16" t="s">
        <v>59</v>
      </c>
      <c r="F103" s="16">
        <v>3</v>
      </c>
      <c r="G103" s="16">
        <f t="shared" si="7"/>
        <v>2</v>
      </c>
      <c r="H103" s="66">
        <v>1</v>
      </c>
      <c r="I103" s="98"/>
    </row>
    <row r="104" spans="1:9" ht="15.95" customHeight="1" x14ac:dyDescent="0.3">
      <c r="A104" s="66">
        <f t="shared" si="6"/>
        <v>200</v>
      </c>
      <c r="B104" s="9" t="s">
        <v>24</v>
      </c>
      <c r="C104" s="66"/>
      <c r="D104" s="123"/>
      <c r="E104" s="16" t="s">
        <v>59</v>
      </c>
      <c r="F104" s="16">
        <v>3</v>
      </c>
      <c r="G104" s="16">
        <f t="shared" si="7"/>
        <v>2</v>
      </c>
      <c r="H104" s="66">
        <v>1</v>
      </c>
      <c r="I104" s="98"/>
    </row>
    <row r="105" spans="1:9" ht="15.95" customHeight="1" x14ac:dyDescent="0.3">
      <c r="A105" s="66">
        <f t="shared" si="6"/>
        <v>202</v>
      </c>
      <c r="B105" s="9" t="s">
        <v>25</v>
      </c>
      <c r="C105" s="66"/>
      <c r="D105" s="123"/>
      <c r="E105" s="16" t="s">
        <v>59</v>
      </c>
      <c r="F105" s="16">
        <v>3</v>
      </c>
      <c r="G105" s="16">
        <f t="shared" si="7"/>
        <v>2</v>
      </c>
      <c r="H105" s="66">
        <v>1</v>
      </c>
      <c r="I105" s="98"/>
    </row>
    <row r="106" spans="1:9" ht="15.95" customHeight="1" x14ac:dyDescent="0.3">
      <c r="A106" s="66">
        <f t="shared" si="6"/>
        <v>204</v>
      </c>
      <c r="B106" s="9" t="s">
        <v>26</v>
      </c>
      <c r="C106" s="66"/>
      <c r="D106" s="123"/>
      <c r="E106" s="16" t="s">
        <v>59</v>
      </c>
      <c r="F106" s="16">
        <v>3</v>
      </c>
      <c r="G106" s="16">
        <f t="shared" si="7"/>
        <v>2</v>
      </c>
      <c r="H106" s="66">
        <v>1</v>
      </c>
      <c r="I106" s="98"/>
    </row>
    <row r="107" spans="1:9" ht="15.95" customHeight="1" x14ac:dyDescent="0.3">
      <c r="A107" s="66">
        <f t="shared" si="6"/>
        <v>206</v>
      </c>
      <c r="B107" s="9" t="s">
        <v>27</v>
      </c>
      <c r="C107" s="66"/>
      <c r="D107" s="123"/>
      <c r="E107" s="16" t="s">
        <v>59</v>
      </c>
      <c r="F107" s="16">
        <v>3</v>
      </c>
      <c r="G107" s="16">
        <f t="shared" si="7"/>
        <v>2</v>
      </c>
      <c r="H107" s="66">
        <v>1</v>
      </c>
      <c r="I107" s="98"/>
    </row>
    <row r="108" spans="1:9" ht="15.95" customHeight="1" x14ac:dyDescent="0.3">
      <c r="A108" s="66">
        <f t="shared" si="6"/>
        <v>208</v>
      </c>
      <c r="B108" s="9" t="s">
        <v>28</v>
      </c>
      <c r="C108" s="66"/>
      <c r="D108" s="123"/>
      <c r="E108" s="16" t="s">
        <v>59</v>
      </c>
      <c r="F108" s="16">
        <v>3</v>
      </c>
      <c r="G108" s="16">
        <f t="shared" si="7"/>
        <v>2</v>
      </c>
      <c r="H108" s="66">
        <v>1</v>
      </c>
      <c r="I108" s="98"/>
    </row>
    <row r="109" spans="1:9" ht="15.95" customHeight="1" x14ac:dyDescent="0.3">
      <c r="A109" s="66">
        <f t="shared" si="6"/>
        <v>210</v>
      </c>
      <c r="B109" s="9" t="s">
        <v>29</v>
      </c>
      <c r="C109" s="66"/>
      <c r="D109" s="123"/>
      <c r="E109" s="16" t="s">
        <v>59</v>
      </c>
      <c r="F109" s="16">
        <v>3</v>
      </c>
      <c r="G109" s="16">
        <f t="shared" si="7"/>
        <v>2</v>
      </c>
      <c r="H109" s="66">
        <v>1</v>
      </c>
      <c r="I109" s="98"/>
    </row>
    <row r="110" spans="1:9" ht="15.95" customHeight="1" x14ac:dyDescent="0.3">
      <c r="A110" s="66">
        <f t="shared" si="6"/>
        <v>212</v>
      </c>
      <c r="B110" s="9" t="s">
        <v>10</v>
      </c>
      <c r="C110" s="66" t="s">
        <v>656</v>
      </c>
      <c r="D110" s="123"/>
      <c r="E110" s="16" t="s">
        <v>59</v>
      </c>
      <c r="F110" s="16">
        <v>3</v>
      </c>
      <c r="G110" s="16">
        <f t="shared" si="7"/>
        <v>2</v>
      </c>
      <c r="H110" s="66">
        <v>1</v>
      </c>
      <c r="I110" s="98"/>
    </row>
    <row r="111" spans="1:9" ht="15.95" customHeight="1" x14ac:dyDescent="0.3">
      <c r="A111" s="66">
        <f t="shared" si="6"/>
        <v>214</v>
      </c>
      <c r="B111" s="9" t="s">
        <v>11</v>
      </c>
      <c r="C111" s="66"/>
      <c r="D111" s="123"/>
      <c r="E111" s="16" t="s">
        <v>59</v>
      </c>
      <c r="F111" s="16">
        <v>3</v>
      </c>
      <c r="G111" s="16">
        <f t="shared" si="7"/>
        <v>2</v>
      </c>
      <c r="H111" s="66">
        <v>1</v>
      </c>
      <c r="I111" s="98"/>
    </row>
    <row r="112" spans="1:9" ht="15.95" customHeight="1" x14ac:dyDescent="0.3">
      <c r="A112" s="66">
        <f t="shared" si="6"/>
        <v>216</v>
      </c>
      <c r="B112" s="9" t="s">
        <v>12</v>
      </c>
      <c r="C112" s="66"/>
      <c r="D112" s="123"/>
      <c r="E112" s="16" t="s">
        <v>59</v>
      </c>
      <c r="F112" s="16">
        <v>3</v>
      </c>
      <c r="G112" s="16">
        <f t="shared" si="7"/>
        <v>2</v>
      </c>
      <c r="H112" s="66">
        <v>1</v>
      </c>
      <c r="I112" s="98"/>
    </row>
    <row r="113" spans="1:10" ht="15.95" customHeight="1" x14ac:dyDescent="0.3">
      <c r="A113" s="66">
        <f t="shared" si="6"/>
        <v>218</v>
      </c>
      <c r="B113" s="9" t="s">
        <v>13</v>
      </c>
      <c r="C113" s="66" t="s">
        <v>655</v>
      </c>
      <c r="D113" s="123"/>
      <c r="E113" s="16" t="s">
        <v>59</v>
      </c>
      <c r="F113" s="16">
        <v>3</v>
      </c>
      <c r="G113" s="16">
        <f t="shared" si="7"/>
        <v>2</v>
      </c>
      <c r="H113" s="66">
        <v>1</v>
      </c>
      <c r="I113" s="98"/>
    </row>
    <row r="114" spans="1:10" ht="15.95" customHeight="1" x14ac:dyDescent="0.3">
      <c r="A114" s="66">
        <f t="shared" si="6"/>
        <v>220</v>
      </c>
      <c r="B114" s="9" t="s">
        <v>14</v>
      </c>
      <c r="C114" s="66"/>
      <c r="D114" s="123"/>
      <c r="E114" s="16" t="s">
        <v>59</v>
      </c>
      <c r="F114" s="16">
        <v>3</v>
      </c>
      <c r="G114" s="16">
        <f t="shared" si="7"/>
        <v>2</v>
      </c>
      <c r="H114" s="66">
        <v>1</v>
      </c>
      <c r="I114" s="98"/>
    </row>
    <row r="115" spans="1:10" ht="15.95" customHeight="1" x14ac:dyDescent="0.3">
      <c r="A115" s="66">
        <f t="shared" si="6"/>
        <v>222</v>
      </c>
      <c r="B115" s="9" t="s">
        <v>15</v>
      </c>
      <c r="C115" s="66"/>
      <c r="D115" s="123"/>
      <c r="E115" s="16" t="s">
        <v>59</v>
      </c>
      <c r="F115" s="16">
        <v>3</v>
      </c>
      <c r="G115" s="16">
        <f t="shared" si="7"/>
        <v>2</v>
      </c>
      <c r="H115" s="66">
        <v>1</v>
      </c>
      <c r="I115" s="98"/>
    </row>
    <row r="116" spans="1:10" ht="15.95" customHeight="1" x14ac:dyDescent="0.3">
      <c r="A116" s="66">
        <f t="shared" si="6"/>
        <v>224</v>
      </c>
      <c r="B116" s="58" t="s">
        <v>668</v>
      </c>
      <c r="C116" s="76" t="s">
        <v>672</v>
      </c>
      <c r="D116" s="130" t="s">
        <v>684</v>
      </c>
      <c r="E116" s="50" t="s">
        <v>59</v>
      </c>
      <c r="F116" s="16">
        <v>3</v>
      </c>
      <c r="G116" s="50">
        <f t="shared" si="7"/>
        <v>2</v>
      </c>
      <c r="H116" s="50">
        <v>1</v>
      </c>
      <c r="I116" s="106"/>
    </row>
    <row r="117" spans="1:10" ht="15.95" customHeight="1" x14ac:dyDescent="0.3">
      <c r="A117" s="66">
        <f t="shared" si="6"/>
        <v>226</v>
      </c>
      <c r="B117" s="58" t="s">
        <v>669</v>
      </c>
      <c r="C117" s="76" t="s">
        <v>673</v>
      </c>
      <c r="D117" s="130"/>
      <c r="E117" s="50" t="s">
        <v>59</v>
      </c>
      <c r="F117" s="16">
        <v>3</v>
      </c>
      <c r="G117" s="50">
        <f t="shared" si="7"/>
        <v>2</v>
      </c>
      <c r="H117" s="50">
        <v>1</v>
      </c>
      <c r="I117" s="106"/>
    </row>
    <row r="118" spans="1:10" ht="15.95" customHeight="1" x14ac:dyDescent="0.3">
      <c r="A118" s="66">
        <f t="shared" si="6"/>
        <v>228</v>
      </c>
      <c r="B118" s="58" t="s">
        <v>670</v>
      </c>
      <c r="C118" s="76" t="s">
        <v>674</v>
      </c>
      <c r="D118" s="130"/>
      <c r="E118" s="50" t="s">
        <v>59</v>
      </c>
      <c r="F118" s="16">
        <v>3</v>
      </c>
      <c r="G118" s="50">
        <f t="shared" si="7"/>
        <v>2</v>
      </c>
      <c r="H118" s="50">
        <v>1</v>
      </c>
      <c r="I118" s="106"/>
    </row>
    <row r="119" spans="1:10" ht="15.95" customHeight="1" x14ac:dyDescent="0.3">
      <c r="A119" s="66">
        <f t="shared" si="6"/>
        <v>230</v>
      </c>
      <c r="B119" s="58" t="s">
        <v>671</v>
      </c>
      <c r="C119" s="76" t="s">
        <v>675</v>
      </c>
      <c r="D119" s="130"/>
      <c r="E119" s="50" t="s">
        <v>59</v>
      </c>
      <c r="F119" s="16">
        <v>3</v>
      </c>
      <c r="G119" s="50">
        <f t="shared" ref="G119:G123" si="8">IF(OR(E119="U16", E119="S16"),1,IF(E119="TS",6,2))</f>
        <v>2</v>
      </c>
      <c r="H119" s="50">
        <v>1</v>
      </c>
      <c r="I119" s="106"/>
    </row>
    <row r="120" spans="1:10" ht="15.95" customHeight="1" x14ac:dyDescent="0.3">
      <c r="A120" s="66">
        <f t="shared" si="6"/>
        <v>232</v>
      </c>
      <c r="B120" s="58" t="s">
        <v>676</v>
      </c>
      <c r="C120" s="76" t="s">
        <v>680</v>
      </c>
      <c r="D120" s="130" t="s">
        <v>685</v>
      </c>
      <c r="E120" s="50" t="s">
        <v>59</v>
      </c>
      <c r="F120" s="16">
        <v>3</v>
      </c>
      <c r="G120" s="50">
        <f t="shared" si="8"/>
        <v>2</v>
      </c>
      <c r="H120" s="50">
        <v>1</v>
      </c>
      <c r="I120" s="106"/>
    </row>
    <row r="121" spans="1:10" ht="15.95" customHeight="1" x14ac:dyDescent="0.3">
      <c r="A121" s="66">
        <f t="shared" si="6"/>
        <v>234</v>
      </c>
      <c r="B121" s="58" t="s">
        <v>677</v>
      </c>
      <c r="C121" s="76" t="s">
        <v>681</v>
      </c>
      <c r="D121" s="130"/>
      <c r="E121" s="50" t="s">
        <v>59</v>
      </c>
      <c r="F121" s="16">
        <v>3</v>
      </c>
      <c r="G121" s="50">
        <f t="shared" si="8"/>
        <v>2</v>
      </c>
      <c r="H121" s="50">
        <v>1</v>
      </c>
      <c r="I121" s="106"/>
    </row>
    <row r="122" spans="1:10" ht="15.95" customHeight="1" x14ac:dyDescent="0.3">
      <c r="A122" s="66">
        <f t="shared" si="6"/>
        <v>236</v>
      </c>
      <c r="B122" s="58" t="s">
        <v>678</v>
      </c>
      <c r="C122" s="76" t="s">
        <v>682</v>
      </c>
      <c r="D122" s="130"/>
      <c r="E122" s="50" t="s">
        <v>59</v>
      </c>
      <c r="F122" s="16">
        <v>3</v>
      </c>
      <c r="G122" s="50">
        <f t="shared" si="8"/>
        <v>2</v>
      </c>
      <c r="H122" s="50">
        <v>1</v>
      </c>
      <c r="I122" s="106"/>
    </row>
    <row r="123" spans="1:10" ht="15.95" customHeight="1" x14ac:dyDescent="0.3">
      <c r="A123" s="66">
        <f t="shared" si="6"/>
        <v>238</v>
      </c>
      <c r="B123" s="58" t="s">
        <v>679</v>
      </c>
      <c r="C123" s="76" t="s">
        <v>683</v>
      </c>
      <c r="D123" s="130"/>
      <c r="E123" s="50" t="s">
        <v>59</v>
      </c>
      <c r="F123" s="16">
        <v>3</v>
      </c>
      <c r="G123" s="50">
        <f t="shared" si="8"/>
        <v>2</v>
      </c>
      <c r="H123" s="50">
        <v>1</v>
      </c>
      <c r="I123" s="106"/>
    </row>
    <row r="124" spans="1:10" ht="15.95" customHeight="1" x14ac:dyDescent="0.3">
      <c r="A124" s="122" t="s">
        <v>57</v>
      </c>
      <c r="B124" s="122"/>
      <c r="C124" s="122"/>
      <c r="D124" s="122"/>
      <c r="E124" s="122"/>
      <c r="F124" s="122"/>
      <c r="G124" s="122"/>
      <c r="H124" s="122"/>
      <c r="I124" s="104"/>
    </row>
    <row r="125" spans="1:10" s="48" customFormat="1" ht="15.95" customHeight="1" x14ac:dyDescent="0.3">
      <c r="A125" s="66">
        <f>A123+(G123*H123)</f>
        <v>240</v>
      </c>
      <c r="B125" s="59" t="s">
        <v>628</v>
      </c>
      <c r="C125" s="73" t="s">
        <v>629</v>
      </c>
      <c r="D125" s="73"/>
      <c r="E125" s="73" t="s">
        <v>547</v>
      </c>
      <c r="F125" s="73">
        <v>3</v>
      </c>
      <c r="G125" s="73">
        <f>IF(OR(E125="U16",E125="S16"),1,IF(E125="TS",6,IF(E125="U64",4,2)))</f>
        <v>2</v>
      </c>
      <c r="H125" s="73">
        <v>1</v>
      </c>
      <c r="I125" s="100"/>
      <c r="J125" s="60"/>
    </row>
    <row r="126" spans="1:10" ht="15.95" customHeight="1" x14ac:dyDescent="0.3">
      <c r="A126" s="66">
        <f t="shared" ref="A126:A148" si="9">A125+(G125*H125)</f>
        <v>242</v>
      </c>
      <c r="B126" s="9" t="s">
        <v>531</v>
      </c>
      <c r="C126" s="66"/>
      <c r="D126" s="66"/>
      <c r="E126" s="16" t="s">
        <v>547</v>
      </c>
      <c r="F126" s="16">
        <v>3</v>
      </c>
      <c r="G126" s="16">
        <f t="shared" ref="G126:G148" si="10">IF(OR(E126="U16",E126="S16"),1,IF(E126="TS",6,IF(E126="U64",4,2)))</f>
        <v>2</v>
      </c>
      <c r="H126" s="66">
        <v>1</v>
      </c>
      <c r="I126" s="98"/>
    </row>
    <row r="127" spans="1:10" ht="15.95" customHeight="1" x14ac:dyDescent="0.3">
      <c r="A127" s="66">
        <f t="shared" si="9"/>
        <v>244</v>
      </c>
      <c r="B127" s="9" t="s">
        <v>140</v>
      </c>
      <c r="C127" s="66"/>
      <c r="D127" s="66"/>
      <c r="E127" s="16" t="s">
        <v>547</v>
      </c>
      <c r="F127" s="73">
        <v>3</v>
      </c>
      <c r="G127" s="16">
        <f t="shared" si="10"/>
        <v>2</v>
      </c>
      <c r="H127" s="66">
        <v>1</v>
      </c>
      <c r="I127" s="98"/>
    </row>
    <row r="128" spans="1:10" ht="15.95" customHeight="1" x14ac:dyDescent="0.3">
      <c r="A128" s="66">
        <f t="shared" si="9"/>
        <v>246</v>
      </c>
      <c r="B128" s="9" t="s">
        <v>532</v>
      </c>
      <c r="C128" s="66"/>
      <c r="D128" s="66"/>
      <c r="E128" s="16" t="s">
        <v>547</v>
      </c>
      <c r="F128" s="16">
        <v>3</v>
      </c>
      <c r="G128" s="16">
        <f t="shared" si="10"/>
        <v>2</v>
      </c>
      <c r="H128" s="66">
        <v>1</v>
      </c>
      <c r="I128" s="98"/>
    </row>
    <row r="129" spans="1:10" ht="15.95" customHeight="1" x14ac:dyDescent="0.3">
      <c r="A129" s="66">
        <f t="shared" si="9"/>
        <v>248</v>
      </c>
      <c r="B129" s="9" t="s">
        <v>533</v>
      </c>
      <c r="C129" s="66"/>
      <c r="D129" s="66"/>
      <c r="E129" s="16" t="s">
        <v>547</v>
      </c>
      <c r="F129" s="73">
        <v>3</v>
      </c>
      <c r="G129" s="16">
        <f t="shared" si="10"/>
        <v>2</v>
      </c>
      <c r="H129" s="66">
        <v>1</v>
      </c>
      <c r="I129" s="98"/>
    </row>
    <row r="130" spans="1:10" ht="15.95" customHeight="1" x14ac:dyDescent="0.3">
      <c r="A130" s="66">
        <f t="shared" si="9"/>
        <v>250</v>
      </c>
      <c r="B130" s="9"/>
      <c r="C130" s="66"/>
      <c r="D130" s="66"/>
      <c r="E130" s="16" t="s">
        <v>547</v>
      </c>
      <c r="F130" s="16">
        <v>3</v>
      </c>
      <c r="G130" s="16">
        <f t="shared" si="10"/>
        <v>2</v>
      </c>
      <c r="H130" s="66">
        <v>1</v>
      </c>
      <c r="I130" s="98"/>
    </row>
    <row r="131" spans="1:10" ht="15.95" customHeight="1" x14ac:dyDescent="0.3">
      <c r="A131" s="66">
        <f t="shared" si="9"/>
        <v>252</v>
      </c>
      <c r="B131" s="9" t="s">
        <v>534</v>
      </c>
      <c r="C131" s="66"/>
      <c r="D131" s="66"/>
      <c r="E131" s="16" t="s">
        <v>547</v>
      </c>
      <c r="F131" s="73">
        <v>3</v>
      </c>
      <c r="G131" s="16">
        <f t="shared" si="10"/>
        <v>2</v>
      </c>
      <c r="H131" s="66">
        <v>1</v>
      </c>
      <c r="I131" s="98"/>
    </row>
    <row r="132" spans="1:10" ht="15.95" customHeight="1" x14ac:dyDescent="0.3">
      <c r="A132" s="66">
        <f t="shared" si="9"/>
        <v>254</v>
      </c>
      <c r="B132" s="9" t="s">
        <v>535</v>
      </c>
      <c r="C132" s="66"/>
      <c r="D132" s="66"/>
      <c r="E132" s="16" t="s">
        <v>547</v>
      </c>
      <c r="F132" s="16">
        <v>3</v>
      </c>
      <c r="G132" s="16">
        <f t="shared" si="10"/>
        <v>2</v>
      </c>
      <c r="H132" s="66">
        <v>1</v>
      </c>
      <c r="I132" s="98"/>
    </row>
    <row r="133" spans="1:10" ht="15.95" customHeight="1" x14ac:dyDescent="0.3">
      <c r="A133" s="66">
        <f t="shared" si="9"/>
        <v>256</v>
      </c>
      <c r="B133" s="9" t="s">
        <v>536</v>
      </c>
      <c r="C133" s="66"/>
      <c r="D133" s="66"/>
      <c r="E133" s="16" t="s">
        <v>547</v>
      </c>
      <c r="F133" s="73">
        <v>3</v>
      </c>
      <c r="G133" s="16">
        <f t="shared" si="10"/>
        <v>2</v>
      </c>
      <c r="H133" s="66">
        <v>1</v>
      </c>
      <c r="I133" s="98"/>
    </row>
    <row r="134" spans="1:10" ht="15.95" customHeight="1" x14ac:dyDescent="0.3">
      <c r="A134" s="66">
        <f t="shared" si="9"/>
        <v>258</v>
      </c>
      <c r="B134" s="9" t="s">
        <v>537</v>
      </c>
      <c r="C134" s="66"/>
      <c r="D134" s="66"/>
      <c r="E134" s="16" t="s">
        <v>547</v>
      </c>
      <c r="F134" s="16">
        <v>3</v>
      </c>
      <c r="G134" s="16">
        <f t="shared" si="10"/>
        <v>2</v>
      </c>
      <c r="H134" s="66">
        <v>1</v>
      </c>
      <c r="I134" s="98"/>
    </row>
    <row r="135" spans="1:10" ht="15.95" customHeight="1" x14ac:dyDescent="0.3">
      <c r="A135" s="66">
        <f t="shared" si="9"/>
        <v>260</v>
      </c>
      <c r="B135" s="9" t="s">
        <v>538</v>
      </c>
      <c r="C135" s="66"/>
      <c r="D135" s="66"/>
      <c r="E135" s="16" t="s">
        <v>547</v>
      </c>
      <c r="F135" s="73">
        <v>3</v>
      </c>
      <c r="G135" s="16">
        <f t="shared" si="10"/>
        <v>2</v>
      </c>
      <c r="H135" s="66">
        <v>1</v>
      </c>
      <c r="I135" s="98"/>
    </row>
    <row r="136" spans="1:10" ht="15.95" customHeight="1" x14ac:dyDescent="0.3">
      <c r="A136" s="66">
        <f t="shared" si="9"/>
        <v>262</v>
      </c>
      <c r="B136" s="9"/>
      <c r="C136" s="66"/>
      <c r="D136" s="66"/>
      <c r="E136" s="16" t="s">
        <v>547</v>
      </c>
      <c r="F136" s="16">
        <v>3</v>
      </c>
      <c r="G136" s="16">
        <f t="shared" si="10"/>
        <v>2</v>
      </c>
      <c r="H136" s="66">
        <v>1</v>
      </c>
      <c r="I136" s="98"/>
    </row>
    <row r="137" spans="1:10" ht="15.95" customHeight="1" x14ac:dyDescent="0.3">
      <c r="A137" s="66">
        <f t="shared" si="9"/>
        <v>264</v>
      </c>
      <c r="B137" s="9" t="s">
        <v>539</v>
      </c>
      <c r="C137" s="66"/>
      <c r="D137" s="66"/>
      <c r="E137" s="16" t="s">
        <v>547</v>
      </c>
      <c r="F137" s="73">
        <v>3</v>
      </c>
      <c r="G137" s="16">
        <f t="shared" si="10"/>
        <v>2</v>
      </c>
      <c r="H137" s="66">
        <v>1</v>
      </c>
      <c r="I137" s="91"/>
      <c r="J137" s="9" t="s">
        <v>49</v>
      </c>
    </row>
    <row r="138" spans="1:10" ht="15.95" customHeight="1" x14ac:dyDescent="0.3">
      <c r="A138" s="66">
        <f t="shared" si="9"/>
        <v>266</v>
      </c>
      <c r="B138" s="9" t="s">
        <v>540</v>
      </c>
      <c r="C138" s="66"/>
      <c r="D138" s="66"/>
      <c r="E138" s="16" t="s">
        <v>547</v>
      </c>
      <c r="F138" s="16">
        <v>3</v>
      </c>
      <c r="G138" s="16">
        <f t="shared" si="10"/>
        <v>2</v>
      </c>
      <c r="H138" s="66">
        <v>1</v>
      </c>
      <c r="I138" s="98"/>
    </row>
    <row r="139" spans="1:10" ht="15.95" customHeight="1" x14ac:dyDescent="0.3">
      <c r="A139" s="66">
        <f t="shared" si="9"/>
        <v>268</v>
      </c>
      <c r="B139" s="9" t="s">
        <v>541</v>
      </c>
      <c r="C139" s="66"/>
      <c r="D139" s="66"/>
      <c r="E139" s="16" t="s">
        <v>547</v>
      </c>
      <c r="F139" s="73">
        <v>3</v>
      </c>
      <c r="G139" s="16">
        <f t="shared" si="10"/>
        <v>2</v>
      </c>
      <c r="H139" s="66">
        <v>1</v>
      </c>
      <c r="I139" s="98"/>
    </row>
    <row r="140" spans="1:10" ht="15.95" customHeight="1" x14ac:dyDescent="0.3">
      <c r="A140" s="66">
        <f t="shared" si="9"/>
        <v>270</v>
      </c>
      <c r="B140" s="9" t="s">
        <v>542</v>
      </c>
      <c r="C140" s="66"/>
      <c r="D140" s="66"/>
      <c r="E140" s="16" t="s">
        <v>547</v>
      </c>
      <c r="F140" s="16">
        <v>3</v>
      </c>
      <c r="G140" s="16">
        <f t="shared" si="10"/>
        <v>2</v>
      </c>
      <c r="H140" s="66">
        <v>1</v>
      </c>
      <c r="I140" s="98"/>
    </row>
    <row r="141" spans="1:10" ht="15.95" customHeight="1" x14ac:dyDescent="0.3">
      <c r="A141" s="66">
        <f t="shared" si="9"/>
        <v>272</v>
      </c>
      <c r="B141" s="9" t="s">
        <v>31</v>
      </c>
      <c r="C141" s="66"/>
      <c r="D141" s="66"/>
      <c r="E141" s="16" t="s">
        <v>547</v>
      </c>
      <c r="F141" s="73">
        <v>3</v>
      </c>
      <c r="G141" s="16">
        <f t="shared" si="10"/>
        <v>2</v>
      </c>
      <c r="H141" s="66">
        <v>1</v>
      </c>
      <c r="I141" s="98"/>
    </row>
    <row r="142" spans="1:10" ht="15.95" customHeight="1" x14ac:dyDescent="0.3">
      <c r="A142" s="66">
        <f t="shared" si="9"/>
        <v>274</v>
      </c>
      <c r="B142" s="9"/>
      <c r="C142" s="66"/>
      <c r="D142" s="66"/>
      <c r="E142" s="16" t="s">
        <v>547</v>
      </c>
      <c r="F142" s="16">
        <v>3</v>
      </c>
      <c r="G142" s="16">
        <f t="shared" si="10"/>
        <v>2</v>
      </c>
      <c r="H142" s="66">
        <v>1</v>
      </c>
      <c r="I142" s="98"/>
    </row>
    <row r="143" spans="1:10" ht="15.95" customHeight="1" x14ac:dyDescent="0.3">
      <c r="A143" s="73">
        <f t="shared" si="9"/>
        <v>276</v>
      </c>
      <c r="B143" s="59" t="s">
        <v>549</v>
      </c>
      <c r="C143" s="129" t="s">
        <v>553</v>
      </c>
      <c r="D143" s="73"/>
      <c r="E143" s="73" t="s">
        <v>548</v>
      </c>
      <c r="F143" s="73">
        <v>3</v>
      </c>
      <c r="G143" s="73">
        <f t="shared" si="10"/>
        <v>4</v>
      </c>
      <c r="H143" s="73">
        <v>1</v>
      </c>
      <c r="I143" s="94"/>
      <c r="J143" s="9" t="s">
        <v>49</v>
      </c>
    </row>
    <row r="144" spans="1:10" ht="15.95" customHeight="1" x14ac:dyDescent="0.3">
      <c r="A144" s="73">
        <f t="shared" si="9"/>
        <v>280</v>
      </c>
      <c r="B144" s="59" t="s">
        <v>550</v>
      </c>
      <c r="C144" s="129"/>
      <c r="D144" s="73"/>
      <c r="E144" s="73" t="s">
        <v>548</v>
      </c>
      <c r="F144" s="73">
        <v>3</v>
      </c>
      <c r="G144" s="73">
        <f t="shared" si="10"/>
        <v>4</v>
      </c>
      <c r="H144" s="73">
        <v>1</v>
      </c>
      <c r="I144" s="100"/>
    </row>
    <row r="145" spans="1:9" ht="15.95" customHeight="1" x14ac:dyDescent="0.3">
      <c r="A145" s="73">
        <f t="shared" si="9"/>
        <v>284</v>
      </c>
      <c r="B145" s="59" t="s">
        <v>551</v>
      </c>
      <c r="C145" s="129"/>
      <c r="D145" s="73"/>
      <c r="E145" s="73" t="s">
        <v>548</v>
      </c>
      <c r="F145" s="73">
        <v>3</v>
      </c>
      <c r="G145" s="73">
        <f t="shared" si="10"/>
        <v>4</v>
      </c>
      <c r="H145" s="73">
        <v>1</v>
      </c>
      <c r="I145" s="100"/>
    </row>
    <row r="146" spans="1:9" ht="15.95" customHeight="1" x14ac:dyDescent="0.3">
      <c r="A146" s="73">
        <f t="shared" si="9"/>
        <v>288</v>
      </c>
      <c r="B146" s="59" t="s">
        <v>141</v>
      </c>
      <c r="C146" s="129"/>
      <c r="D146" s="73"/>
      <c r="E146" s="73" t="s">
        <v>548</v>
      </c>
      <c r="F146" s="73">
        <v>3</v>
      </c>
      <c r="G146" s="73">
        <f t="shared" si="10"/>
        <v>4</v>
      </c>
      <c r="H146" s="73">
        <v>1</v>
      </c>
      <c r="I146" s="100"/>
    </row>
    <row r="147" spans="1:9" ht="15.95" customHeight="1" x14ac:dyDescent="0.3">
      <c r="A147" s="73">
        <f t="shared" si="9"/>
        <v>292</v>
      </c>
      <c r="B147" s="59" t="s">
        <v>552</v>
      </c>
      <c r="C147" s="129"/>
      <c r="D147" s="73"/>
      <c r="E147" s="73" t="s">
        <v>548</v>
      </c>
      <c r="F147" s="73">
        <v>3</v>
      </c>
      <c r="G147" s="73">
        <f t="shared" si="10"/>
        <v>4</v>
      </c>
      <c r="H147" s="73">
        <v>1</v>
      </c>
      <c r="I147" s="100"/>
    </row>
    <row r="148" spans="1:9" ht="15.95" customHeight="1" x14ac:dyDescent="0.3">
      <c r="A148" s="73">
        <f t="shared" si="9"/>
        <v>296</v>
      </c>
      <c r="B148" s="59"/>
      <c r="C148" s="129"/>
      <c r="D148" s="73"/>
      <c r="E148" s="73" t="s">
        <v>548</v>
      </c>
      <c r="F148" s="73">
        <v>3</v>
      </c>
      <c r="G148" s="73">
        <f t="shared" si="10"/>
        <v>4</v>
      </c>
      <c r="H148" s="73">
        <v>1</v>
      </c>
      <c r="I148" s="100"/>
    </row>
    <row r="149" spans="1:9" ht="15.95" customHeight="1" x14ac:dyDescent="0.3">
      <c r="A149" s="122" t="s">
        <v>138</v>
      </c>
      <c r="B149" s="122"/>
      <c r="C149" s="122"/>
      <c r="D149" s="122"/>
      <c r="E149" s="122"/>
      <c r="F149" s="122"/>
      <c r="G149" s="122"/>
      <c r="H149" s="122"/>
      <c r="I149" s="104"/>
    </row>
    <row r="150" spans="1:9" ht="15.95" customHeight="1" x14ac:dyDescent="0.3">
      <c r="A150" s="66">
        <f>A148+(G148*H148)</f>
        <v>300</v>
      </c>
      <c r="B150" s="9" t="s">
        <v>90</v>
      </c>
      <c r="C150" s="123"/>
      <c r="D150" s="66"/>
      <c r="E150" s="16" t="s">
        <v>92</v>
      </c>
      <c r="F150" s="16">
        <v>3</v>
      </c>
      <c r="G150" s="16">
        <f t="shared" ref="G150:G167" si="11">IF(OR(E150="U16", E150="S16"),1,IF(E150="TS",6,2))</f>
        <v>2</v>
      </c>
      <c r="H150" s="66">
        <v>1</v>
      </c>
      <c r="I150" s="98"/>
    </row>
    <row r="151" spans="1:9" ht="15.95" customHeight="1" x14ac:dyDescent="0.3">
      <c r="A151" s="66">
        <f t="shared" ref="A151:A186" si="12">A150+(G150*H150)</f>
        <v>302</v>
      </c>
      <c r="B151" s="9" t="s">
        <v>42</v>
      </c>
      <c r="C151" s="123"/>
      <c r="D151" s="66"/>
      <c r="E151" s="16" t="s">
        <v>555</v>
      </c>
      <c r="F151" s="16">
        <v>3</v>
      </c>
      <c r="G151" s="16">
        <f t="shared" si="11"/>
        <v>2</v>
      </c>
      <c r="H151" s="66">
        <v>1</v>
      </c>
      <c r="I151" s="98"/>
    </row>
    <row r="152" spans="1:9" ht="15.95" customHeight="1" x14ac:dyDescent="0.3">
      <c r="A152" s="66">
        <f t="shared" si="12"/>
        <v>304</v>
      </c>
      <c r="B152" s="9" t="s">
        <v>90</v>
      </c>
      <c r="C152" s="123"/>
      <c r="D152" s="66"/>
      <c r="E152" s="16" t="s">
        <v>92</v>
      </c>
      <c r="F152" s="16">
        <v>3</v>
      </c>
      <c r="G152" s="16">
        <f t="shared" si="11"/>
        <v>2</v>
      </c>
      <c r="H152" s="66">
        <v>1</v>
      </c>
      <c r="I152" s="98"/>
    </row>
    <row r="153" spans="1:9" ht="15.95" customHeight="1" x14ac:dyDescent="0.3">
      <c r="A153" s="66">
        <f t="shared" si="12"/>
        <v>306</v>
      </c>
      <c r="B153" s="9" t="s">
        <v>43</v>
      </c>
      <c r="C153" s="123"/>
      <c r="D153" s="66"/>
      <c r="E153" s="16" t="s">
        <v>555</v>
      </c>
      <c r="F153" s="16">
        <v>3</v>
      </c>
      <c r="G153" s="16">
        <f t="shared" si="11"/>
        <v>2</v>
      </c>
      <c r="H153" s="66">
        <v>1</v>
      </c>
      <c r="I153" s="98"/>
    </row>
    <row r="154" spans="1:9" ht="15.95" customHeight="1" x14ac:dyDescent="0.3">
      <c r="A154" s="66">
        <f t="shared" si="12"/>
        <v>308</v>
      </c>
      <c r="B154" s="9" t="s">
        <v>90</v>
      </c>
      <c r="C154" s="123"/>
      <c r="D154" s="66"/>
      <c r="E154" s="16" t="s">
        <v>92</v>
      </c>
      <c r="F154" s="16">
        <v>3</v>
      </c>
      <c r="G154" s="16">
        <f t="shared" si="11"/>
        <v>2</v>
      </c>
      <c r="H154" s="66">
        <v>1</v>
      </c>
      <c r="I154" s="98"/>
    </row>
    <row r="155" spans="1:9" ht="15.95" customHeight="1" x14ac:dyDescent="0.3">
      <c r="A155" s="66">
        <f t="shared" si="12"/>
        <v>310</v>
      </c>
      <c r="B155" s="9" t="s">
        <v>44</v>
      </c>
      <c r="C155" s="123"/>
      <c r="D155" s="66"/>
      <c r="E155" s="16" t="s">
        <v>555</v>
      </c>
      <c r="F155" s="16">
        <v>3</v>
      </c>
      <c r="G155" s="16">
        <f t="shared" si="11"/>
        <v>2</v>
      </c>
      <c r="H155" s="66">
        <v>1</v>
      </c>
      <c r="I155" s="98"/>
    </row>
    <row r="156" spans="1:9" ht="15.95" customHeight="1" x14ac:dyDescent="0.3">
      <c r="A156" s="66">
        <f t="shared" si="12"/>
        <v>312</v>
      </c>
      <c r="B156" s="9" t="s">
        <v>90</v>
      </c>
      <c r="C156" s="123"/>
      <c r="D156" s="66"/>
      <c r="E156" s="16" t="s">
        <v>92</v>
      </c>
      <c r="F156" s="16">
        <v>3</v>
      </c>
      <c r="G156" s="16">
        <f t="shared" si="11"/>
        <v>2</v>
      </c>
      <c r="H156" s="66">
        <v>1</v>
      </c>
      <c r="I156" s="98"/>
    </row>
    <row r="157" spans="1:9" ht="15.95" customHeight="1" x14ac:dyDescent="0.3">
      <c r="A157" s="66">
        <f t="shared" si="12"/>
        <v>314</v>
      </c>
      <c r="B157" s="9" t="s">
        <v>45</v>
      </c>
      <c r="C157" s="123"/>
      <c r="D157" s="66"/>
      <c r="E157" s="16" t="s">
        <v>555</v>
      </c>
      <c r="F157" s="16">
        <v>3</v>
      </c>
      <c r="G157" s="16">
        <f t="shared" si="11"/>
        <v>2</v>
      </c>
      <c r="H157" s="66">
        <v>1</v>
      </c>
      <c r="I157" s="98"/>
    </row>
    <row r="158" spans="1:9" ht="15.95" customHeight="1" x14ac:dyDescent="0.3">
      <c r="A158" s="66">
        <f t="shared" si="12"/>
        <v>316</v>
      </c>
      <c r="B158" s="9" t="s">
        <v>90</v>
      </c>
      <c r="C158" s="123"/>
      <c r="D158" s="66"/>
      <c r="E158" s="16" t="s">
        <v>92</v>
      </c>
      <c r="F158" s="16">
        <v>3</v>
      </c>
      <c r="G158" s="16">
        <f t="shared" si="11"/>
        <v>2</v>
      </c>
      <c r="H158" s="66">
        <v>1</v>
      </c>
      <c r="I158" s="98"/>
    </row>
    <row r="159" spans="1:9" ht="15.95" customHeight="1" x14ac:dyDescent="0.3">
      <c r="A159" s="66">
        <f t="shared" si="12"/>
        <v>318</v>
      </c>
      <c r="B159" s="9" t="s">
        <v>134</v>
      </c>
      <c r="C159" s="123"/>
      <c r="D159" s="66"/>
      <c r="E159" s="16" t="s">
        <v>555</v>
      </c>
      <c r="F159" s="16">
        <v>3</v>
      </c>
      <c r="G159" s="16">
        <f t="shared" si="11"/>
        <v>2</v>
      </c>
      <c r="H159" s="66">
        <v>1</v>
      </c>
      <c r="I159" s="98"/>
    </row>
    <row r="160" spans="1:9" ht="15.95" customHeight="1" x14ac:dyDescent="0.3">
      <c r="A160" s="66">
        <f t="shared" si="12"/>
        <v>320</v>
      </c>
      <c r="B160" s="9" t="s">
        <v>90</v>
      </c>
      <c r="C160" s="123"/>
      <c r="D160" s="66"/>
      <c r="E160" s="16" t="s">
        <v>92</v>
      </c>
      <c r="F160" s="16">
        <v>3</v>
      </c>
      <c r="G160" s="16">
        <f t="shared" si="11"/>
        <v>2</v>
      </c>
      <c r="H160" s="66">
        <v>1</v>
      </c>
      <c r="I160" s="98"/>
    </row>
    <row r="161" spans="1:10" ht="15.95" customHeight="1" x14ac:dyDescent="0.3">
      <c r="A161" s="66">
        <f t="shared" si="12"/>
        <v>322</v>
      </c>
      <c r="B161" s="9" t="s">
        <v>46</v>
      </c>
      <c r="C161" s="123"/>
      <c r="D161" s="66"/>
      <c r="E161" s="16" t="s">
        <v>555</v>
      </c>
      <c r="F161" s="16">
        <v>3</v>
      </c>
      <c r="G161" s="16">
        <f t="shared" si="11"/>
        <v>2</v>
      </c>
      <c r="H161" s="66">
        <v>1</v>
      </c>
      <c r="I161" s="98"/>
    </row>
    <row r="162" spans="1:10" ht="15.95" customHeight="1" x14ac:dyDescent="0.3">
      <c r="A162" s="66">
        <f t="shared" si="12"/>
        <v>324</v>
      </c>
      <c r="B162" s="9" t="s">
        <v>90</v>
      </c>
      <c r="C162" s="123"/>
      <c r="D162" s="66"/>
      <c r="E162" s="16" t="s">
        <v>92</v>
      </c>
      <c r="F162" s="16">
        <v>3</v>
      </c>
      <c r="G162" s="16">
        <f t="shared" si="11"/>
        <v>2</v>
      </c>
      <c r="H162" s="66">
        <v>1</v>
      </c>
      <c r="I162" s="98"/>
    </row>
    <row r="163" spans="1:10" ht="15.95" customHeight="1" x14ac:dyDescent="0.3">
      <c r="A163" s="66">
        <f t="shared" si="12"/>
        <v>326</v>
      </c>
      <c r="B163" s="9" t="s">
        <v>47</v>
      </c>
      <c r="C163" s="123"/>
      <c r="D163" s="66"/>
      <c r="E163" s="16" t="s">
        <v>555</v>
      </c>
      <c r="F163" s="16">
        <v>3</v>
      </c>
      <c r="G163" s="16">
        <f t="shared" si="11"/>
        <v>2</v>
      </c>
      <c r="H163" s="66">
        <v>1</v>
      </c>
      <c r="I163" s="98"/>
    </row>
    <row r="164" spans="1:10" ht="15.95" customHeight="1" x14ac:dyDescent="0.3">
      <c r="A164" s="66">
        <f t="shared" si="12"/>
        <v>328</v>
      </c>
      <c r="B164" s="9" t="s">
        <v>90</v>
      </c>
      <c r="C164" s="123"/>
      <c r="D164" s="66"/>
      <c r="E164" s="16" t="s">
        <v>92</v>
      </c>
      <c r="F164" s="16">
        <v>3</v>
      </c>
      <c r="G164" s="16">
        <f t="shared" si="11"/>
        <v>2</v>
      </c>
      <c r="H164" s="66">
        <v>1</v>
      </c>
      <c r="I164" s="98"/>
    </row>
    <row r="165" spans="1:10" ht="15.95" customHeight="1" x14ac:dyDescent="0.3">
      <c r="A165" s="66">
        <f t="shared" si="12"/>
        <v>330</v>
      </c>
      <c r="B165" s="9" t="s">
        <v>48</v>
      </c>
      <c r="C165" s="123"/>
      <c r="D165" s="66"/>
      <c r="E165" s="16" t="s">
        <v>555</v>
      </c>
      <c r="F165" s="16">
        <v>3</v>
      </c>
      <c r="G165" s="16">
        <f t="shared" si="11"/>
        <v>2</v>
      </c>
      <c r="H165" s="66">
        <v>1</v>
      </c>
      <c r="I165" s="98"/>
    </row>
    <row r="166" spans="1:10" ht="15.95" customHeight="1" x14ac:dyDescent="0.3">
      <c r="A166" s="66">
        <f t="shared" si="12"/>
        <v>332</v>
      </c>
      <c r="B166" s="9" t="s">
        <v>397</v>
      </c>
      <c r="C166" s="66"/>
      <c r="D166" s="66"/>
      <c r="E166" s="16" t="s">
        <v>92</v>
      </c>
      <c r="F166" s="16">
        <v>3</v>
      </c>
      <c r="G166" s="16">
        <f t="shared" si="11"/>
        <v>2</v>
      </c>
      <c r="H166" s="66">
        <v>1</v>
      </c>
      <c r="I166" s="98"/>
    </row>
    <row r="167" spans="1:10" ht="15.95" customHeight="1" x14ac:dyDescent="0.3">
      <c r="A167" s="66">
        <f t="shared" si="12"/>
        <v>334</v>
      </c>
      <c r="B167" s="9" t="s">
        <v>49</v>
      </c>
      <c r="C167" s="66"/>
      <c r="D167" s="66"/>
      <c r="E167" s="16" t="s">
        <v>59</v>
      </c>
      <c r="F167" s="16">
        <v>3</v>
      </c>
      <c r="G167" s="16">
        <f t="shared" si="11"/>
        <v>2</v>
      </c>
      <c r="H167" s="66">
        <v>1</v>
      </c>
      <c r="I167" s="98"/>
    </row>
    <row r="168" spans="1:10" ht="15.95" customHeight="1" x14ac:dyDescent="0.3">
      <c r="A168" s="66">
        <f t="shared" si="12"/>
        <v>336</v>
      </c>
      <c r="B168" s="9" t="s">
        <v>50</v>
      </c>
      <c r="C168" s="66"/>
      <c r="D168" s="66"/>
      <c r="E168" s="16" t="s">
        <v>59</v>
      </c>
      <c r="F168" s="16">
        <v>3</v>
      </c>
      <c r="G168" s="16">
        <f t="shared" ref="G168:G186" si="13">IF(OR(E168="U16", E168="S16"),1,IF(E168="TS",6,2))</f>
        <v>2</v>
      </c>
      <c r="H168" s="66">
        <v>1</v>
      </c>
      <c r="I168" s="98"/>
      <c r="J168" s="10" t="s">
        <v>144</v>
      </c>
    </row>
    <row r="169" spans="1:10" ht="15.95" customHeight="1" x14ac:dyDescent="0.3">
      <c r="A169" s="66">
        <f t="shared" si="12"/>
        <v>338</v>
      </c>
      <c r="B169" s="9" t="s">
        <v>51</v>
      </c>
      <c r="C169" s="66"/>
      <c r="D169" s="66"/>
      <c r="E169" s="16" t="s">
        <v>59</v>
      </c>
      <c r="F169" s="16">
        <v>3</v>
      </c>
      <c r="G169" s="16">
        <f t="shared" si="13"/>
        <v>2</v>
      </c>
      <c r="H169" s="66">
        <v>1</v>
      </c>
      <c r="I169" s="98"/>
    </row>
    <row r="170" spans="1:10" ht="15.95" customHeight="1" x14ac:dyDescent="0.3">
      <c r="A170" s="66">
        <f t="shared" si="12"/>
        <v>340</v>
      </c>
      <c r="B170" s="9" t="s">
        <v>52</v>
      </c>
      <c r="C170" s="66"/>
      <c r="D170" s="66"/>
      <c r="E170" s="16" t="s">
        <v>59</v>
      </c>
      <c r="F170" s="16">
        <v>3</v>
      </c>
      <c r="G170" s="16">
        <f t="shared" si="13"/>
        <v>2</v>
      </c>
      <c r="H170" s="66">
        <v>1</v>
      </c>
      <c r="I170" s="98"/>
    </row>
    <row r="171" spans="1:10" ht="15.95" customHeight="1" x14ac:dyDescent="0.3">
      <c r="A171" s="66">
        <f t="shared" si="12"/>
        <v>342</v>
      </c>
      <c r="B171" s="9" t="s">
        <v>53</v>
      </c>
      <c r="C171" s="66"/>
      <c r="D171" s="66"/>
      <c r="E171" s="16" t="s">
        <v>59</v>
      </c>
      <c r="F171" s="16">
        <v>3</v>
      </c>
      <c r="G171" s="16">
        <f t="shared" si="13"/>
        <v>2</v>
      </c>
      <c r="H171" s="66">
        <v>1</v>
      </c>
      <c r="I171" s="98"/>
    </row>
    <row r="172" spans="1:10" ht="15.95" customHeight="1" x14ac:dyDescent="0.3">
      <c r="A172" s="66">
        <f t="shared" si="12"/>
        <v>344</v>
      </c>
      <c r="B172" s="9" t="s">
        <v>54</v>
      </c>
      <c r="C172" s="66"/>
      <c r="D172" s="66"/>
      <c r="E172" s="16" t="s">
        <v>59</v>
      </c>
      <c r="F172" s="16">
        <v>3</v>
      </c>
      <c r="G172" s="16">
        <f t="shared" si="13"/>
        <v>2</v>
      </c>
      <c r="H172" s="66">
        <v>1</v>
      </c>
      <c r="I172" s="98"/>
    </row>
    <row r="173" spans="1:10" ht="15.95" customHeight="1" x14ac:dyDescent="0.3">
      <c r="A173" s="66">
        <f t="shared" si="12"/>
        <v>346</v>
      </c>
      <c r="B173" s="9" t="s">
        <v>55</v>
      </c>
      <c r="C173" s="66"/>
      <c r="D173" s="66"/>
      <c r="E173" s="16" t="s">
        <v>59</v>
      </c>
      <c r="F173" s="16">
        <v>3</v>
      </c>
      <c r="G173" s="16">
        <f t="shared" si="13"/>
        <v>2</v>
      </c>
      <c r="H173" s="66">
        <v>1</v>
      </c>
      <c r="I173" s="98"/>
    </row>
    <row r="174" spans="1:10" ht="15.95" customHeight="1" x14ac:dyDescent="0.3">
      <c r="A174" s="66">
        <f t="shared" si="12"/>
        <v>348</v>
      </c>
      <c r="B174" s="9" t="s">
        <v>56</v>
      </c>
      <c r="C174" s="66"/>
      <c r="D174" s="66"/>
      <c r="E174" s="16" t="s">
        <v>59</v>
      </c>
      <c r="F174" s="16">
        <v>3</v>
      </c>
      <c r="G174" s="16">
        <f t="shared" si="13"/>
        <v>2</v>
      </c>
      <c r="H174" s="66">
        <v>1</v>
      </c>
      <c r="I174" s="98"/>
    </row>
    <row r="175" spans="1:10" ht="15.95" customHeight="1" x14ac:dyDescent="0.3">
      <c r="A175" s="66">
        <f t="shared" si="12"/>
        <v>350</v>
      </c>
      <c r="B175" s="9" t="s">
        <v>260</v>
      </c>
      <c r="C175" s="66"/>
      <c r="D175" s="66"/>
      <c r="E175" s="16" t="s">
        <v>59</v>
      </c>
      <c r="F175" s="16">
        <v>3</v>
      </c>
      <c r="G175" s="16">
        <f t="shared" si="13"/>
        <v>2</v>
      </c>
      <c r="H175" s="66">
        <v>1</v>
      </c>
      <c r="I175" s="98"/>
    </row>
    <row r="176" spans="1:10" ht="15.95" customHeight="1" x14ac:dyDescent="0.3">
      <c r="A176" s="66">
        <f t="shared" si="12"/>
        <v>352</v>
      </c>
      <c r="B176" s="9" t="s">
        <v>261</v>
      </c>
      <c r="C176" s="66"/>
      <c r="D176" s="66"/>
      <c r="E176" s="16" t="s">
        <v>59</v>
      </c>
      <c r="F176" s="16">
        <v>3</v>
      </c>
      <c r="G176" s="16">
        <f t="shared" si="13"/>
        <v>2</v>
      </c>
      <c r="H176" s="66">
        <v>1</v>
      </c>
      <c r="I176" s="98"/>
    </row>
    <row r="177" spans="1:10" ht="15.95" customHeight="1" x14ac:dyDescent="0.3">
      <c r="A177" s="66">
        <f t="shared" si="12"/>
        <v>354</v>
      </c>
      <c r="B177" s="9" t="s">
        <v>262</v>
      </c>
      <c r="C177" s="66"/>
      <c r="D177" s="66"/>
      <c r="E177" s="16" t="s">
        <v>59</v>
      </c>
      <c r="F177" s="16">
        <v>3</v>
      </c>
      <c r="G177" s="16">
        <f t="shared" si="13"/>
        <v>2</v>
      </c>
      <c r="H177" s="66">
        <v>1</v>
      </c>
      <c r="I177" s="98"/>
    </row>
    <row r="178" spans="1:10" ht="15.95" customHeight="1" x14ac:dyDescent="0.3">
      <c r="A178" s="66">
        <f t="shared" si="12"/>
        <v>356</v>
      </c>
      <c r="B178" s="9" t="s">
        <v>263</v>
      </c>
      <c r="C178" s="66"/>
      <c r="D178" s="66"/>
      <c r="E178" s="16" t="s">
        <v>59</v>
      </c>
      <c r="F178" s="16">
        <v>3</v>
      </c>
      <c r="G178" s="16">
        <f t="shared" si="13"/>
        <v>2</v>
      </c>
      <c r="H178" s="66">
        <v>1</v>
      </c>
      <c r="I178" s="98"/>
    </row>
    <row r="179" spans="1:10" ht="15.95" customHeight="1" x14ac:dyDescent="0.3">
      <c r="A179" s="66">
        <f t="shared" si="12"/>
        <v>358</v>
      </c>
      <c r="B179" s="9" t="s">
        <v>264</v>
      </c>
      <c r="C179" s="66"/>
      <c r="D179" s="66"/>
      <c r="E179" s="16" t="s">
        <v>59</v>
      </c>
      <c r="F179" s="16">
        <v>3</v>
      </c>
      <c r="G179" s="16">
        <f t="shared" si="13"/>
        <v>2</v>
      </c>
      <c r="H179" s="66">
        <v>1</v>
      </c>
      <c r="I179" s="98"/>
    </row>
    <row r="180" spans="1:10" ht="15.95" customHeight="1" x14ac:dyDescent="0.3">
      <c r="A180" s="66">
        <f t="shared" si="12"/>
        <v>360</v>
      </c>
      <c r="B180" s="9" t="s">
        <v>93</v>
      </c>
      <c r="C180" s="66"/>
      <c r="D180" s="66"/>
      <c r="E180" s="16" t="s">
        <v>59</v>
      </c>
      <c r="F180" s="16">
        <v>3</v>
      </c>
      <c r="G180" s="16">
        <f t="shared" si="13"/>
        <v>2</v>
      </c>
      <c r="H180" s="66">
        <v>1</v>
      </c>
      <c r="I180" s="98"/>
    </row>
    <row r="181" spans="1:10" ht="15.95" customHeight="1" x14ac:dyDescent="0.3">
      <c r="A181" s="66">
        <f t="shared" si="12"/>
        <v>362</v>
      </c>
      <c r="B181" s="9" t="s">
        <v>266</v>
      </c>
      <c r="C181" s="66"/>
      <c r="D181" s="66"/>
      <c r="E181" s="16" t="s">
        <v>59</v>
      </c>
      <c r="F181" s="16">
        <v>3</v>
      </c>
      <c r="G181" s="16">
        <f t="shared" si="13"/>
        <v>2</v>
      </c>
      <c r="H181" s="66">
        <v>1</v>
      </c>
      <c r="I181" s="98"/>
    </row>
    <row r="182" spans="1:10" ht="15.95" customHeight="1" x14ac:dyDescent="0.3">
      <c r="A182" s="66">
        <f t="shared" si="12"/>
        <v>364</v>
      </c>
      <c r="B182" s="9"/>
      <c r="C182" s="66"/>
      <c r="D182" s="66"/>
      <c r="E182" s="16" t="s">
        <v>59</v>
      </c>
      <c r="F182" s="16">
        <v>3</v>
      </c>
      <c r="G182" s="16">
        <f t="shared" si="13"/>
        <v>2</v>
      </c>
      <c r="H182" s="66">
        <v>1</v>
      </c>
      <c r="I182" s="98"/>
    </row>
    <row r="183" spans="1:10" ht="15.95" customHeight="1" x14ac:dyDescent="0.3">
      <c r="A183" s="66">
        <f t="shared" si="12"/>
        <v>366</v>
      </c>
      <c r="B183" s="9"/>
      <c r="C183" s="66"/>
      <c r="D183" s="66"/>
      <c r="E183" s="16" t="s">
        <v>59</v>
      </c>
      <c r="F183" s="16">
        <v>3</v>
      </c>
      <c r="G183" s="16">
        <f t="shared" si="13"/>
        <v>2</v>
      </c>
      <c r="H183" s="66">
        <v>1</v>
      </c>
      <c r="I183" s="98"/>
    </row>
    <row r="184" spans="1:10" ht="15.95" customHeight="1" x14ac:dyDescent="0.3">
      <c r="A184" s="66">
        <f t="shared" si="12"/>
        <v>368</v>
      </c>
      <c r="B184" s="9" t="s">
        <v>570</v>
      </c>
      <c r="C184" s="66"/>
      <c r="D184" s="66"/>
      <c r="E184" s="16" t="s">
        <v>564</v>
      </c>
      <c r="F184" s="16">
        <v>3</v>
      </c>
      <c r="G184" s="16">
        <f t="shared" si="13"/>
        <v>2</v>
      </c>
      <c r="H184" s="66">
        <v>1</v>
      </c>
      <c r="I184" s="98"/>
    </row>
    <row r="185" spans="1:10" ht="15.95" customHeight="1" x14ac:dyDescent="0.3">
      <c r="A185" s="66">
        <f t="shared" si="12"/>
        <v>370</v>
      </c>
      <c r="B185" s="9" t="s">
        <v>265</v>
      </c>
      <c r="C185" s="66"/>
      <c r="D185" s="66"/>
      <c r="E185" s="16" t="s">
        <v>59</v>
      </c>
      <c r="F185" s="16">
        <v>3</v>
      </c>
      <c r="G185" s="16">
        <f t="shared" si="13"/>
        <v>2</v>
      </c>
      <c r="H185" s="66">
        <v>96</v>
      </c>
      <c r="I185" s="98"/>
    </row>
    <row r="186" spans="1:10" ht="15.95" customHeight="1" x14ac:dyDescent="0.3">
      <c r="A186" s="66">
        <f t="shared" si="12"/>
        <v>562</v>
      </c>
      <c r="B186" s="9"/>
      <c r="C186" s="66"/>
      <c r="D186" s="66"/>
      <c r="E186" s="16" t="s">
        <v>59</v>
      </c>
      <c r="F186" s="16">
        <v>3</v>
      </c>
      <c r="G186" s="16">
        <f t="shared" si="13"/>
        <v>2</v>
      </c>
      <c r="H186" s="66">
        <v>19</v>
      </c>
      <c r="I186" s="98"/>
    </row>
    <row r="187" spans="1:10" ht="15.95" customHeight="1" x14ac:dyDescent="0.3">
      <c r="A187" s="122" t="s">
        <v>543</v>
      </c>
      <c r="B187" s="122"/>
      <c r="C187" s="122"/>
      <c r="D187" s="122"/>
      <c r="E187" s="122"/>
      <c r="F187" s="122"/>
      <c r="G187" s="122"/>
      <c r="H187" s="122"/>
      <c r="I187" s="104"/>
      <c r="J187" s="65"/>
    </row>
    <row r="188" spans="1:10" ht="15.95" customHeight="1" x14ac:dyDescent="0.3">
      <c r="A188" s="66">
        <f>A186+(G186*H186)</f>
        <v>600</v>
      </c>
      <c r="B188" s="9" t="s">
        <v>981</v>
      </c>
      <c r="C188" s="35"/>
      <c r="D188" s="66" t="s">
        <v>982</v>
      </c>
      <c r="E188" s="16" t="s">
        <v>437</v>
      </c>
      <c r="F188" s="16">
        <v>3</v>
      </c>
      <c r="G188" s="16">
        <v>2</v>
      </c>
      <c r="H188" s="66">
        <v>1</v>
      </c>
      <c r="I188" s="98"/>
      <c r="J188" s="65"/>
    </row>
    <row r="189" spans="1:10" ht="15.95" customHeight="1" x14ac:dyDescent="0.3">
      <c r="A189" s="66">
        <f t="shared" ref="A189:A215" si="14">A188+(G188*H188)</f>
        <v>602</v>
      </c>
      <c r="B189" s="9" t="s">
        <v>983</v>
      </c>
      <c r="C189" s="35"/>
      <c r="D189" s="66" t="s">
        <v>982</v>
      </c>
      <c r="E189" s="16" t="s">
        <v>437</v>
      </c>
      <c r="F189" s="16">
        <v>3</v>
      </c>
      <c r="G189" s="16">
        <v>2</v>
      </c>
      <c r="H189" s="66">
        <v>1</v>
      </c>
      <c r="I189" s="98"/>
      <c r="J189" s="65"/>
    </row>
    <row r="190" spans="1:10" ht="15.95" customHeight="1" x14ac:dyDescent="0.3">
      <c r="A190" s="66">
        <f t="shared" si="14"/>
        <v>604</v>
      </c>
      <c r="B190" s="9" t="s">
        <v>984</v>
      </c>
      <c r="C190" s="35"/>
      <c r="D190" s="66" t="s">
        <v>982</v>
      </c>
      <c r="E190" s="16" t="s">
        <v>437</v>
      </c>
      <c r="F190" s="16">
        <v>3</v>
      </c>
      <c r="G190" s="16">
        <v>2</v>
      </c>
      <c r="H190" s="66">
        <v>1</v>
      </c>
      <c r="I190" s="98"/>
      <c r="J190" s="65"/>
    </row>
    <row r="191" spans="1:10" ht="15.95" customHeight="1" x14ac:dyDescent="0.3">
      <c r="A191" s="66">
        <f t="shared" si="14"/>
        <v>606</v>
      </c>
      <c r="B191" s="9" t="s">
        <v>985</v>
      </c>
      <c r="C191" s="35"/>
      <c r="D191" s="66" t="s">
        <v>986</v>
      </c>
      <c r="E191" s="16" t="s">
        <v>437</v>
      </c>
      <c r="F191" s="16">
        <v>3</v>
      </c>
      <c r="G191" s="16">
        <v>2</v>
      </c>
      <c r="H191" s="66">
        <v>1</v>
      </c>
      <c r="I191" s="98"/>
      <c r="J191" s="65"/>
    </row>
    <row r="192" spans="1:10" ht="15.95" customHeight="1" x14ac:dyDescent="0.3">
      <c r="A192" s="66">
        <f t="shared" si="14"/>
        <v>608</v>
      </c>
      <c r="B192" s="9" t="s">
        <v>987</v>
      </c>
      <c r="C192" s="35"/>
      <c r="D192" s="66" t="s">
        <v>986</v>
      </c>
      <c r="E192" s="16" t="s">
        <v>437</v>
      </c>
      <c r="F192" s="16">
        <v>3</v>
      </c>
      <c r="G192" s="16">
        <v>2</v>
      </c>
      <c r="H192" s="66">
        <v>1</v>
      </c>
      <c r="I192" s="98"/>
      <c r="J192" s="65"/>
    </row>
    <row r="193" spans="1:10" ht="15.95" customHeight="1" x14ac:dyDescent="0.3">
      <c r="A193" s="66">
        <f t="shared" si="14"/>
        <v>610</v>
      </c>
      <c r="B193" s="9" t="s">
        <v>988</v>
      </c>
      <c r="C193" s="35"/>
      <c r="D193" s="66" t="s">
        <v>986</v>
      </c>
      <c r="E193" s="16" t="s">
        <v>437</v>
      </c>
      <c r="F193" s="16">
        <v>3</v>
      </c>
      <c r="G193" s="16">
        <v>2</v>
      </c>
      <c r="H193" s="66">
        <v>1</v>
      </c>
      <c r="I193" s="98"/>
      <c r="J193" s="65"/>
    </row>
    <row r="194" spans="1:10" ht="15.95" customHeight="1" x14ac:dyDescent="0.3">
      <c r="A194" s="66">
        <f t="shared" si="14"/>
        <v>612</v>
      </c>
      <c r="B194" s="9" t="s">
        <v>989</v>
      </c>
      <c r="C194" s="35"/>
      <c r="D194" s="66" t="s">
        <v>982</v>
      </c>
      <c r="E194" s="16" t="s">
        <v>437</v>
      </c>
      <c r="F194" s="16">
        <v>3</v>
      </c>
      <c r="G194" s="16">
        <v>2</v>
      </c>
      <c r="H194" s="66">
        <v>1</v>
      </c>
      <c r="I194" s="98"/>
      <c r="J194" s="65"/>
    </row>
    <row r="195" spans="1:10" ht="15.95" customHeight="1" x14ac:dyDescent="0.3">
      <c r="A195" s="66">
        <f t="shared" si="14"/>
        <v>614</v>
      </c>
      <c r="B195" s="9" t="s">
        <v>990</v>
      </c>
      <c r="C195" s="35"/>
      <c r="D195" s="66" t="s">
        <v>982</v>
      </c>
      <c r="E195" s="16" t="s">
        <v>437</v>
      </c>
      <c r="F195" s="16">
        <v>3</v>
      </c>
      <c r="G195" s="16">
        <v>2</v>
      </c>
      <c r="H195" s="66">
        <v>1</v>
      </c>
      <c r="I195" s="98"/>
      <c r="J195" s="65"/>
    </row>
    <row r="196" spans="1:10" ht="15.95" customHeight="1" x14ac:dyDescent="0.3">
      <c r="A196" s="66">
        <f t="shared" si="14"/>
        <v>616</v>
      </c>
      <c r="B196" s="9" t="s">
        <v>991</v>
      </c>
      <c r="C196" s="35"/>
      <c r="D196" s="66" t="s">
        <v>982</v>
      </c>
      <c r="E196" s="16" t="s">
        <v>437</v>
      </c>
      <c r="F196" s="16">
        <v>3</v>
      </c>
      <c r="G196" s="16">
        <v>2</v>
      </c>
      <c r="H196" s="66">
        <v>1</v>
      </c>
      <c r="I196" s="98"/>
      <c r="J196" s="65"/>
    </row>
    <row r="197" spans="1:10" ht="15.95" customHeight="1" x14ac:dyDescent="0.3">
      <c r="A197" s="66">
        <f t="shared" si="14"/>
        <v>618</v>
      </c>
      <c r="B197" s="9" t="s">
        <v>992</v>
      </c>
      <c r="C197" s="35"/>
      <c r="D197" s="66" t="s">
        <v>986</v>
      </c>
      <c r="E197" s="16" t="s">
        <v>437</v>
      </c>
      <c r="F197" s="16">
        <v>3</v>
      </c>
      <c r="G197" s="16">
        <v>2</v>
      </c>
      <c r="H197" s="66">
        <v>1</v>
      </c>
      <c r="I197" s="98"/>
      <c r="J197" s="65"/>
    </row>
    <row r="198" spans="1:10" ht="15.95" customHeight="1" x14ac:dyDescent="0.3">
      <c r="A198" s="66">
        <f t="shared" si="14"/>
        <v>620</v>
      </c>
      <c r="B198" s="9" t="s">
        <v>993</v>
      </c>
      <c r="C198" s="35"/>
      <c r="D198" s="66" t="s">
        <v>986</v>
      </c>
      <c r="E198" s="16" t="s">
        <v>437</v>
      </c>
      <c r="F198" s="16">
        <v>3</v>
      </c>
      <c r="G198" s="16">
        <v>2</v>
      </c>
      <c r="H198" s="66">
        <v>1</v>
      </c>
      <c r="I198" s="98"/>
      <c r="J198" s="65"/>
    </row>
    <row r="199" spans="1:10" ht="15.95" customHeight="1" x14ac:dyDescent="0.3">
      <c r="A199" s="66">
        <f t="shared" si="14"/>
        <v>622</v>
      </c>
      <c r="B199" s="9" t="s">
        <v>994</v>
      </c>
      <c r="C199" s="35"/>
      <c r="D199" s="66" t="s">
        <v>986</v>
      </c>
      <c r="E199" s="16" t="s">
        <v>437</v>
      </c>
      <c r="F199" s="16">
        <v>3</v>
      </c>
      <c r="G199" s="16">
        <v>2</v>
      </c>
      <c r="H199" s="66">
        <v>1</v>
      </c>
      <c r="I199" s="98"/>
      <c r="J199" s="65"/>
    </row>
    <row r="200" spans="1:10" ht="15.95" customHeight="1" x14ac:dyDescent="0.3">
      <c r="A200" s="66">
        <f t="shared" si="14"/>
        <v>624</v>
      </c>
      <c r="B200" s="9" t="s">
        <v>995</v>
      </c>
      <c r="C200" s="35" t="s">
        <v>996</v>
      </c>
      <c r="D200" s="66"/>
      <c r="E200" s="16" t="s">
        <v>437</v>
      </c>
      <c r="F200" s="16">
        <v>3</v>
      </c>
      <c r="G200" s="16">
        <v>2</v>
      </c>
      <c r="H200" s="66">
        <v>1</v>
      </c>
      <c r="I200" s="98"/>
      <c r="J200" s="65"/>
    </row>
    <row r="201" spans="1:10" ht="15.95" customHeight="1" x14ac:dyDescent="0.3">
      <c r="A201" s="66">
        <f t="shared" si="14"/>
        <v>626</v>
      </c>
      <c r="B201" s="9" t="s">
        <v>997</v>
      </c>
      <c r="C201" s="35"/>
      <c r="D201" s="66"/>
      <c r="E201" s="16" t="s">
        <v>437</v>
      </c>
      <c r="F201" s="16">
        <v>3</v>
      </c>
      <c r="G201" s="16">
        <v>2</v>
      </c>
      <c r="H201" s="66">
        <v>1</v>
      </c>
      <c r="I201" s="98"/>
      <c r="J201" s="65"/>
    </row>
    <row r="202" spans="1:10" ht="15.95" customHeight="1" x14ac:dyDescent="0.3">
      <c r="A202" s="66">
        <f t="shared" si="14"/>
        <v>628</v>
      </c>
      <c r="B202" s="9" t="s">
        <v>998</v>
      </c>
      <c r="C202" s="35"/>
      <c r="D202" s="66"/>
      <c r="E202" s="16" t="s">
        <v>437</v>
      </c>
      <c r="F202" s="16">
        <v>3</v>
      </c>
      <c r="G202" s="16">
        <v>2</v>
      </c>
      <c r="H202" s="66">
        <v>1</v>
      </c>
      <c r="I202" s="98"/>
      <c r="J202" s="65"/>
    </row>
    <row r="203" spans="1:10" ht="15.95" customHeight="1" x14ac:dyDescent="0.3">
      <c r="A203" s="66">
        <f t="shared" si="14"/>
        <v>630</v>
      </c>
      <c r="B203" s="9" t="s">
        <v>999</v>
      </c>
      <c r="C203" s="35" t="s">
        <v>1000</v>
      </c>
      <c r="D203" s="66"/>
      <c r="E203" s="16" t="s">
        <v>437</v>
      </c>
      <c r="F203" s="16">
        <v>3</v>
      </c>
      <c r="G203" s="16">
        <v>2</v>
      </c>
      <c r="H203" s="66">
        <v>1</v>
      </c>
      <c r="I203" s="98"/>
      <c r="J203" s="65"/>
    </row>
    <row r="204" spans="1:10" ht="15.95" customHeight="1" x14ac:dyDescent="0.3">
      <c r="A204" s="66">
        <f t="shared" si="14"/>
        <v>632</v>
      </c>
      <c r="B204" s="9" t="s">
        <v>1001</v>
      </c>
      <c r="C204" s="66"/>
      <c r="D204" s="66"/>
      <c r="E204" s="16" t="s">
        <v>437</v>
      </c>
      <c r="F204" s="16">
        <v>3</v>
      </c>
      <c r="G204" s="16">
        <v>2</v>
      </c>
      <c r="H204" s="66">
        <v>1</v>
      </c>
      <c r="I204" s="98"/>
      <c r="J204" s="65"/>
    </row>
    <row r="205" spans="1:10" ht="15.95" customHeight="1" x14ac:dyDescent="0.3">
      <c r="A205" s="66">
        <f t="shared" si="14"/>
        <v>634</v>
      </c>
      <c r="B205" s="9" t="s">
        <v>1002</v>
      </c>
      <c r="C205" s="66"/>
      <c r="D205" s="66"/>
      <c r="E205" s="16" t="s">
        <v>437</v>
      </c>
      <c r="F205" s="16">
        <v>3</v>
      </c>
      <c r="G205" s="16">
        <v>2</v>
      </c>
      <c r="H205" s="66">
        <v>1</v>
      </c>
      <c r="I205" s="98"/>
      <c r="J205" s="65"/>
    </row>
    <row r="206" spans="1:10" ht="15.95" customHeight="1" x14ac:dyDescent="0.3">
      <c r="A206" s="66">
        <f t="shared" si="14"/>
        <v>636</v>
      </c>
      <c r="B206" s="9" t="s">
        <v>1003</v>
      </c>
      <c r="C206" s="66" t="s">
        <v>1004</v>
      </c>
      <c r="D206" s="66"/>
      <c r="E206" s="16" t="s">
        <v>437</v>
      </c>
      <c r="F206" s="16">
        <v>3</v>
      </c>
      <c r="G206" s="16">
        <v>2</v>
      </c>
      <c r="H206" s="66">
        <v>1</v>
      </c>
      <c r="I206" s="98"/>
      <c r="J206" s="65" t="s">
        <v>144</v>
      </c>
    </row>
    <row r="207" spans="1:10" ht="15.95" customHeight="1" x14ac:dyDescent="0.3">
      <c r="A207" s="66">
        <f t="shared" si="14"/>
        <v>638</v>
      </c>
      <c r="B207" s="9" t="s">
        <v>1005</v>
      </c>
      <c r="C207" s="66"/>
      <c r="D207" s="66"/>
      <c r="E207" s="16" t="s">
        <v>437</v>
      </c>
      <c r="F207" s="16">
        <v>3</v>
      </c>
      <c r="G207" s="16">
        <v>2</v>
      </c>
      <c r="H207" s="66">
        <v>1</v>
      </c>
      <c r="I207" s="98"/>
      <c r="J207" s="65"/>
    </row>
    <row r="208" spans="1:10" ht="15.95" customHeight="1" x14ac:dyDescent="0.3">
      <c r="A208" s="66">
        <f t="shared" si="14"/>
        <v>640</v>
      </c>
      <c r="B208" s="9" t="s">
        <v>1006</v>
      </c>
      <c r="C208" s="66"/>
      <c r="D208" s="66"/>
      <c r="E208" s="16" t="s">
        <v>437</v>
      </c>
      <c r="F208" s="16">
        <v>3</v>
      </c>
      <c r="G208" s="16">
        <v>2</v>
      </c>
      <c r="H208" s="66">
        <v>1</v>
      </c>
      <c r="I208" s="98"/>
      <c r="J208" s="65"/>
    </row>
    <row r="209" spans="1:10" ht="27" x14ac:dyDescent="0.3">
      <c r="A209" s="66">
        <f t="shared" si="14"/>
        <v>642</v>
      </c>
      <c r="B209" s="9" t="s">
        <v>1007</v>
      </c>
      <c r="C209" s="66" t="s">
        <v>1008</v>
      </c>
      <c r="D209" s="66"/>
      <c r="E209" s="16" t="s">
        <v>437</v>
      </c>
      <c r="F209" s="16">
        <v>3</v>
      </c>
      <c r="G209" s="16">
        <v>2</v>
      </c>
      <c r="H209" s="66">
        <v>1</v>
      </c>
      <c r="I209" s="98"/>
      <c r="J209" s="65"/>
    </row>
    <row r="210" spans="1:10" ht="15.95" customHeight="1" x14ac:dyDescent="0.3">
      <c r="A210" s="66">
        <f t="shared" si="14"/>
        <v>644</v>
      </c>
      <c r="B210" s="9" t="s">
        <v>1009</v>
      </c>
      <c r="C210" s="66"/>
      <c r="D210" s="66"/>
      <c r="E210" s="16" t="s">
        <v>437</v>
      </c>
      <c r="F210" s="16">
        <v>3</v>
      </c>
      <c r="G210" s="16">
        <v>2</v>
      </c>
      <c r="H210" s="66">
        <v>1</v>
      </c>
      <c r="I210" s="98"/>
      <c r="J210" s="65"/>
    </row>
    <row r="211" spans="1:10" ht="15.95" customHeight="1" x14ac:dyDescent="0.3">
      <c r="A211" s="66">
        <f t="shared" si="14"/>
        <v>646</v>
      </c>
      <c r="B211" s="9" t="s">
        <v>1010</v>
      </c>
      <c r="C211" s="66"/>
      <c r="D211" s="66"/>
      <c r="E211" s="16" t="s">
        <v>437</v>
      </c>
      <c r="F211" s="16">
        <v>3</v>
      </c>
      <c r="G211" s="16">
        <v>2</v>
      </c>
      <c r="H211" s="66">
        <v>1</v>
      </c>
      <c r="I211" s="98"/>
      <c r="J211" s="65"/>
    </row>
    <row r="212" spans="1:10" ht="40.5" x14ac:dyDescent="0.3">
      <c r="A212" s="66">
        <f t="shared" si="14"/>
        <v>648</v>
      </c>
      <c r="B212" s="9" t="s">
        <v>1011</v>
      </c>
      <c r="C212" s="66" t="s">
        <v>1012</v>
      </c>
      <c r="D212" s="66"/>
      <c r="E212" s="16" t="s">
        <v>437</v>
      </c>
      <c r="F212" s="16">
        <v>3</v>
      </c>
      <c r="G212" s="16">
        <v>2</v>
      </c>
      <c r="H212" s="66">
        <v>1</v>
      </c>
      <c r="I212" s="98"/>
      <c r="J212" s="65"/>
    </row>
    <row r="213" spans="1:10" ht="15.95" customHeight="1" x14ac:dyDescent="0.3">
      <c r="A213" s="66">
        <f t="shared" si="14"/>
        <v>650</v>
      </c>
      <c r="B213" s="9" t="s">
        <v>1013</v>
      </c>
      <c r="C213" s="66"/>
      <c r="D213" s="66"/>
      <c r="E213" s="16" t="s">
        <v>437</v>
      </c>
      <c r="F213" s="16">
        <v>3</v>
      </c>
      <c r="G213" s="16">
        <v>2</v>
      </c>
      <c r="H213" s="66">
        <v>1</v>
      </c>
      <c r="I213" s="98"/>
      <c r="J213" s="65"/>
    </row>
    <row r="214" spans="1:10" ht="15.95" customHeight="1" x14ac:dyDescent="0.3">
      <c r="A214" s="66">
        <f t="shared" si="14"/>
        <v>652</v>
      </c>
      <c r="B214" s="9" t="s">
        <v>1014</v>
      </c>
      <c r="C214" s="66"/>
      <c r="D214" s="66"/>
      <c r="E214" s="16" t="s">
        <v>437</v>
      </c>
      <c r="F214" s="16">
        <v>3</v>
      </c>
      <c r="G214" s="16">
        <v>2</v>
      </c>
      <c r="H214" s="66">
        <v>1</v>
      </c>
      <c r="I214" s="98"/>
      <c r="J214" s="65"/>
    </row>
    <row r="215" spans="1:10" ht="15.95" customHeight="1" x14ac:dyDescent="0.3">
      <c r="A215" s="66">
        <f t="shared" si="14"/>
        <v>654</v>
      </c>
      <c r="B215" s="9"/>
      <c r="C215" s="66"/>
      <c r="D215" s="66"/>
      <c r="E215" s="16" t="s">
        <v>437</v>
      </c>
      <c r="F215" s="16">
        <v>3</v>
      </c>
      <c r="G215" s="16">
        <v>2</v>
      </c>
      <c r="H215" s="66">
        <v>23</v>
      </c>
      <c r="I215" s="98"/>
      <c r="J215" s="65"/>
    </row>
    <row r="216" spans="1:10" ht="15.95" customHeight="1" x14ac:dyDescent="0.3">
      <c r="A216" s="122" t="s">
        <v>697</v>
      </c>
      <c r="B216" s="122"/>
      <c r="C216" s="122"/>
      <c r="D216" s="122"/>
      <c r="E216" s="122"/>
      <c r="F216" s="122"/>
      <c r="G216" s="122"/>
      <c r="H216" s="122"/>
      <c r="I216" s="104"/>
    </row>
    <row r="217" spans="1:10" ht="15.95" customHeight="1" x14ac:dyDescent="0.3">
      <c r="A217" s="66">
        <f>A215+(G215*H215)</f>
        <v>700</v>
      </c>
      <c r="B217" s="9" t="s">
        <v>762</v>
      </c>
      <c r="C217" s="66"/>
      <c r="D217" s="66"/>
      <c r="E217" s="16" t="s">
        <v>91</v>
      </c>
      <c r="F217" s="16">
        <v>3</v>
      </c>
      <c r="G217" s="16">
        <f>IF(OR(D217="U16", D217="S16"),1,IF(D217="TS",6,2))</f>
        <v>2</v>
      </c>
      <c r="H217" s="66">
        <v>1</v>
      </c>
      <c r="I217" s="98"/>
    </row>
    <row r="218" spans="1:10" ht="15.95" customHeight="1" x14ac:dyDescent="0.3">
      <c r="A218" s="66">
        <f t="shared" ref="A218:A235" si="15">A217+(G217*H217)</f>
        <v>702</v>
      </c>
      <c r="B218" s="9" t="s">
        <v>763</v>
      </c>
      <c r="C218" s="66"/>
      <c r="D218" s="66"/>
      <c r="E218" s="16" t="s">
        <v>91</v>
      </c>
      <c r="F218" s="16">
        <v>3</v>
      </c>
      <c r="G218" s="16">
        <f>IF(OR(D218="U16", D218="S16"),1,IF(D218="TS",6,2))</f>
        <v>2</v>
      </c>
      <c r="H218" s="66">
        <v>1</v>
      </c>
      <c r="I218" s="98"/>
    </row>
    <row r="219" spans="1:10" ht="405" x14ac:dyDescent="0.3">
      <c r="A219" s="66">
        <f t="shared" si="15"/>
        <v>704</v>
      </c>
      <c r="B219" s="9" t="s">
        <v>764</v>
      </c>
      <c r="C219" s="35" t="s">
        <v>1110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66">
        <v>1</v>
      </c>
      <c r="I219" s="98"/>
    </row>
    <row r="220" spans="1:10" ht="15.95" customHeight="1" x14ac:dyDescent="0.3">
      <c r="A220" s="66">
        <f t="shared" si="15"/>
        <v>706</v>
      </c>
      <c r="B220" s="9" t="s">
        <v>765</v>
      </c>
      <c r="C220" s="66">
        <v>0</v>
      </c>
      <c r="D220" s="66"/>
      <c r="E220" s="16" t="s">
        <v>123</v>
      </c>
      <c r="F220" s="16">
        <v>3</v>
      </c>
      <c r="G220" s="16">
        <v>1</v>
      </c>
      <c r="H220" s="66">
        <v>1</v>
      </c>
      <c r="I220" s="98"/>
      <c r="J220" s="10" t="s">
        <v>125</v>
      </c>
    </row>
    <row r="221" spans="1:10" ht="15.95" customHeight="1" x14ac:dyDescent="0.3">
      <c r="A221" s="66">
        <f t="shared" si="15"/>
        <v>707</v>
      </c>
      <c r="B221" s="9" t="s">
        <v>766</v>
      </c>
      <c r="C221" s="66">
        <v>1</v>
      </c>
      <c r="D221" s="66"/>
      <c r="E221" s="16" t="s">
        <v>123</v>
      </c>
      <c r="F221" s="16">
        <v>3</v>
      </c>
      <c r="G221" s="16">
        <v>1</v>
      </c>
      <c r="H221" s="66">
        <v>1</v>
      </c>
      <c r="I221" s="98"/>
      <c r="J221" s="10" t="s">
        <v>126</v>
      </c>
    </row>
    <row r="222" spans="1:10" ht="15.95" customHeight="1" x14ac:dyDescent="0.3">
      <c r="A222" s="66">
        <f t="shared" si="15"/>
        <v>708</v>
      </c>
      <c r="B222" s="9" t="s">
        <v>767</v>
      </c>
      <c r="C222" s="123">
        <v>2</v>
      </c>
      <c r="D222" s="66"/>
      <c r="E222" s="16" t="s">
        <v>123</v>
      </c>
      <c r="F222" s="16">
        <v>3</v>
      </c>
      <c r="G222" s="16">
        <v>1</v>
      </c>
      <c r="H222" s="66">
        <v>1</v>
      </c>
      <c r="I222" s="98"/>
    </row>
    <row r="223" spans="1:10" ht="15.95" customHeight="1" x14ac:dyDescent="0.3">
      <c r="A223" s="66">
        <f t="shared" si="15"/>
        <v>709</v>
      </c>
      <c r="B223" s="9" t="s">
        <v>768</v>
      </c>
      <c r="C223" s="123"/>
      <c r="D223" s="66"/>
      <c r="E223" s="16" t="s">
        <v>123</v>
      </c>
      <c r="F223" s="16">
        <v>3</v>
      </c>
      <c r="G223" s="16">
        <v>1</v>
      </c>
      <c r="H223" s="66">
        <v>1</v>
      </c>
      <c r="I223" s="98"/>
    </row>
    <row r="224" spans="1:10" ht="15.95" customHeight="1" x14ac:dyDescent="0.3">
      <c r="A224" s="66">
        <f t="shared" si="15"/>
        <v>710</v>
      </c>
      <c r="B224" s="9" t="s">
        <v>769</v>
      </c>
      <c r="C224" s="123"/>
      <c r="D224" s="66"/>
      <c r="E224" s="16" t="s">
        <v>123</v>
      </c>
      <c r="F224" s="16">
        <v>3</v>
      </c>
      <c r="G224" s="16">
        <v>1</v>
      </c>
      <c r="H224" s="66">
        <v>1</v>
      </c>
      <c r="I224" s="98"/>
      <c r="J224" s="10" t="s">
        <v>125</v>
      </c>
    </row>
    <row r="225" spans="1:10" ht="15.95" customHeight="1" x14ac:dyDescent="0.3">
      <c r="A225" s="66">
        <f t="shared" si="15"/>
        <v>711</v>
      </c>
      <c r="B225" s="9" t="s">
        <v>770</v>
      </c>
      <c r="C225" s="123">
        <v>3</v>
      </c>
      <c r="D225" s="66"/>
      <c r="E225" s="16" t="s">
        <v>123</v>
      </c>
      <c r="F225" s="16">
        <v>3</v>
      </c>
      <c r="G225" s="16">
        <v>1</v>
      </c>
      <c r="H225" s="66">
        <v>1</v>
      </c>
      <c r="I225" s="98"/>
    </row>
    <row r="226" spans="1:10" ht="15.95" customHeight="1" x14ac:dyDescent="0.3">
      <c r="A226" s="66">
        <f t="shared" si="15"/>
        <v>712</v>
      </c>
      <c r="B226" s="9" t="s">
        <v>771</v>
      </c>
      <c r="C226" s="123"/>
      <c r="D226" s="66"/>
      <c r="E226" s="16" t="s">
        <v>123</v>
      </c>
      <c r="F226" s="16">
        <v>3</v>
      </c>
      <c r="G226" s="16">
        <v>1</v>
      </c>
      <c r="H226" s="66">
        <v>1</v>
      </c>
      <c r="I226" s="98"/>
    </row>
    <row r="227" spans="1:10" ht="15.95" customHeight="1" x14ac:dyDescent="0.3">
      <c r="A227" s="66">
        <f t="shared" si="15"/>
        <v>713</v>
      </c>
      <c r="B227" s="9" t="s">
        <v>772</v>
      </c>
      <c r="C227" s="123"/>
      <c r="D227" s="66"/>
      <c r="E227" s="16" t="s">
        <v>123</v>
      </c>
      <c r="F227" s="16">
        <v>3</v>
      </c>
      <c r="G227" s="16">
        <v>1</v>
      </c>
      <c r="H227" s="66">
        <v>1</v>
      </c>
      <c r="I227" s="98"/>
      <c r="J227" s="10" t="s">
        <v>126</v>
      </c>
    </row>
    <row r="228" spans="1:10" ht="15.95" customHeight="1" x14ac:dyDescent="0.3">
      <c r="A228" s="66">
        <f t="shared" si="15"/>
        <v>714</v>
      </c>
      <c r="B228" s="9" t="s">
        <v>773</v>
      </c>
      <c r="C228" s="66">
        <v>4</v>
      </c>
      <c r="D228" s="66"/>
      <c r="E228" s="16" t="s">
        <v>123</v>
      </c>
      <c r="F228" s="16">
        <v>3</v>
      </c>
      <c r="G228" s="16">
        <v>1</v>
      </c>
      <c r="H228" s="66">
        <v>1</v>
      </c>
      <c r="I228" s="98"/>
    </row>
    <row r="229" spans="1:10" ht="15.95" customHeight="1" x14ac:dyDescent="0.3">
      <c r="A229" s="16">
        <f t="shared" si="15"/>
        <v>715</v>
      </c>
      <c r="B229" s="9" t="s">
        <v>774</v>
      </c>
      <c r="C229" s="123">
        <v>5</v>
      </c>
      <c r="D229" s="66"/>
      <c r="E229" s="16" t="s">
        <v>123</v>
      </c>
      <c r="F229" s="16">
        <v>3</v>
      </c>
      <c r="G229" s="16">
        <v>1</v>
      </c>
      <c r="H229" s="66">
        <v>1</v>
      </c>
      <c r="I229" s="98"/>
    </row>
    <row r="230" spans="1:10" ht="15.95" customHeight="1" x14ac:dyDescent="0.3">
      <c r="A230" s="16">
        <f t="shared" si="15"/>
        <v>716</v>
      </c>
      <c r="B230" s="9" t="s">
        <v>775</v>
      </c>
      <c r="C230" s="123"/>
      <c r="D230" s="66"/>
      <c r="E230" s="16" t="s">
        <v>123</v>
      </c>
      <c r="F230" s="16">
        <v>3</v>
      </c>
      <c r="G230" s="16">
        <v>1</v>
      </c>
      <c r="H230" s="66">
        <v>1</v>
      </c>
      <c r="I230" s="98"/>
      <c r="J230" s="10" t="s">
        <v>126</v>
      </c>
    </row>
    <row r="231" spans="1:10" ht="15.95" customHeight="1" x14ac:dyDescent="0.3">
      <c r="A231" s="16">
        <f t="shared" si="15"/>
        <v>717</v>
      </c>
      <c r="B231" s="9" t="s">
        <v>776</v>
      </c>
      <c r="C231" s="123"/>
      <c r="D231" s="66"/>
      <c r="E231" s="16" t="s">
        <v>123</v>
      </c>
      <c r="F231" s="16">
        <v>3</v>
      </c>
      <c r="G231" s="16">
        <v>1</v>
      </c>
      <c r="H231" s="66">
        <v>1</v>
      </c>
      <c r="I231" s="98"/>
    </row>
    <row r="232" spans="1:10" ht="15.95" customHeight="1" x14ac:dyDescent="0.3">
      <c r="A232" s="16">
        <f t="shared" si="15"/>
        <v>718</v>
      </c>
      <c r="B232" s="9" t="s">
        <v>777</v>
      </c>
      <c r="C232" s="123">
        <v>6</v>
      </c>
      <c r="D232" s="66"/>
      <c r="E232" s="16" t="s">
        <v>123</v>
      </c>
      <c r="F232" s="16">
        <v>3</v>
      </c>
      <c r="G232" s="16">
        <v>1</v>
      </c>
      <c r="H232" s="66">
        <v>1</v>
      </c>
      <c r="I232" s="98"/>
    </row>
    <row r="233" spans="1:10" ht="15.95" customHeight="1" x14ac:dyDescent="0.3">
      <c r="A233" s="16">
        <f t="shared" si="15"/>
        <v>719</v>
      </c>
      <c r="B233" s="9" t="s">
        <v>778</v>
      </c>
      <c r="C233" s="123"/>
      <c r="D233" s="66"/>
      <c r="E233" s="16" t="s">
        <v>123</v>
      </c>
      <c r="F233" s="16">
        <v>3</v>
      </c>
      <c r="G233" s="16">
        <v>1</v>
      </c>
      <c r="H233" s="66">
        <v>1</v>
      </c>
      <c r="I233" s="98"/>
      <c r="J233" s="10" t="s">
        <v>126</v>
      </c>
    </row>
    <row r="234" spans="1:10" ht="15.95" customHeight="1" x14ac:dyDescent="0.3">
      <c r="A234" s="16">
        <f t="shared" si="15"/>
        <v>720</v>
      </c>
      <c r="B234" s="9" t="s">
        <v>779</v>
      </c>
      <c r="C234" s="123"/>
      <c r="D234" s="66"/>
      <c r="E234" s="16" t="s">
        <v>123</v>
      </c>
      <c r="F234" s="16">
        <v>3</v>
      </c>
      <c r="G234" s="16">
        <v>1</v>
      </c>
      <c r="H234" s="66">
        <v>1</v>
      </c>
      <c r="I234" s="98"/>
    </row>
    <row r="235" spans="1:10" ht="15.95" customHeight="1" x14ac:dyDescent="0.3">
      <c r="A235" s="66">
        <f t="shared" si="15"/>
        <v>721</v>
      </c>
      <c r="B235" s="12" t="s">
        <v>780</v>
      </c>
      <c r="C235" s="139">
        <v>7</v>
      </c>
      <c r="D235" s="23"/>
      <c r="E235" s="23" t="s">
        <v>123</v>
      </c>
      <c r="F235" s="16">
        <v>3</v>
      </c>
      <c r="G235" s="16">
        <v>1</v>
      </c>
      <c r="H235" s="23">
        <v>1</v>
      </c>
      <c r="I235" s="107"/>
    </row>
    <row r="236" spans="1:10" ht="15.95" customHeight="1" x14ac:dyDescent="0.3">
      <c r="A236" s="66">
        <f>A235+(G235*H235)</f>
        <v>722</v>
      </c>
      <c r="B236" s="12" t="s">
        <v>781</v>
      </c>
      <c r="C236" s="139"/>
      <c r="D236" s="23"/>
      <c r="E236" s="23" t="s">
        <v>123</v>
      </c>
      <c r="F236" s="16">
        <v>3</v>
      </c>
      <c r="G236" s="16">
        <v>1</v>
      </c>
      <c r="H236" s="23">
        <v>1</v>
      </c>
      <c r="I236" s="107"/>
      <c r="J236" s="10" t="s">
        <v>126</v>
      </c>
    </row>
    <row r="237" spans="1:10" ht="15.95" customHeight="1" x14ac:dyDescent="0.3">
      <c r="A237" s="66">
        <f>A236+(G236*H236)</f>
        <v>723</v>
      </c>
      <c r="B237" s="12" t="s">
        <v>782</v>
      </c>
      <c r="C237" s="139"/>
      <c r="D237" s="23"/>
      <c r="E237" s="23" t="s">
        <v>123</v>
      </c>
      <c r="F237" s="16">
        <v>3</v>
      </c>
      <c r="G237" s="16">
        <v>1</v>
      </c>
      <c r="H237" s="23">
        <v>1</v>
      </c>
      <c r="I237" s="107"/>
    </row>
    <row r="238" spans="1:10" ht="15.95" customHeight="1" x14ac:dyDescent="0.3">
      <c r="A238" s="66">
        <f>A237+(G237*H237)</f>
        <v>724</v>
      </c>
      <c r="B238" s="12" t="s">
        <v>783</v>
      </c>
      <c r="C238" s="139">
        <v>8</v>
      </c>
      <c r="D238" s="23"/>
      <c r="E238" s="23" t="s">
        <v>123</v>
      </c>
      <c r="F238" s="16">
        <v>3</v>
      </c>
      <c r="G238" s="16">
        <v>1</v>
      </c>
      <c r="H238" s="23">
        <v>1</v>
      </c>
      <c r="I238" s="107"/>
    </row>
    <row r="239" spans="1:10" ht="15.95" customHeight="1" x14ac:dyDescent="0.3">
      <c r="A239" s="66">
        <f>A238+(G238*H238)</f>
        <v>725</v>
      </c>
      <c r="B239" s="12" t="s">
        <v>784</v>
      </c>
      <c r="C239" s="139"/>
      <c r="D239" s="23"/>
      <c r="E239" s="23" t="s">
        <v>123</v>
      </c>
      <c r="F239" s="16">
        <v>3</v>
      </c>
      <c r="G239" s="16">
        <v>1</v>
      </c>
      <c r="H239" s="23">
        <v>1</v>
      </c>
      <c r="I239" s="107"/>
      <c r="J239" s="10" t="s">
        <v>125</v>
      </c>
    </row>
    <row r="240" spans="1:10" ht="15.95" customHeight="1" x14ac:dyDescent="0.3">
      <c r="A240" s="66">
        <f>A239+(G239*H239)</f>
        <v>726</v>
      </c>
      <c r="B240" s="12" t="s">
        <v>785</v>
      </c>
      <c r="C240" s="139"/>
      <c r="D240" s="23"/>
      <c r="E240" s="23" t="s">
        <v>123</v>
      </c>
      <c r="F240" s="16">
        <v>3</v>
      </c>
      <c r="G240" s="16">
        <v>1</v>
      </c>
      <c r="H240" s="23">
        <v>1</v>
      </c>
      <c r="I240" s="107"/>
    </row>
    <row r="241" spans="1:10" ht="15.95" customHeight="1" x14ac:dyDescent="0.3">
      <c r="A241" s="66">
        <f t="shared" ref="A241:A263" si="16">A240+(G240*H240)</f>
        <v>727</v>
      </c>
      <c r="B241" s="12" t="s">
        <v>786</v>
      </c>
      <c r="C241" s="139">
        <v>9</v>
      </c>
      <c r="D241" s="23"/>
      <c r="E241" s="23" t="s">
        <v>123</v>
      </c>
      <c r="F241" s="16">
        <v>3</v>
      </c>
      <c r="G241" s="16">
        <v>1</v>
      </c>
      <c r="H241" s="23">
        <v>1</v>
      </c>
      <c r="I241" s="107"/>
    </row>
    <row r="242" spans="1:10" ht="15.95" customHeight="1" x14ac:dyDescent="0.3">
      <c r="A242" s="66">
        <f t="shared" si="16"/>
        <v>728</v>
      </c>
      <c r="B242" s="12" t="s">
        <v>787</v>
      </c>
      <c r="C242" s="139"/>
      <c r="D242" s="23"/>
      <c r="E242" s="23" t="s">
        <v>123</v>
      </c>
      <c r="F242" s="16">
        <v>3</v>
      </c>
      <c r="G242" s="16">
        <v>1</v>
      </c>
      <c r="H242" s="23">
        <v>1</v>
      </c>
      <c r="I242" s="107"/>
      <c r="J242" s="10" t="s">
        <v>125</v>
      </c>
    </row>
    <row r="243" spans="1:10" ht="15.95" customHeight="1" x14ac:dyDescent="0.3">
      <c r="A243" s="66">
        <f t="shared" si="16"/>
        <v>729</v>
      </c>
      <c r="B243" s="12" t="s">
        <v>788</v>
      </c>
      <c r="C243" s="139"/>
      <c r="D243" s="23"/>
      <c r="E243" s="23" t="s">
        <v>123</v>
      </c>
      <c r="F243" s="16">
        <v>3</v>
      </c>
      <c r="G243" s="16">
        <v>1</v>
      </c>
      <c r="H243" s="23">
        <v>1</v>
      </c>
      <c r="I243" s="107"/>
    </row>
    <row r="244" spans="1:10" ht="15.95" customHeight="1" x14ac:dyDescent="0.3">
      <c r="A244" s="66">
        <f t="shared" si="16"/>
        <v>730</v>
      </c>
      <c r="B244" s="9" t="s">
        <v>789</v>
      </c>
      <c r="C244" s="123"/>
      <c r="D244" s="66"/>
      <c r="E244" s="16" t="s">
        <v>123</v>
      </c>
      <c r="F244" s="16">
        <v>3</v>
      </c>
      <c r="G244" s="16">
        <v>1</v>
      </c>
      <c r="H244" s="66">
        <v>1</v>
      </c>
      <c r="I244" s="98"/>
    </row>
    <row r="245" spans="1:10" ht="15.95" customHeight="1" x14ac:dyDescent="0.3">
      <c r="A245" s="66">
        <f t="shared" si="16"/>
        <v>731</v>
      </c>
      <c r="B245" s="9" t="s">
        <v>790</v>
      </c>
      <c r="C245" s="123"/>
      <c r="D245" s="66"/>
      <c r="E245" s="16" t="s">
        <v>123</v>
      </c>
      <c r="F245" s="16">
        <v>3</v>
      </c>
      <c r="G245" s="16">
        <v>1</v>
      </c>
      <c r="H245" s="66">
        <v>1</v>
      </c>
      <c r="I245" s="98"/>
      <c r="J245" s="10" t="s">
        <v>127</v>
      </c>
    </row>
    <row r="246" spans="1:10" ht="15.95" customHeight="1" x14ac:dyDescent="0.3">
      <c r="A246" s="66">
        <f t="shared" si="16"/>
        <v>732</v>
      </c>
      <c r="B246" s="9" t="s">
        <v>791</v>
      </c>
      <c r="C246" s="123"/>
      <c r="D246" s="66"/>
      <c r="E246" s="16" t="s">
        <v>123</v>
      </c>
      <c r="F246" s="16">
        <v>3</v>
      </c>
      <c r="G246" s="16">
        <v>1</v>
      </c>
      <c r="H246" s="66">
        <v>1</v>
      </c>
      <c r="I246" s="98"/>
    </row>
    <row r="247" spans="1:10" ht="15.95" customHeight="1" x14ac:dyDescent="0.3">
      <c r="A247" s="66">
        <f t="shared" si="16"/>
        <v>733</v>
      </c>
      <c r="B247" s="9" t="s">
        <v>792</v>
      </c>
      <c r="C247" s="123"/>
      <c r="D247" s="66"/>
      <c r="E247" s="16" t="s">
        <v>123</v>
      </c>
      <c r="F247" s="16">
        <v>3</v>
      </c>
      <c r="G247" s="16">
        <v>1</v>
      </c>
      <c r="H247" s="66">
        <v>1</v>
      </c>
      <c r="I247" s="98"/>
    </row>
    <row r="248" spans="1:10" ht="15.95" customHeight="1" x14ac:dyDescent="0.3">
      <c r="A248" s="66">
        <f t="shared" si="16"/>
        <v>734</v>
      </c>
      <c r="B248" s="9" t="s">
        <v>793</v>
      </c>
      <c r="C248" s="123"/>
      <c r="D248" s="66"/>
      <c r="E248" s="16" t="s">
        <v>123</v>
      </c>
      <c r="F248" s="16">
        <v>3</v>
      </c>
      <c r="G248" s="16">
        <v>1</v>
      </c>
      <c r="H248" s="66">
        <v>1</v>
      </c>
      <c r="I248" s="98"/>
    </row>
    <row r="249" spans="1:10" ht="15.95" customHeight="1" x14ac:dyDescent="0.3">
      <c r="A249" s="66">
        <f t="shared" si="16"/>
        <v>735</v>
      </c>
      <c r="B249" s="9" t="s">
        <v>794</v>
      </c>
      <c r="C249" s="123"/>
      <c r="D249" s="66"/>
      <c r="E249" s="16" t="s">
        <v>123</v>
      </c>
      <c r="F249" s="16">
        <v>3</v>
      </c>
      <c r="G249" s="16">
        <v>1</v>
      </c>
      <c r="H249" s="66">
        <v>1</v>
      </c>
      <c r="I249" s="98"/>
    </row>
    <row r="250" spans="1:10" ht="15.95" customHeight="1" x14ac:dyDescent="0.3">
      <c r="A250" s="66">
        <f t="shared" si="16"/>
        <v>736</v>
      </c>
      <c r="B250" s="9" t="s">
        <v>795</v>
      </c>
      <c r="C250" s="123"/>
      <c r="D250" s="66"/>
      <c r="E250" s="16" t="s">
        <v>123</v>
      </c>
      <c r="F250" s="16">
        <v>3</v>
      </c>
      <c r="G250" s="16">
        <v>1</v>
      </c>
      <c r="H250" s="66">
        <v>1</v>
      </c>
      <c r="I250" s="98"/>
    </row>
    <row r="251" spans="1:10" ht="15.95" customHeight="1" x14ac:dyDescent="0.3">
      <c r="A251" s="66">
        <f t="shared" si="16"/>
        <v>737</v>
      </c>
      <c r="B251" s="9" t="s">
        <v>796</v>
      </c>
      <c r="C251" s="123"/>
      <c r="D251" s="66"/>
      <c r="E251" s="16" t="s">
        <v>123</v>
      </c>
      <c r="F251" s="16">
        <v>3</v>
      </c>
      <c r="G251" s="16">
        <v>1</v>
      </c>
      <c r="H251" s="66">
        <v>1</v>
      </c>
      <c r="I251" s="98"/>
    </row>
    <row r="252" spans="1:10" ht="15.95" customHeight="1" x14ac:dyDescent="0.3">
      <c r="A252" s="66">
        <f t="shared" si="16"/>
        <v>738</v>
      </c>
      <c r="B252" s="9" t="s">
        <v>797</v>
      </c>
      <c r="C252" s="123"/>
      <c r="D252" s="66"/>
      <c r="E252" s="16" t="s">
        <v>123</v>
      </c>
      <c r="F252" s="16">
        <v>3</v>
      </c>
      <c r="G252" s="16">
        <v>1</v>
      </c>
      <c r="H252" s="66">
        <v>1</v>
      </c>
      <c r="I252" s="98"/>
    </row>
    <row r="253" spans="1:10" ht="15.95" customHeight="1" x14ac:dyDescent="0.3">
      <c r="A253" s="66">
        <f t="shared" si="16"/>
        <v>739</v>
      </c>
      <c r="B253" s="9" t="s">
        <v>798</v>
      </c>
      <c r="C253" s="123"/>
      <c r="D253" s="66"/>
      <c r="E253" s="16" t="s">
        <v>123</v>
      </c>
      <c r="F253" s="16">
        <v>3</v>
      </c>
      <c r="G253" s="16">
        <v>1</v>
      </c>
      <c r="H253" s="66">
        <v>1</v>
      </c>
      <c r="I253" s="98"/>
    </row>
    <row r="254" spans="1:10" ht="15.95" customHeight="1" x14ac:dyDescent="0.3">
      <c r="A254" s="66">
        <f t="shared" si="16"/>
        <v>740</v>
      </c>
      <c r="B254" s="9" t="s">
        <v>799</v>
      </c>
      <c r="C254" s="123"/>
      <c r="D254" s="66"/>
      <c r="E254" s="16" t="s">
        <v>123</v>
      </c>
      <c r="F254" s="16">
        <v>3</v>
      </c>
      <c r="G254" s="16">
        <v>1</v>
      </c>
      <c r="H254" s="66">
        <v>1</v>
      </c>
      <c r="I254" s="98"/>
    </row>
    <row r="255" spans="1:10" ht="15.95" customHeight="1" x14ac:dyDescent="0.3">
      <c r="A255" s="66">
        <f t="shared" si="16"/>
        <v>741</v>
      </c>
      <c r="B255" s="9" t="s">
        <v>800</v>
      </c>
      <c r="C255" s="123"/>
      <c r="D255" s="66"/>
      <c r="E255" s="16" t="s">
        <v>123</v>
      </c>
      <c r="F255" s="16">
        <v>3</v>
      </c>
      <c r="G255" s="16">
        <v>1</v>
      </c>
      <c r="H255" s="66">
        <v>1</v>
      </c>
      <c r="I255" s="98"/>
    </row>
    <row r="256" spans="1:10" ht="15.95" customHeight="1" x14ac:dyDescent="0.3">
      <c r="A256" s="66">
        <f t="shared" si="16"/>
        <v>742</v>
      </c>
      <c r="B256" s="9" t="s">
        <v>801</v>
      </c>
      <c r="C256" s="123"/>
      <c r="D256" s="66"/>
      <c r="E256" s="16" t="s">
        <v>123</v>
      </c>
      <c r="F256" s="16">
        <v>3</v>
      </c>
      <c r="G256" s="16">
        <v>1</v>
      </c>
      <c r="H256" s="66">
        <v>1</v>
      </c>
      <c r="I256" s="98"/>
    </row>
    <row r="257" spans="1:9" ht="15.95" customHeight="1" x14ac:dyDescent="0.3">
      <c r="A257" s="66">
        <f t="shared" si="16"/>
        <v>743</v>
      </c>
      <c r="B257" s="9" t="s">
        <v>802</v>
      </c>
      <c r="C257" s="123"/>
      <c r="D257" s="66"/>
      <c r="E257" s="16" t="s">
        <v>123</v>
      </c>
      <c r="F257" s="16">
        <v>3</v>
      </c>
      <c r="G257" s="16">
        <v>1</v>
      </c>
      <c r="H257" s="66">
        <v>1</v>
      </c>
      <c r="I257" s="98"/>
    </row>
    <row r="258" spans="1:9" ht="15.95" customHeight="1" x14ac:dyDescent="0.3">
      <c r="A258" s="66">
        <f t="shared" si="16"/>
        <v>744</v>
      </c>
      <c r="B258" s="9" t="s">
        <v>803</v>
      </c>
      <c r="C258" s="123"/>
      <c r="D258" s="66"/>
      <c r="E258" s="16" t="s">
        <v>123</v>
      </c>
      <c r="F258" s="16">
        <v>3</v>
      </c>
      <c r="G258" s="16">
        <v>1</v>
      </c>
      <c r="H258" s="66">
        <v>1</v>
      </c>
      <c r="I258" s="98"/>
    </row>
    <row r="259" spans="1:9" ht="15.95" customHeight="1" x14ac:dyDescent="0.3">
      <c r="A259" s="66">
        <f t="shared" si="16"/>
        <v>745</v>
      </c>
      <c r="B259" s="9" t="s">
        <v>804</v>
      </c>
      <c r="C259" s="123"/>
      <c r="D259" s="66"/>
      <c r="E259" s="16" t="s">
        <v>123</v>
      </c>
      <c r="F259" s="16">
        <v>3</v>
      </c>
      <c r="G259" s="16">
        <v>1</v>
      </c>
      <c r="H259" s="66">
        <v>1</v>
      </c>
      <c r="I259" s="98"/>
    </row>
    <row r="260" spans="1:9" ht="15.95" customHeight="1" x14ac:dyDescent="0.3">
      <c r="A260" s="66">
        <f t="shared" si="16"/>
        <v>746</v>
      </c>
      <c r="B260" s="12" t="s">
        <v>805</v>
      </c>
      <c r="C260" s="123"/>
      <c r="D260" s="66"/>
      <c r="E260" s="23" t="s">
        <v>123</v>
      </c>
      <c r="F260" s="16">
        <v>3</v>
      </c>
      <c r="G260" s="16">
        <v>1</v>
      </c>
      <c r="H260" s="23">
        <v>1</v>
      </c>
      <c r="I260" s="107"/>
    </row>
    <row r="261" spans="1:9" ht="15.95" customHeight="1" x14ac:dyDescent="0.3">
      <c r="A261" s="66">
        <f t="shared" si="16"/>
        <v>747</v>
      </c>
      <c r="B261" s="12" t="s">
        <v>806</v>
      </c>
      <c r="C261" s="123"/>
      <c r="D261" s="66"/>
      <c r="E261" s="23" t="s">
        <v>123</v>
      </c>
      <c r="F261" s="16">
        <v>3</v>
      </c>
      <c r="G261" s="16">
        <v>1</v>
      </c>
      <c r="H261" s="23">
        <v>1</v>
      </c>
      <c r="I261" s="107"/>
    </row>
    <row r="262" spans="1:9" ht="15.95" customHeight="1" x14ac:dyDescent="0.3">
      <c r="A262" s="66">
        <f t="shared" si="16"/>
        <v>748</v>
      </c>
      <c r="B262" s="12" t="s">
        <v>807</v>
      </c>
      <c r="C262" s="123"/>
      <c r="D262" s="66"/>
      <c r="E262" s="23" t="s">
        <v>123</v>
      </c>
      <c r="F262" s="16">
        <v>3</v>
      </c>
      <c r="G262" s="16">
        <v>1</v>
      </c>
      <c r="H262" s="23">
        <v>1</v>
      </c>
      <c r="I262" s="107"/>
    </row>
    <row r="263" spans="1:9" ht="15.95" customHeight="1" x14ac:dyDescent="0.3">
      <c r="A263" s="66">
        <f t="shared" si="16"/>
        <v>749</v>
      </c>
      <c r="B263" s="12" t="s">
        <v>808</v>
      </c>
      <c r="C263" s="123"/>
      <c r="D263" s="66"/>
      <c r="E263" s="23" t="s">
        <v>123</v>
      </c>
      <c r="F263" s="16">
        <v>3</v>
      </c>
      <c r="G263" s="16">
        <v>1</v>
      </c>
      <c r="H263" s="23">
        <v>1</v>
      </c>
      <c r="I263" s="107"/>
    </row>
    <row r="264" spans="1:9" ht="15.95" customHeight="1" x14ac:dyDescent="0.3">
      <c r="A264" s="122" t="s">
        <v>143</v>
      </c>
      <c r="B264" s="122"/>
      <c r="C264" s="122"/>
      <c r="D264" s="122"/>
      <c r="E264" s="122"/>
      <c r="F264" s="122"/>
      <c r="G264" s="122"/>
      <c r="H264" s="122"/>
      <c r="I264" s="104"/>
    </row>
    <row r="265" spans="1:9" ht="15.95" customHeight="1" x14ac:dyDescent="0.3">
      <c r="A265" s="66">
        <f>A263+G263*H263</f>
        <v>750</v>
      </c>
      <c r="B265" s="9" t="s">
        <v>762</v>
      </c>
      <c r="C265" s="66"/>
      <c r="D265" s="66"/>
      <c r="E265" s="16" t="s">
        <v>91</v>
      </c>
      <c r="F265" s="16">
        <v>3</v>
      </c>
      <c r="G265" s="16">
        <f t="shared" ref="G265:G289" si="17">IF(OR(E265="U16", E265="S16"),1,IF(E265="TS",6,2))</f>
        <v>2</v>
      </c>
      <c r="H265" s="66">
        <v>1</v>
      </c>
      <c r="I265" s="98"/>
    </row>
    <row r="266" spans="1:9" ht="15.95" customHeight="1" x14ac:dyDescent="0.3">
      <c r="A266" s="66">
        <f t="shared" ref="A266:A312" si="18">A265+(G265*H265)</f>
        <v>752</v>
      </c>
      <c r="B266" s="9" t="s">
        <v>763</v>
      </c>
      <c r="C266" s="66"/>
      <c r="D266" s="66"/>
      <c r="E266" s="16" t="s">
        <v>91</v>
      </c>
      <c r="F266" s="16">
        <v>3</v>
      </c>
      <c r="G266" s="16">
        <f t="shared" si="17"/>
        <v>2</v>
      </c>
      <c r="H266" s="66">
        <v>1</v>
      </c>
      <c r="I266" s="98"/>
    </row>
    <row r="267" spans="1:9" ht="15.95" customHeight="1" x14ac:dyDescent="0.3">
      <c r="A267" s="66">
        <f t="shared" si="18"/>
        <v>754</v>
      </c>
      <c r="B267" s="9" t="s">
        <v>809</v>
      </c>
      <c r="C267" s="66"/>
      <c r="D267" s="66"/>
      <c r="E267" s="16" t="s">
        <v>123</v>
      </c>
      <c r="F267" s="16">
        <v>3</v>
      </c>
      <c r="G267" s="16">
        <f t="shared" si="17"/>
        <v>1</v>
      </c>
      <c r="H267" s="66">
        <v>1</v>
      </c>
      <c r="I267" s="98"/>
    </row>
    <row r="268" spans="1:9" ht="15.95" customHeight="1" x14ac:dyDescent="0.3">
      <c r="A268" s="66">
        <f t="shared" si="18"/>
        <v>755</v>
      </c>
      <c r="B268" s="9" t="s">
        <v>810</v>
      </c>
      <c r="C268" s="66"/>
      <c r="D268" s="66"/>
      <c r="E268" s="16" t="s">
        <v>123</v>
      </c>
      <c r="F268" s="16">
        <v>3</v>
      </c>
      <c r="G268" s="16">
        <f t="shared" si="17"/>
        <v>1</v>
      </c>
      <c r="H268" s="66">
        <v>1</v>
      </c>
      <c r="I268" s="98"/>
    </row>
    <row r="269" spans="1:9" ht="15.95" customHeight="1" x14ac:dyDescent="0.3">
      <c r="A269" s="66">
        <f t="shared" si="18"/>
        <v>756</v>
      </c>
      <c r="B269" s="9" t="s">
        <v>765</v>
      </c>
      <c r="C269" s="66">
        <v>0</v>
      </c>
      <c r="D269" s="66"/>
      <c r="E269" s="16" t="s">
        <v>123</v>
      </c>
      <c r="F269" s="16">
        <v>3</v>
      </c>
      <c r="G269" s="16">
        <f t="shared" si="17"/>
        <v>1</v>
      </c>
      <c r="H269" s="66">
        <v>1</v>
      </c>
      <c r="I269" s="98"/>
    </row>
    <row r="270" spans="1:9" ht="15.95" customHeight="1" x14ac:dyDescent="0.3">
      <c r="A270" s="66">
        <f t="shared" si="18"/>
        <v>757</v>
      </c>
      <c r="B270" s="9" t="s">
        <v>766</v>
      </c>
      <c r="C270" s="66">
        <v>1</v>
      </c>
      <c r="D270" s="66"/>
      <c r="E270" s="16" t="s">
        <v>123</v>
      </c>
      <c r="F270" s="16">
        <v>3</v>
      </c>
      <c r="G270" s="16">
        <f t="shared" si="17"/>
        <v>1</v>
      </c>
      <c r="H270" s="66">
        <v>1</v>
      </c>
      <c r="I270" s="98"/>
    </row>
    <row r="271" spans="1:9" ht="15.95" customHeight="1" x14ac:dyDescent="0.3">
      <c r="A271" s="66">
        <f t="shared" si="18"/>
        <v>758</v>
      </c>
      <c r="B271" s="9" t="s">
        <v>767</v>
      </c>
      <c r="C271" s="123">
        <v>2</v>
      </c>
      <c r="D271" s="66"/>
      <c r="E271" s="16" t="s">
        <v>123</v>
      </c>
      <c r="F271" s="16">
        <v>3</v>
      </c>
      <c r="G271" s="16">
        <f t="shared" si="17"/>
        <v>1</v>
      </c>
      <c r="H271" s="66">
        <v>1</v>
      </c>
      <c r="I271" s="98"/>
    </row>
    <row r="272" spans="1:9" ht="15.95" customHeight="1" x14ac:dyDescent="0.3">
      <c r="A272" s="66">
        <f t="shared" si="18"/>
        <v>759</v>
      </c>
      <c r="B272" s="9" t="s">
        <v>768</v>
      </c>
      <c r="C272" s="123"/>
      <c r="D272" s="66"/>
      <c r="E272" s="16" t="s">
        <v>123</v>
      </c>
      <c r="F272" s="16">
        <v>3</v>
      </c>
      <c r="G272" s="16">
        <f t="shared" si="17"/>
        <v>1</v>
      </c>
      <c r="H272" s="66">
        <v>1</v>
      </c>
      <c r="I272" s="98"/>
    </row>
    <row r="273" spans="1:9" ht="15.95" customHeight="1" x14ac:dyDescent="0.3">
      <c r="A273" s="66">
        <f t="shared" si="18"/>
        <v>760</v>
      </c>
      <c r="B273" s="9" t="s">
        <v>769</v>
      </c>
      <c r="C273" s="123"/>
      <c r="D273" s="66"/>
      <c r="E273" s="16" t="s">
        <v>123</v>
      </c>
      <c r="F273" s="16">
        <v>3</v>
      </c>
      <c r="G273" s="16">
        <f t="shared" si="17"/>
        <v>1</v>
      </c>
      <c r="H273" s="66">
        <v>1</v>
      </c>
      <c r="I273" s="98"/>
    </row>
    <row r="274" spans="1:9" ht="15.95" customHeight="1" x14ac:dyDescent="0.3">
      <c r="A274" s="66">
        <f t="shared" si="18"/>
        <v>761</v>
      </c>
      <c r="B274" s="9" t="s">
        <v>770</v>
      </c>
      <c r="C274" s="123">
        <v>3</v>
      </c>
      <c r="D274" s="66"/>
      <c r="E274" s="16" t="s">
        <v>123</v>
      </c>
      <c r="F274" s="16">
        <v>3</v>
      </c>
      <c r="G274" s="16">
        <f t="shared" si="17"/>
        <v>1</v>
      </c>
      <c r="H274" s="66">
        <v>1</v>
      </c>
      <c r="I274" s="98"/>
    </row>
    <row r="275" spans="1:9" ht="15.95" customHeight="1" x14ac:dyDescent="0.3">
      <c r="A275" s="66">
        <f t="shared" si="18"/>
        <v>762</v>
      </c>
      <c r="B275" s="9" t="s">
        <v>771</v>
      </c>
      <c r="C275" s="123"/>
      <c r="D275" s="66"/>
      <c r="E275" s="16" t="s">
        <v>123</v>
      </c>
      <c r="F275" s="16">
        <v>3</v>
      </c>
      <c r="G275" s="16">
        <f t="shared" si="17"/>
        <v>1</v>
      </c>
      <c r="H275" s="66">
        <v>1</v>
      </c>
      <c r="I275" s="98"/>
    </row>
    <row r="276" spans="1:9" ht="15.95" customHeight="1" x14ac:dyDescent="0.3">
      <c r="A276" s="66">
        <f t="shared" si="18"/>
        <v>763</v>
      </c>
      <c r="B276" s="9" t="s">
        <v>772</v>
      </c>
      <c r="C276" s="123"/>
      <c r="D276" s="66"/>
      <c r="E276" s="16" t="s">
        <v>123</v>
      </c>
      <c r="F276" s="16">
        <v>3</v>
      </c>
      <c r="G276" s="16">
        <f t="shared" si="17"/>
        <v>1</v>
      </c>
      <c r="H276" s="66">
        <v>1</v>
      </c>
      <c r="I276" s="98"/>
    </row>
    <row r="277" spans="1:9" ht="15.95" customHeight="1" x14ac:dyDescent="0.3">
      <c r="A277" s="66">
        <f t="shared" si="18"/>
        <v>764</v>
      </c>
      <c r="B277" s="9" t="s">
        <v>773</v>
      </c>
      <c r="C277" s="66">
        <v>4</v>
      </c>
      <c r="D277" s="66"/>
      <c r="E277" s="16" t="s">
        <v>123</v>
      </c>
      <c r="F277" s="16">
        <v>3</v>
      </c>
      <c r="G277" s="16">
        <f t="shared" si="17"/>
        <v>1</v>
      </c>
      <c r="H277" s="66">
        <v>1</v>
      </c>
      <c r="I277" s="98"/>
    </row>
    <row r="278" spans="1:9" ht="15.95" customHeight="1" x14ac:dyDescent="0.3">
      <c r="A278" s="66">
        <f t="shared" si="18"/>
        <v>765</v>
      </c>
      <c r="B278" s="9" t="s">
        <v>774</v>
      </c>
      <c r="C278" s="123">
        <v>5</v>
      </c>
      <c r="D278" s="66"/>
      <c r="E278" s="16" t="s">
        <v>123</v>
      </c>
      <c r="F278" s="16">
        <v>3</v>
      </c>
      <c r="G278" s="16">
        <f t="shared" si="17"/>
        <v>1</v>
      </c>
      <c r="H278" s="66">
        <v>1</v>
      </c>
      <c r="I278" s="98"/>
    </row>
    <row r="279" spans="1:9" ht="15.95" customHeight="1" x14ac:dyDescent="0.3">
      <c r="A279" s="66">
        <f t="shared" si="18"/>
        <v>766</v>
      </c>
      <c r="B279" s="9" t="s">
        <v>775</v>
      </c>
      <c r="C279" s="123"/>
      <c r="D279" s="66"/>
      <c r="E279" s="16" t="s">
        <v>123</v>
      </c>
      <c r="F279" s="16">
        <v>3</v>
      </c>
      <c r="G279" s="16">
        <f t="shared" si="17"/>
        <v>1</v>
      </c>
      <c r="H279" s="66">
        <v>1</v>
      </c>
      <c r="I279" s="98"/>
    </row>
    <row r="280" spans="1:9" ht="15.95" customHeight="1" x14ac:dyDescent="0.3">
      <c r="A280" s="66">
        <f t="shared" si="18"/>
        <v>767</v>
      </c>
      <c r="B280" s="9" t="s">
        <v>776</v>
      </c>
      <c r="C280" s="123"/>
      <c r="D280" s="66"/>
      <c r="E280" s="16" t="s">
        <v>123</v>
      </c>
      <c r="F280" s="16">
        <v>3</v>
      </c>
      <c r="G280" s="16">
        <f t="shared" si="17"/>
        <v>1</v>
      </c>
      <c r="H280" s="66">
        <v>1</v>
      </c>
      <c r="I280" s="98"/>
    </row>
    <row r="281" spans="1:9" ht="15.95" customHeight="1" x14ac:dyDescent="0.3">
      <c r="A281" s="66">
        <f t="shared" si="18"/>
        <v>768</v>
      </c>
      <c r="B281" s="9" t="s">
        <v>777</v>
      </c>
      <c r="C281" s="123">
        <v>6</v>
      </c>
      <c r="D281" s="66"/>
      <c r="E281" s="16" t="s">
        <v>123</v>
      </c>
      <c r="F281" s="16">
        <v>3</v>
      </c>
      <c r="G281" s="16">
        <f t="shared" si="17"/>
        <v>1</v>
      </c>
      <c r="H281" s="66">
        <v>1</v>
      </c>
      <c r="I281" s="98"/>
    </row>
    <row r="282" spans="1:9" ht="15.95" customHeight="1" x14ac:dyDescent="0.3">
      <c r="A282" s="66">
        <f t="shared" si="18"/>
        <v>769</v>
      </c>
      <c r="B282" s="9" t="s">
        <v>778</v>
      </c>
      <c r="C282" s="123"/>
      <c r="D282" s="66"/>
      <c r="E282" s="16" t="s">
        <v>123</v>
      </c>
      <c r="F282" s="16">
        <v>3</v>
      </c>
      <c r="G282" s="16">
        <f t="shared" si="17"/>
        <v>1</v>
      </c>
      <c r="H282" s="66">
        <v>1</v>
      </c>
      <c r="I282" s="98"/>
    </row>
    <row r="283" spans="1:9" ht="15.95" customHeight="1" x14ac:dyDescent="0.3">
      <c r="A283" s="66">
        <f t="shared" si="18"/>
        <v>770</v>
      </c>
      <c r="B283" s="9" t="s">
        <v>779</v>
      </c>
      <c r="C283" s="123"/>
      <c r="D283" s="66"/>
      <c r="E283" s="16" t="s">
        <v>123</v>
      </c>
      <c r="F283" s="16">
        <v>3</v>
      </c>
      <c r="G283" s="16">
        <f t="shared" si="17"/>
        <v>1</v>
      </c>
      <c r="H283" s="66">
        <v>1</v>
      </c>
      <c r="I283" s="98"/>
    </row>
    <row r="284" spans="1:9" ht="15.95" customHeight="1" x14ac:dyDescent="0.3">
      <c r="A284" s="66">
        <f t="shared" si="18"/>
        <v>771</v>
      </c>
      <c r="B284" s="12" t="s">
        <v>780</v>
      </c>
      <c r="C284" s="139">
        <v>7</v>
      </c>
      <c r="D284" s="23"/>
      <c r="E284" s="23" t="s">
        <v>123</v>
      </c>
      <c r="F284" s="16">
        <v>3</v>
      </c>
      <c r="G284" s="23">
        <f t="shared" si="17"/>
        <v>1</v>
      </c>
      <c r="H284" s="23">
        <v>1</v>
      </c>
      <c r="I284" s="107"/>
    </row>
    <row r="285" spans="1:9" ht="15.95" customHeight="1" x14ac:dyDescent="0.3">
      <c r="A285" s="66">
        <f t="shared" si="18"/>
        <v>772</v>
      </c>
      <c r="B285" s="12" t="s">
        <v>781</v>
      </c>
      <c r="C285" s="139"/>
      <c r="D285" s="23"/>
      <c r="E285" s="23" t="s">
        <v>123</v>
      </c>
      <c r="F285" s="16">
        <v>3</v>
      </c>
      <c r="G285" s="23">
        <f t="shared" si="17"/>
        <v>1</v>
      </c>
      <c r="H285" s="23">
        <v>1</v>
      </c>
      <c r="I285" s="107"/>
    </row>
    <row r="286" spans="1:9" ht="15.95" customHeight="1" x14ac:dyDescent="0.3">
      <c r="A286" s="66">
        <f t="shared" si="18"/>
        <v>773</v>
      </c>
      <c r="B286" s="12" t="s">
        <v>782</v>
      </c>
      <c r="C286" s="139"/>
      <c r="D286" s="23"/>
      <c r="E286" s="23" t="s">
        <v>123</v>
      </c>
      <c r="F286" s="16">
        <v>3</v>
      </c>
      <c r="G286" s="23">
        <f t="shared" si="17"/>
        <v>1</v>
      </c>
      <c r="H286" s="23">
        <v>1</v>
      </c>
      <c r="I286" s="107"/>
    </row>
    <row r="287" spans="1:9" ht="15.95" customHeight="1" x14ac:dyDescent="0.3">
      <c r="A287" s="66">
        <f t="shared" si="18"/>
        <v>774</v>
      </c>
      <c r="B287" s="12" t="s">
        <v>783</v>
      </c>
      <c r="C287" s="139">
        <v>8</v>
      </c>
      <c r="D287" s="23"/>
      <c r="E287" s="23" t="s">
        <v>123</v>
      </c>
      <c r="F287" s="16">
        <v>3</v>
      </c>
      <c r="G287" s="23">
        <f t="shared" si="17"/>
        <v>1</v>
      </c>
      <c r="H287" s="23">
        <v>1</v>
      </c>
      <c r="I287" s="107"/>
    </row>
    <row r="288" spans="1:9" ht="15.95" customHeight="1" x14ac:dyDescent="0.3">
      <c r="A288" s="66">
        <f t="shared" si="18"/>
        <v>775</v>
      </c>
      <c r="B288" s="12" t="s">
        <v>784</v>
      </c>
      <c r="C288" s="139"/>
      <c r="D288" s="23"/>
      <c r="E288" s="23" t="s">
        <v>123</v>
      </c>
      <c r="F288" s="16">
        <v>3</v>
      </c>
      <c r="G288" s="23">
        <f t="shared" si="17"/>
        <v>1</v>
      </c>
      <c r="H288" s="23">
        <v>1</v>
      </c>
      <c r="I288" s="107"/>
    </row>
    <row r="289" spans="1:9" ht="15.95" customHeight="1" x14ac:dyDescent="0.3">
      <c r="A289" s="66">
        <f t="shared" si="18"/>
        <v>776</v>
      </c>
      <c r="B289" s="12" t="s">
        <v>785</v>
      </c>
      <c r="C289" s="139"/>
      <c r="D289" s="23"/>
      <c r="E289" s="23" t="s">
        <v>123</v>
      </c>
      <c r="F289" s="16">
        <v>3</v>
      </c>
      <c r="G289" s="23">
        <f t="shared" si="17"/>
        <v>1</v>
      </c>
      <c r="H289" s="23">
        <v>1</v>
      </c>
      <c r="I289" s="107"/>
    </row>
    <row r="290" spans="1:9" ht="15.95" customHeight="1" x14ac:dyDescent="0.3">
      <c r="A290" s="66">
        <f t="shared" si="18"/>
        <v>777</v>
      </c>
      <c r="B290" s="12" t="s">
        <v>786</v>
      </c>
      <c r="C290" s="139">
        <v>9</v>
      </c>
      <c r="D290" s="23"/>
      <c r="E290" s="23" t="s">
        <v>123</v>
      </c>
      <c r="F290" s="16">
        <v>3</v>
      </c>
      <c r="G290" s="23">
        <f t="shared" ref="G290:G312" si="19">IF(OR(E290="U16", E290="S16"),1,IF(E290="TS",6,2))</f>
        <v>1</v>
      </c>
      <c r="H290" s="23">
        <v>1</v>
      </c>
      <c r="I290" s="107"/>
    </row>
    <row r="291" spans="1:9" ht="15.95" customHeight="1" x14ac:dyDescent="0.3">
      <c r="A291" s="66">
        <f t="shared" si="18"/>
        <v>778</v>
      </c>
      <c r="B291" s="12" t="s">
        <v>787</v>
      </c>
      <c r="C291" s="139"/>
      <c r="D291" s="23"/>
      <c r="E291" s="23" t="s">
        <v>123</v>
      </c>
      <c r="F291" s="16">
        <v>3</v>
      </c>
      <c r="G291" s="23">
        <f t="shared" si="19"/>
        <v>1</v>
      </c>
      <c r="H291" s="23">
        <v>1</v>
      </c>
      <c r="I291" s="107"/>
    </row>
    <row r="292" spans="1:9" ht="15.95" customHeight="1" x14ac:dyDescent="0.3">
      <c r="A292" s="66">
        <f t="shared" si="18"/>
        <v>779</v>
      </c>
      <c r="B292" s="12" t="s">
        <v>788</v>
      </c>
      <c r="C292" s="139"/>
      <c r="D292" s="23"/>
      <c r="E292" s="23" t="s">
        <v>123</v>
      </c>
      <c r="F292" s="16">
        <v>3</v>
      </c>
      <c r="G292" s="23">
        <f t="shared" si="19"/>
        <v>1</v>
      </c>
      <c r="H292" s="23">
        <v>1</v>
      </c>
      <c r="I292" s="107"/>
    </row>
    <row r="293" spans="1:9" ht="15.95" customHeight="1" x14ac:dyDescent="0.3">
      <c r="A293" s="66">
        <f t="shared" si="18"/>
        <v>780</v>
      </c>
      <c r="B293" s="9" t="s">
        <v>789</v>
      </c>
      <c r="C293" s="123"/>
      <c r="D293" s="66"/>
      <c r="E293" s="16" t="s">
        <v>123</v>
      </c>
      <c r="F293" s="16">
        <v>3</v>
      </c>
      <c r="G293" s="16">
        <f t="shared" si="19"/>
        <v>1</v>
      </c>
      <c r="H293" s="66">
        <v>1</v>
      </c>
      <c r="I293" s="98"/>
    </row>
    <row r="294" spans="1:9" ht="15.95" customHeight="1" x14ac:dyDescent="0.3">
      <c r="A294" s="66">
        <f t="shared" si="18"/>
        <v>781</v>
      </c>
      <c r="B294" s="9" t="s">
        <v>790</v>
      </c>
      <c r="C294" s="123"/>
      <c r="D294" s="66"/>
      <c r="E294" s="16" t="s">
        <v>123</v>
      </c>
      <c r="F294" s="16">
        <v>3</v>
      </c>
      <c r="G294" s="16">
        <f t="shared" si="19"/>
        <v>1</v>
      </c>
      <c r="H294" s="66">
        <v>1</v>
      </c>
      <c r="I294" s="98"/>
    </row>
    <row r="295" spans="1:9" ht="15.95" customHeight="1" x14ac:dyDescent="0.3">
      <c r="A295" s="66">
        <f t="shared" si="18"/>
        <v>782</v>
      </c>
      <c r="B295" s="9" t="s">
        <v>791</v>
      </c>
      <c r="C295" s="123"/>
      <c r="D295" s="66"/>
      <c r="E295" s="16" t="s">
        <v>123</v>
      </c>
      <c r="F295" s="16">
        <v>3</v>
      </c>
      <c r="G295" s="16">
        <f t="shared" si="19"/>
        <v>1</v>
      </c>
      <c r="H295" s="66">
        <v>1</v>
      </c>
      <c r="I295" s="98"/>
    </row>
    <row r="296" spans="1:9" ht="15.95" customHeight="1" x14ac:dyDescent="0.3">
      <c r="A296" s="66">
        <f t="shared" si="18"/>
        <v>783</v>
      </c>
      <c r="B296" s="9" t="s">
        <v>792</v>
      </c>
      <c r="C296" s="123"/>
      <c r="D296" s="66"/>
      <c r="E296" s="16" t="s">
        <v>123</v>
      </c>
      <c r="F296" s="16">
        <v>3</v>
      </c>
      <c r="G296" s="16">
        <f t="shared" si="19"/>
        <v>1</v>
      </c>
      <c r="H296" s="66">
        <v>1</v>
      </c>
      <c r="I296" s="98"/>
    </row>
    <row r="297" spans="1:9" ht="15.95" customHeight="1" x14ac:dyDescent="0.3">
      <c r="A297" s="66">
        <f t="shared" si="18"/>
        <v>784</v>
      </c>
      <c r="B297" s="9" t="s">
        <v>793</v>
      </c>
      <c r="C297" s="123"/>
      <c r="D297" s="66"/>
      <c r="E297" s="16" t="s">
        <v>123</v>
      </c>
      <c r="F297" s="16">
        <v>3</v>
      </c>
      <c r="G297" s="16">
        <f t="shared" si="19"/>
        <v>1</v>
      </c>
      <c r="H297" s="66">
        <v>1</v>
      </c>
      <c r="I297" s="98"/>
    </row>
    <row r="298" spans="1:9" ht="15.95" customHeight="1" x14ac:dyDescent="0.3">
      <c r="A298" s="66">
        <f t="shared" si="18"/>
        <v>785</v>
      </c>
      <c r="B298" s="9" t="s">
        <v>794</v>
      </c>
      <c r="C298" s="123"/>
      <c r="D298" s="66"/>
      <c r="E298" s="16" t="s">
        <v>123</v>
      </c>
      <c r="F298" s="16">
        <v>3</v>
      </c>
      <c r="G298" s="16">
        <f t="shared" si="19"/>
        <v>1</v>
      </c>
      <c r="H298" s="66">
        <v>1</v>
      </c>
      <c r="I298" s="98"/>
    </row>
    <row r="299" spans="1:9" ht="15.95" customHeight="1" x14ac:dyDescent="0.3">
      <c r="A299" s="66">
        <f t="shared" si="18"/>
        <v>786</v>
      </c>
      <c r="B299" s="9" t="s">
        <v>795</v>
      </c>
      <c r="C299" s="123"/>
      <c r="D299" s="66"/>
      <c r="E299" s="16" t="s">
        <v>123</v>
      </c>
      <c r="F299" s="16">
        <v>3</v>
      </c>
      <c r="G299" s="16">
        <f t="shared" si="19"/>
        <v>1</v>
      </c>
      <c r="H299" s="66">
        <v>1</v>
      </c>
      <c r="I299" s="98"/>
    </row>
    <row r="300" spans="1:9" ht="15.95" customHeight="1" x14ac:dyDescent="0.3">
      <c r="A300" s="66">
        <f t="shared" si="18"/>
        <v>787</v>
      </c>
      <c r="B300" s="9" t="s">
        <v>796</v>
      </c>
      <c r="C300" s="123"/>
      <c r="D300" s="66"/>
      <c r="E300" s="16" t="s">
        <v>123</v>
      </c>
      <c r="F300" s="16">
        <v>3</v>
      </c>
      <c r="G300" s="16">
        <f t="shared" si="19"/>
        <v>1</v>
      </c>
      <c r="H300" s="66">
        <v>1</v>
      </c>
      <c r="I300" s="98"/>
    </row>
    <row r="301" spans="1:9" ht="15.95" customHeight="1" x14ac:dyDescent="0.3">
      <c r="A301" s="66">
        <f t="shared" si="18"/>
        <v>788</v>
      </c>
      <c r="B301" s="9" t="s">
        <v>797</v>
      </c>
      <c r="C301" s="123"/>
      <c r="D301" s="66"/>
      <c r="E301" s="16" t="s">
        <v>123</v>
      </c>
      <c r="F301" s="16">
        <v>3</v>
      </c>
      <c r="G301" s="16">
        <f t="shared" si="19"/>
        <v>1</v>
      </c>
      <c r="H301" s="66">
        <v>1</v>
      </c>
      <c r="I301" s="98"/>
    </row>
    <row r="302" spans="1:9" ht="15.95" customHeight="1" x14ac:dyDescent="0.3">
      <c r="A302" s="66">
        <f t="shared" si="18"/>
        <v>789</v>
      </c>
      <c r="B302" s="9" t="s">
        <v>798</v>
      </c>
      <c r="C302" s="123"/>
      <c r="D302" s="66"/>
      <c r="E302" s="16" t="s">
        <v>123</v>
      </c>
      <c r="F302" s="16">
        <v>3</v>
      </c>
      <c r="G302" s="16">
        <f t="shared" si="19"/>
        <v>1</v>
      </c>
      <c r="H302" s="66">
        <v>1</v>
      </c>
      <c r="I302" s="98"/>
    </row>
    <row r="303" spans="1:9" ht="15.95" customHeight="1" x14ac:dyDescent="0.3">
      <c r="A303" s="66">
        <f t="shared" si="18"/>
        <v>790</v>
      </c>
      <c r="B303" s="9" t="s">
        <v>799</v>
      </c>
      <c r="C303" s="123"/>
      <c r="D303" s="66"/>
      <c r="E303" s="16" t="s">
        <v>123</v>
      </c>
      <c r="F303" s="16">
        <v>3</v>
      </c>
      <c r="G303" s="16">
        <f t="shared" si="19"/>
        <v>1</v>
      </c>
      <c r="H303" s="66">
        <v>1</v>
      </c>
      <c r="I303" s="98"/>
    </row>
    <row r="304" spans="1:9" ht="15.95" customHeight="1" x14ac:dyDescent="0.3">
      <c r="A304" s="66">
        <f t="shared" si="18"/>
        <v>791</v>
      </c>
      <c r="B304" s="9" t="s">
        <v>800</v>
      </c>
      <c r="C304" s="123"/>
      <c r="D304" s="66"/>
      <c r="E304" s="16" t="s">
        <v>123</v>
      </c>
      <c r="F304" s="16">
        <v>3</v>
      </c>
      <c r="G304" s="16">
        <f t="shared" si="19"/>
        <v>1</v>
      </c>
      <c r="H304" s="66">
        <v>1</v>
      </c>
      <c r="I304" s="98"/>
    </row>
    <row r="305" spans="1:9" ht="15.95" customHeight="1" x14ac:dyDescent="0.3">
      <c r="A305" s="66">
        <f t="shared" si="18"/>
        <v>792</v>
      </c>
      <c r="B305" s="9" t="s">
        <v>801</v>
      </c>
      <c r="C305" s="123"/>
      <c r="D305" s="66"/>
      <c r="E305" s="16" t="s">
        <v>123</v>
      </c>
      <c r="F305" s="16">
        <v>3</v>
      </c>
      <c r="G305" s="16">
        <f t="shared" si="19"/>
        <v>1</v>
      </c>
      <c r="H305" s="66">
        <v>1</v>
      </c>
      <c r="I305" s="98"/>
    </row>
    <row r="306" spans="1:9" ht="15.95" customHeight="1" x14ac:dyDescent="0.3">
      <c r="A306" s="66">
        <f t="shared" si="18"/>
        <v>793</v>
      </c>
      <c r="B306" s="9" t="s">
        <v>802</v>
      </c>
      <c r="C306" s="123"/>
      <c r="D306" s="66"/>
      <c r="E306" s="16" t="s">
        <v>123</v>
      </c>
      <c r="F306" s="16">
        <v>3</v>
      </c>
      <c r="G306" s="16">
        <f t="shared" si="19"/>
        <v>1</v>
      </c>
      <c r="H306" s="66">
        <v>1</v>
      </c>
      <c r="I306" s="98"/>
    </row>
    <row r="307" spans="1:9" ht="15.95" customHeight="1" x14ac:dyDescent="0.3">
      <c r="A307" s="66">
        <f t="shared" si="18"/>
        <v>794</v>
      </c>
      <c r="B307" s="9" t="s">
        <v>803</v>
      </c>
      <c r="C307" s="123"/>
      <c r="D307" s="66"/>
      <c r="E307" s="16" t="s">
        <v>123</v>
      </c>
      <c r="F307" s="16">
        <v>3</v>
      </c>
      <c r="G307" s="16">
        <f t="shared" si="19"/>
        <v>1</v>
      </c>
      <c r="H307" s="66">
        <v>1</v>
      </c>
      <c r="I307" s="98"/>
    </row>
    <row r="308" spans="1:9" ht="15.95" customHeight="1" x14ac:dyDescent="0.3">
      <c r="A308" s="66">
        <f t="shared" si="18"/>
        <v>795</v>
      </c>
      <c r="B308" s="9" t="s">
        <v>804</v>
      </c>
      <c r="C308" s="123"/>
      <c r="D308" s="66"/>
      <c r="E308" s="16" t="s">
        <v>123</v>
      </c>
      <c r="F308" s="16">
        <v>3</v>
      </c>
      <c r="G308" s="16">
        <f t="shared" si="19"/>
        <v>1</v>
      </c>
      <c r="H308" s="66">
        <v>1</v>
      </c>
      <c r="I308" s="98"/>
    </row>
    <row r="309" spans="1:9" ht="15.95" customHeight="1" x14ac:dyDescent="0.3">
      <c r="A309" s="66">
        <f t="shared" si="18"/>
        <v>796</v>
      </c>
      <c r="B309" s="12" t="s">
        <v>805</v>
      </c>
      <c r="C309" s="123"/>
      <c r="D309" s="66"/>
      <c r="E309" s="23" t="s">
        <v>123</v>
      </c>
      <c r="F309" s="16">
        <v>3</v>
      </c>
      <c r="G309" s="23">
        <f t="shared" si="19"/>
        <v>1</v>
      </c>
      <c r="H309" s="23">
        <v>1</v>
      </c>
      <c r="I309" s="107"/>
    </row>
    <row r="310" spans="1:9" ht="15.95" customHeight="1" x14ac:dyDescent="0.3">
      <c r="A310" s="66">
        <f t="shared" si="18"/>
        <v>797</v>
      </c>
      <c r="B310" s="12" t="s">
        <v>806</v>
      </c>
      <c r="C310" s="123"/>
      <c r="D310" s="66"/>
      <c r="E310" s="23" t="s">
        <v>123</v>
      </c>
      <c r="F310" s="16">
        <v>3</v>
      </c>
      <c r="G310" s="23">
        <f t="shared" si="19"/>
        <v>1</v>
      </c>
      <c r="H310" s="23">
        <v>1</v>
      </c>
      <c r="I310" s="107"/>
    </row>
    <row r="311" spans="1:9" ht="15.95" customHeight="1" x14ac:dyDescent="0.3">
      <c r="A311" s="66">
        <f t="shared" si="18"/>
        <v>798</v>
      </c>
      <c r="B311" s="12" t="s">
        <v>807</v>
      </c>
      <c r="C311" s="123"/>
      <c r="D311" s="66"/>
      <c r="E311" s="23" t="s">
        <v>123</v>
      </c>
      <c r="F311" s="16">
        <v>3</v>
      </c>
      <c r="G311" s="23">
        <f t="shared" si="19"/>
        <v>1</v>
      </c>
      <c r="H311" s="23">
        <v>1</v>
      </c>
      <c r="I311" s="107"/>
    </row>
    <row r="312" spans="1:9" ht="15.95" customHeight="1" x14ac:dyDescent="0.3">
      <c r="A312" s="66">
        <f t="shared" si="18"/>
        <v>799</v>
      </c>
      <c r="B312" s="12" t="s">
        <v>808</v>
      </c>
      <c r="C312" s="123"/>
      <c r="D312" s="66"/>
      <c r="E312" s="23" t="s">
        <v>123</v>
      </c>
      <c r="F312" s="16">
        <v>3</v>
      </c>
      <c r="G312" s="23">
        <f t="shared" si="19"/>
        <v>1</v>
      </c>
      <c r="H312" s="23">
        <v>1</v>
      </c>
      <c r="I312" s="107"/>
    </row>
    <row r="313" spans="1:9" ht="15.95" customHeight="1" x14ac:dyDescent="0.3">
      <c r="A313" s="122" t="s">
        <v>103</v>
      </c>
      <c r="B313" s="122"/>
      <c r="C313" s="122"/>
      <c r="D313" s="122"/>
      <c r="E313" s="122"/>
      <c r="F313" s="122"/>
      <c r="G313" s="122"/>
      <c r="H313" s="122"/>
      <c r="I313" s="104"/>
    </row>
    <row r="314" spans="1:9" ht="15.95" customHeight="1" x14ac:dyDescent="0.3">
      <c r="A314" s="66">
        <f>A312+G312*H312</f>
        <v>800</v>
      </c>
      <c r="B314" s="9" t="s">
        <v>94</v>
      </c>
      <c r="C314" s="66"/>
      <c r="D314" s="66"/>
      <c r="E314" s="16" t="s">
        <v>114</v>
      </c>
      <c r="F314" s="16">
        <v>3</v>
      </c>
      <c r="G314" s="16">
        <f t="shared" ref="G314:G323" si="20">IF(OR(E314="U16", E314="S16"),1,IF(E314="TS",6,2))</f>
        <v>1</v>
      </c>
      <c r="H314" s="66">
        <v>64</v>
      </c>
      <c r="I314" s="98"/>
    </row>
    <row r="315" spans="1:9" ht="15.95" customHeight="1" x14ac:dyDescent="0.3">
      <c r="A315" s="66">
        <f t="shared" ref="A315:A323" si="21">A314+(G314*H314)</f>
        <v>864</v>
      </c>
      <c r="B315" s="9" t="s">
        <v>95</v>
      </c>
      <c r="C315" s="66"/>
      <c r="D315" s="66"/>
      <c r="E315" s="16" t="s">
        <v>114</v>
      </c>
      <c r="F315" s="16">
        <v>3</v>
      </c>
      <c r="G315" s="16">
        <f t="shared" si="20"/>
        <v>1</v>
      </c>
      <c r="H315" s="66">
        <v>64</v>
      </c>
      <c r="I315" s="98"/>
    </row>
    <row r="316" spans="1:9" ht="15.95" customHeight="1" x14ac:dyDescent="0.3">
      <c r="A316" s="66">
        <f t="shared" si="21"/>
        <v>928</v>
      </c>
      <c r="B316" s="9" t="s">
        <v>96</v>
      </c>
      <c r="C316" s="66"/>
      <c r="D316" s="66"/>
      <c r="E316" s="16" t="s">
        <v>114</v>
      </c>
      <c r="F316" s="16">
        <v>3</v>
      </c>
      <c r="G316" s="16">
        <f t="shared" si="20"/>
        <v>1</v>
      </c>
      <c r="H316" s="66">
        <v>64</v>
      </c>
      <c r="I316" s="98"/>
    </row>
    <row r="317" spans="1:9" ht="15.95" customHeight="1" x14ac:dyDescent="0.3">
      <c r="A317" s="66">
        <f t="shared" si="21"/>
        <v>992</v>
      </c>
      <c r="B317" s="9" t="s">
        <v>97</v>
      </c>
      <c r="C317" s="66"/>
      <c r="D317" s="66"/>
      <c r="E317" s="16" t="s">
        <v>114</v>
      </c>
      <c r="F317" s="16">
        <v>3</v>
      </c>
      <c r="G317" s="16">
        <f t="shared" si="20"/>
        <v>1</v>
      </c>
      <c r="H317" s="66">
        <v>64</v>
      </c>
      <c r="I317" s="98"/>
    </row>
    <row r="318" spans="1:9" ht="15.95" customHeight="1" x14ac:dyDescent="0.3">
      <c r="A318" s="66">
        <f t="shared" si="21"/>
        <v>1056</v>
      </c>
      <c r="B318" s="9" t="s">
        <v>98</v>
      </c>
      <c r="C318" s="66"/>
      <c r="D318" s="66"/>
      <c r="E318" s="16" t="s">
        <v>114</v>
      </c>
      <c r="F318" s="16">
        <v>3</v>
      </c>
      <c r="G318" s="16">
        <f t="shared" si="20"/>
        <v>1</v>
      </c>
      <c r="H318" s="66">
        <v>64</v>
      </c>
      <c r="I318" s="98"/>
    </row>
    <row r="319" spans="1:9" ht="15.95" customHeight="1" x14ac:dyDescent="0.3">
      <c r="A319" s="66">
        <f t="shared" si="21"/>
        <v>1120</v>
      </c>
      <c r="B319" s="9" t="s">
        <v>99</v>
      </c>
      <c r="C319" s="66"/>
      <c r="D319" s="66"/>
      <c r="E319" s="16" t="s">
        <v>114</v>
      </c>
      <c r="F319" s="16">
        <v>3</v>
      </c>
      <c r="G319" s="16">
        <f t="shared" si="20"/>
        <v>1</v>
      </c>
      <c r="H319" s="66">
        <v>64</v>
      </c>
      <c r="I319" s="98"/>
    </row>
    <row r="320" spans="1:9" ht="15.95" customHeight="1" x14ac:dyDescent="0.3">
      <c r="A320" s="66">
        <f t="shared" si="21"/>
        <v>1184</v>
      </c>
      <c r="B320" s="9" t="s">
        <v>100</v>
      </c>
      <c r="C320" s="66"/>
      <c r="D320" s="66"/>
      <c r="E320" s="16" t="s">
        <v>114</v>
      </c>
      <c r="F320" s="16">
        <v>3</v>
      </c>
      <c r="G320" s="16">
        <f t="shared" si="20"/>
        <v>1</v>
      </c>
      <c r="H320" s="66">
        <v>64</v>
      </c>
      <c r="I320" s="98"/>
    </row>
    <row r="321" spans="1:10" ht="15.95" customHeight="1" x14ac:dyDescent="0.3">
      <c r="A321" s="66">
        <f t="shared" si="21"/>
        <v>1248</v>
      </c>
      <c r="B321" s="9" t="s">
        <v>101</v>
      </c>
      <c r="C321" s="66"/>
      <c r="D321" s="66"/>
      <c r="E321" s="16" t="s">
        <v>114</v>
      </c>
      <c r="F321" s="16">
        <v>3</v>
      </c>
      <c r="G321" s="16">
        <f t="shared" si="20"/>
        <v>1</v>
      </c>
      <c r="H321" s="66">
        <v>64</v>
      </c>
      <c r="I321" s="98"/>
    </row>
    <row r="322" spans="1:10" ht="15.95" customHeight="1" x14ac:dyDescent="0.3">
      <c r="A322" s="66">
        <f t="shared" si="21"/>
        <v>1312</v>
      </c>
      <c r="B322" s="9" t="s">
        <v>102</v>
      </c>
      <c r="C322" s="66"/>
      <c r="D322" s="66"/>
      <c r="E322" s="16" t="s">
        <v>114</v>
      </c>
      <c r="F322" s="16">
        <v>3</v>
      </c>
      <c r="G322" s="16">
        <f t="shared" si="20"/>
        <v>1</v>
      </c>
      <c r="H322" s="66">
        <v>64</v>
      </c>
      <c r="I322" s="98"/>
    </row>
    <row r="323" spans="1:10" ht="15.95" customHeight="1" x14ac:dyDescent="0.3">
      <c r="A323" s="66">
        <f t="shared" si="21"/>
        <v>1376</v>
      </c>
      <c r="B323" s="9" t="s">
        <v>104</v>
      </c>
      <c r="C323" s="66"/>
      <c r="D323" s="66"/>
      <c r="E323" s="16" t="s">
        <v>114</v>
      </c>
      <c r="F323" s="16">
        <v>3</v>
      </c>
      <c r="G323" s="16">
        <f t="shared" si="20"/>
        <v>1</v>
      </c>
      <c r="H323" s="66">
        <v>24</v>
      </c>
      <c r="I323" s="98"/>
    </row>
    <row r="324" spans="1:10" ht="15.95" customHeight="1" x14ac:dyDescent="0.3">
      <c r="A324" s="122" t="s">
        <v>128</v>
      </c>
      <c r="B324" s="122"/>
      <c r="C324" s="122"/>
      <c r="D324" s="122"/>
      <c r="E324" s="122"/>
      <c r="F324" s="122"/>
      <c r="G324" s="122"/>
      <c r="H324" s="122"/>
      <c r="I324" s="104"/>
    </row>
    <row r="325" spans="1:10" ht="15.95" customHeight="1" x14ac:dyDescent="0.3">
      <c r="A325" s="66">
        <f>A323+(G323*H323)</f>
        <v>1400</v>
      </c>
      <c r="B325" s="9" t="s">
        <v>94</v>
      </c>
      <c r="C325" s="66"/>
      <c r="D325" s="66"/>
      <c r="E325" s="16" t="s">
        <v>114</v>
      </c>
      <c r="F325" s="16">
        <v>3</v>
      </c>
      <c r="G325" s="16">
        <f t="shared" ref="G325:G334" si="22">IF(OR(E325="U16", E325="S16"),1,IF(E325="TS",6,2))</f>
        <v>1</v>
      </c>
      <c r="H325" s="66">
        <v>64</v>
      </c>
      <c r="I325" s="98"/>
    </row>
    <row r="326" spans="1:10" ht="15.95" customHeight="1" x14ac:dyDescent="0.3">
      <c r="A326" s="66">
        <f t="shared" ref="A326:A334" si="23">A325+(G325*H325)</f>
        <v>1464</v>
      </c>
      <c r="B326" s="9" t="s">
        <v>95</v>
      </c>
      <c r="C326" s="66"/>
      <c r="D326" s="66"/>
      <c r="E326" s="16" t="s">
        <v>114</v>
      </c>
      <c r="F326" s="16">
        <v>3</v>
      </c>
      <c r="G326" s="16">
        <f t="shared" si="22"/>
        <v>1</v>
      </c>
      <c r="H326" s="66">
        <v>64</v>
      </c>
      <c r="I326" s="98"/>
    </row>
    <row r="327" spans="1:10" ht="15.95" customHeight="1" x14ac:dyDescent="0.3">
      <c r="A327" s="66">
        <f t="shared" si="23"/>
        <v>1528</v>
      </c>
      <c r="B327" s="9" t="s">
        <v>96</v>
      </c>
      <c r="C327" s="66"/>
      <c r="D327" s="66"/>
      <c r="E327" s="16" t="s">
        <v>114</v>
      </c>
      <c r="F327" s="16">
        <v>3</v>
      </c>
      <c r="G327" s="16">
        <f t="shared" si="22"/>
        <v>1</v>
      </c>
      <c r="H327" s="66">
        <v>64</v>
      </c>
      <c r="I327" s="98"/>
    </row>
    <row r="328" spans="1:10" ht="15.95" customHeight="1" x14ac:dyDescent="0.3">
      <c r="A328" s="66">
        <f t="shared" si="23"/>
        <v>1592</v>
      </c>
      <c r="B328" s="9" t="s">
        <v>97</v>
      </c>
      <c r="C328" s="66"/>
      <c r="D328" s="66"/>
      <c r="E328" s="16" t="s">
        <v>114</v>
      </c>
      <c r="F328" s="16">
        <v>3</v>
      </c>
      <c r="G328" s="16">
        <f t="shared" si="22"/>
        <v>1</v>
      </c>
      <c r="H328" s="66">
        <v>64</v>
      </c>
      <c r="I328" s="98"/>
    </row>
    <row r="329" spans="1:10" ht="15.95" customHeight="1" x14ac:dyDescent="0.3">
      <c r="A329" s="66">
        <f t="shared" si="23"/>
        <v>1656</v>
      </c>
      <c r="B329" s="9" t="s">
        <v>98</v>
      </c>
      <c r="C329" s="66"/>
      <c r="D329" s="66"/>
      <c r="E329" s="16" t="s">
        <v>114</v>
      </c>
      <c r="F329" s="16">
        <v>3</v>
      </c>
      <c r="G329" s="16">
        <f t="shared" si="22"/>
        <v>1</v>
      </c>
      <c r="H329" s="66">
        <v>64</v>
      </c>
      <c r="I329" s="98"/>
    </row>
    <row r="330" spans="1:10" ht="15.95" customHeight="1" x14ac:dyDescent="0.3">
      <c r="A330" s="66">
        <f t="shared" si="23"/>
        <v>1720</v>
      </c>
      <c r="B330" s="9" t="s">
        <v>99</v>
      </c>
      <c r="C330" s="66"/>
      <c r="D330" s="66"/>
      <c r="E330" s="16" t="s">
        <v>114</v>
      </c>
      <c r="F330" s="16">
        <v>3</v>
      </c>
      <c r="G330" s="16">
        <f t="shared" si="22"/>
        <v>1</v>
      </c>
      <c r="H330" s="66">
        <v>64</v>
      </c>
      <c r="I330" s="98"/>
    </row>
    <row r="331" spans="1:10" ht="15.95" customHeight="1" x14ac:dyDescent="0.3">
      <c r="A331" s="66">
        <f t="shared" si="23"/>
        <v>1784</v>
      </c>
      <c r="B331" s="9" t="s">
        <v>100</v>
      </c>
      <c r="C331" s="66"/>
      <c r="D331" s="66"/>
      <c r="E331" s="16" t="s">
        <v>114</v>
      </c>
      <c r="F331" s="16">
        <v>3</v>
      </c>
      <c r="G331" s="16">
        <f t="shared" si="22"/>
        <v>1</v>
      </c>
      <c r="H331" s="66">
        <v>64</v>
      </c>
      <c r="I331" s="98"/>
    </row>
    <row r="332" spans="1:10" ht="15.95" customHeight="1" x14ac:dyDescent="0.3">
      <c r="A332" s="66">
        <f t="shared" si="23"/>
        <v>1848</v>
      </c>
      <c r="B332" s="9" t="s">
        <v>101</v>
      </c>
      <c r="C332" s="66"/>
      <c r="D332" s="66"/>
      <c r="E332" s="16" t="s">
        <v>114</v>
      </c>
      <c r="F332" s="16">
        <v>3</v>
      </c>
      <c r="G332" s="16">
        <f t="shared" si="22"/>
        <v>1</v>
      </c>
      <c r="H332" s="66">
        <v>64</v>
      </c>
      <c r="I332" s="98"/>
    </row>
    <row r="333" spans="1:10" ht="15.95" customHeight="1" x14ac:dyDescent="0.3">
      <c r="A333" s="66">
        <f t="shared" si="23"/>
        <v>1912</v>
      </c>
      <c r="B333" s="9" t="s">
        <v>102</v>
      </c>
      <c r="C333" s="66"/>
      <c r="D333" s="66"/>
      <c r="E333" s="16" t="s">
        <v>114</v>
      </c>
      <c r="F333" s="16">
        <v>3</v>
      </c>
      <c r="G333" s="16">
        <f t="shared" si="22"/>
        <v>1</v>
      </c>
      <c r="H333" s="66">
        <v>64</v>
      </c>
      <c r="I333" s="98"/>
    </row>
    <row r="334" spans="1:10" ht="15.95" customHeight="1" x14ac:dyDescent="0.3">
      <c r="A334" s="74">
        <f t="shared" si="23"/>
        <v>1976</v>
      </c>
      <c r="B334" s="9"/>
      <c r="C334" s="74"/>
      <c r="D334" s="74"/>
      <c r="E334" s="16" t="s">
        <v>114</v>
      </c>
      <c r="F334" s="16">
        <v>3</v>
      </c>
      <c r="G334" s="16">
        <f t="shared" si="22"/>
        <v>1</v>
      </c>
      <c r="H334" s="74">
        <v>24</v>
      </c>
      <c r="I334" s="98"/>
      <c r="J334" s="75"/>
    </row>
    <row r="335" spans="1:10" ht="15.95" customHeight="1" x14ac:dyDescent="0.3">
      <c r="A335" s="122" t="s">
        <v>116</v>
      </c>
      <c r="B335" s="122"/>
      <c r="C335" s="122"/>
      <c r="D335" s="122"/>
      <c r="E335" s="122"/>
      <c r="F335" s="122"/>
      <c r="G335" s="122"/>
      <c r="H335" s="122"/>
      <c r="I335" s="104"/>
    </row>
    <row r="336" spans="1:10" ht="15.95" customHeight="1" x14ac:dyDescent="0.3">
      <c r="A336" s="74">
        <f>A334+(G334*H334)</f>
        <v>2000</v>
      </c>
      <c r="B336" s="9" t="s">
        <v>400</v>
      </c>
      <c r="C336" s="66"/>
      <c r="D336" s="66"/>
      <c r="E336" s="16" t="s">
        <v>123</v>
      </c>
      <c r="F336" s="16">
        <v>3</v>
      </c>
      <c r="G336" s="16">
        <f t="shared" ref="G336:G345" si="24">IF(OR(E336="U16", E336="S16"),1,IF(E336="TS",6,2))</f>
        <v>1</v>
      </c>
      <c r="H336" s="66">
        <v>1</v>
      </c>
      <c r="I336" s="98"/>
    </row>
    <row r="337" spans="1:10" ht="15.95" customHeight="1" x14ac:dyDescent="0.3">
      <c r="A337" s="66">
        <f t="shared" ref="A337:A387" si="25">A336+(G336*H336)</f>
        <v>2001</v>
      </c>
      <c r="B337" s="9" t="s">
        <v>401</v>
      </c>
      <c r="C337" s="66"/>
      <c r="D337" s="66"/>
      <c r="E337" s="16" t="s">
        <v>123</v>
      </c>
      <c r="F337" s="16">
        <v>3</v>
      </c>
      <c r="G337" s="16">
        <f t="shared" si="24"/>
        <v>1</v>
      </c>
      <c r="H337" s="66">
        <v>1</v>
      </c>
      <c r="I337" s="98"/>
    </row>
    <row r="338" spans="1:10" ht="15.95" customHeight="1" x14ac:dyDescent="0.3">
      <c r="A338" s="66">
        <f t="shared" si="25"/>
        <v>2002</v>
      </c>
      <c r="B338" s="9" t="s">
        <v>117</v>
      </c>
      <c r="C338" s="66"/>
      <c r="D338" s="66"/>
      <c r="E338" s="16" t="s">
        <v>92</v>
      </c>
      <c r="F338" s="16">
        <v>3</v>
      </c>
      <c r="G338" s="16">
        <f t="shared" si="24"/>
        <v>2</v>
      </c>
      <c r="H338" s="66">
        <v>1</v>
      </c>
      <c r="I338" s="98"/>
    </row>
    <row r="339" spans="1:10" ht="15.95" customHeight="1" x14ac:dyDescent="0.3">
      <c r="A339" s="66">
        <f t="shared" si="25"/>
        <v>2004</v>
      </c>
      <c r="B339" s="149" t="s">
        <v>121</v>
      </c>
      <c r="C339" s="116" t="s">
        <v>1153</v>
      </c>
      <c r="D339" s="116"/>
      <c r="E339" s="116" t="s">
        <v>437</v>
      </c>
      <c r="F339" s="116">
        <v>3</v>
      </c>
      <c r="G339" s="116">
        <v>2</v>
      </c>
      <c r="H339" s="116">
        <v>1</v>
      </c>
      <c r="I339" s="98"/>
    </row>
    <row r="340" spans="1:10" ht="15.95" customHeight="1" x14ac:dyDescent="0.3">
      <c r="A340" s="117">
        <f t="shared" si="25"/>
        <v>2006</v>
      </c>
      <c r="B340" s="150"/>
      <c r="C340" s="116" t="s">
        <v>1152</v>
      </c>
      <c r="D340" s="116"/>
      <c r="E340" s="116" t="s">
        <v>259</v>
      </c>
      <c r="F340" s="116">
        <v>3</v>
      </c>
      <c r="G340" s="116">
        <v>2</v>
      </c>
      <c r="H340" s="116">
        <v>1</v>
      </c>
      <c r="I340" s="98"/>
      <c r="J340" s="118"/>
    </row>
    <row r="341" spans="1:10" ht="15.95" customHeight="1" x14ac:dyDescent="0.3">
      <c r="A341" s="117">
        <f t="shared" si="25"/>
        <v>2008</v>
      </c>
      <c r="B341" s="150"/>
      <c r="C341" s="116" t="s">
        <v>1154</v>
      </c>
      <c r="D341" s="116"/>
      <c r="E341" s="116" t="s">
        <v>437</v>
      </c>
      <c r="F341" s="116">
        <v>3</v>
      </c>
      <c r="G341" s="116">
        <v>2</v>
      </c>
      <c r="H341" s="116">
        <v>1</v>
      </c>
      <c r="I341" s="98"/>
      <c r="J341" s="118"/>
    </row>
    <row r="342" spans="1:10" ht="15.95" customHeight="1" x14ac:dyDescent="0.3">
      <c r="A342" s="117">
        <f t="shared" si="25"/>
        <v>2010</v>
      </c>
      <c r="B342" s="151"/>
      <c r="C342" s="116" t="s">
        <v>1155</v>
      </c>
      <c r="D342" s="116"/>
      <c r="E342" s="116" t="s">
        <v>259</v>
      </c>
      <c r="F342" s="116">
        <v>3</v>
      </c>
      <c r="G342" s="116">
        <v>2</v>
      </c>
      <c r="H342" s="116">
        <v>1</v>
      </c>
      <c r="I342" s="98"/>
      <c r="J342" s="118"/>
    </row>
    <row r="343" spans="1:10" ht="15.95" customHeight="1" x14ac:dyDescent="0.3">
      <c r="A343" s="117">
        <f t="shared" si="25"/>
        <v>2012</v>
      </c>
      <c r="B343" s="9" t="s">
        <v>198</v>
      </c>
      <c r="C343" s="66"/>
      <c r="D343" s="66"/>
      <c r="E343" s="16" t="s">
        <v>58</v>
      </c>
      <c r="F343" s="16">
        <v>3</v>
      </c>
      <c r="G343" s="16">
        <f t="shared" si="24"/>
        <v>2</v>
      </c>
      <c r="H343" s="66">
        <v>4</v>
      </c>
      <c r="I343" s="98"/>
    </row>
    <row r="344" spans="1:10" ht="15.95" customHeight="1" x14ac:dyDescent="0.3">
      <c r="A344" s="66">
        <f t="shared" si="25"/>
        <v>2020</v>
      </c>
      <c r="B344" s="9" t="s">
        <v>154</v>
      </c>
      <c r="C344" s="66"/>
      <c r="D344" s="66"/>
      <c r="E344" s="16" t="s">
        <v>59</v>
      </c>
      <c r="F344" s="16">
        <v>3</v>
      </c>
      <c r="G344" s="16">
        <f t="shared" si="24"/>
        <v>2</v>
      </c>
      <c r="H344" s="66">
        <v>4</v>
      </c>
      <c r="I344" s="98"/>
    </row>
    <row r="345" spans="1:10" ht="15.95" customHeight="1" x14ac:dyDescent="0.3">
      <c r="A345" s="66">
        <f t="shared" si="25"/>
        <v>2028</v>
      </c>
      <c r="B345" s="9" t="s">
        <v>155</v>
      </c>
      <c r="C345" s="66"/>
      <c r="D345" s="66"/>
      <c r="E345" s="16" t="s">
        <v>59</v>
      </c>
      <c r="F345" s="16">
        <v>3</v>
      </c>
      <c r="G345" s="16">
        <f t="shared" si="24"/>
        <v>2</v>
      </c>
      <c r="H345" s="66">
        <v>4</v>
      </c>
      <c r="I345" s="98"/>
    </row>
    <row r="346" spans="1:10" ht="15.95" customHeight="1" x14ac:dyDescent="0.3">
      <c r="A346" s="66">
        <f t="shared" si="25"/>
        <v>2036</v>
      </c>
      <c r="B346" s="9" t="s">
        <v>156</v>
      </c>
      <c r="C346" s="66"/>
      <c r="D346" s="66"/>
      <c r="E346" s="16" t="s">
        <v>59</v>
      </c>
      <c r="F346" s="16">
        <v>3</v>
      </c>
      <c r="G346" s="16">
        <f t="shared" ref="G346:G356" si="26">IF(OR(E346="U16", E346="S16"),1,IF(E346="TS",6,2))</f>
        <v>2</v>
      </c>
      <c r="H346" s="66">
        <v>4</v>
      </c>
      <c r="I346" s="98"/>
      <c r="J346" s="10" t="s">
        <v>124</v>
      </c>
    </row>
    <row r="347" spans="1:10" ht="15.95" customHeight="1" x14ac:dyDescent="0.3">
      <c r="A347" s="66">
        <f t="shared" si="25"/>
        <v>2044</v>
      </c>
      <c r="B347" s="9" t="s">
        <v>157</v>
      </c>
      <c r="C347" s="66"/>
      <c r="D347" s="66"/>
      <c r="E347" s="16" t="s">
        <v>59</v>
      </c>
      <c r="F347" s="16">
        <v>3</v>
      </c>
      <c r="G347" s="16">
        <f t="shared" si="26"/>
        <v>2</v>
      </c>
      <c r="H347" s="66">
        <v>4</v>
      </c>
      <c r="I347" s="98"/>
    </row>
    <row r="348" spans="1:10" ht="15.95" customHeight="1" x14ac:dyDescent="0.3">
      <c r="A348" s="66">
        <f t="shared" si="25"/>
        <v>2052</v>
      </c>
      <c r="B348" s="9" t="s">
        <v>158</v>
      </c>
      <c r="C348" s="66"/>
      <c r="D348" s="66"/>
      <c r="E348" s="16" t="s">
        <v>59</v>
      </c>
      <c r="F348" s="16">
        <v>3</v>
      </c>
      <c r="G348" s="16">
        <f t="shared" si="26"/>
        <v>2</v>
      </c>
      <c r="H348" s="66">
        <v>4</v>
      </c>
      <c r="I348" s="98"/>
    </row>
    <row r="349" spans="1:10" ht="15.95" customHeight="1" x14ac:dyDescent="0.3">
      <c r="A349" s="66">
        <f t="shared" si="25"/>
        <v>2060</v>
      </c>
      <c r="B349" s="9" t="s">
        <v>159</v>
      </c>
      <c r="C349" s="66"/>
      <c r="D349" s="66"/>
      <c r="E349" s="16" t="s">
        <v>59</v>
      </c>
      <c r="F349" s="16">
        <v>3</v>
      </c>
      <c r="G349" s="16">
        <f t="shared" si="26"/>
        <v>2</v>
      </c>
      <c r="H349" s="66">
        <v>4</v>
      </c>
      <c r="I349" s="98"/>
    </row>
    <row r="350" spans="1:10" ht="15.95" customHeight="1" x14ac:dyDescent="0.3">
      <c r="A350" s="66">
        <f t="shared" si="25"/>
        <v>2068</v>
      </c>
      <c r="B350" s="9" t="s">
        <v>160</v>
      </c>
      <c r="C350" s="66"/>
      <c r="D350" s="66"/>
      <c r="E350" s="16" t="s">
        <v>59</v>
      </c>
      <c r="F350" s="16">
        <v>3</v>
      </c>
      <c r="G350" s="16">
        <f t="shared" si="26"/>
        <v>2</v>
      </c>
      <c r="H350" s="66">
        <v>4</v>
      </c>
      <c r="I350" s="98"/>
    </row>
    <row r="351" spans="1:10" ht="15.95" customHeight="1" x14ac:dyDescent="0.3">
      <c r="A351" s="66">
        <f t="shared" si="25"/>
        <v>2076</v>
      </c>
      <c r="B351" s="9" t="s">
        <v>161</v>
      </c>
      <c r="C351" s="66"/>
      <c r="D351" s="66"/>
      <c r="E351" s="16" t="s">
        <v>59</v>
      </c>
      <c r="F351" s="16">
        <v>3</v>
      </c>
      <c r="G351" s="16">
        <f t="shared" si="26"/>
        <v>2</v>
      </c>
      <c r="H351" s="66">
        <v>4</v>
      </c>
      <c r="I351" s="98"/>
    </row>
    <row r="352" spans="1:10" ht="15.95" customHeight="1" x14ac:dyDescent="0.3">
      <c r="A352" s="66">
        <f t="shared" si="25"/>
        <v>2084</v>
      </c>
      <c r="B352" s="9" t="s">
        <v>118</v>
      </c>
      <c r="C352" s="66"/>
      <c r="D352" s="66"/>
      <c r="E352" s="16" t="s">
        <v>59</v>
      </c>
      <c r="F352" s="16">
        <v>3</v>
      </c>
      <c r="G352" s="16">
        <f t="shared" si="26"/>
        <v>2</v>
      </c>
      <c r="H352" s="66">
        <v>4</v>
      </c>
      <c r="I352" s="98"/>
    </row>
    <row r="353" spans="1:9" ht="15.95" customHeight="1" x14ac:dyDescent="0.3">
      <c r="A353" s="66">
        <f t="shared" si="25"/>
        <v>2092</v>
      </c>
      <c r="B353" s="9" t="s">
        <v>119</v>
      </c>
      <c r="C353" s="66"/>
      <c r="D353" s="66"/>
      <c r="E353" s="16" t="s">
        <v>59</v>
      </c>
      <c r="F353" s="16">
        <v>3</v>
      </c>
      <c r="G353" s="16">
        <f t="shared" si="26"/>
        <v>2</v>
      </c>
      <c r="H353" s="66">
        <v>4</v>
      </c>
      <c r="I353" s="98"/>
    </row>
    <row r="354" spans="1:9" ht="15.95" customHeight="1" x14ac:dyDescent="0.3">
      <c r="A354" s="66">
        <f t="shared" si="25"/>
        <v>2100</v>
      </c>
      <c r="B354" s="9" t="s">
        <v>120</v>
      </c>
      <c r="C354" s="66"/>
      <c r="D354" s="66"/>
      <c r="E354" s="16" t="s">
        <v>59</v>
      </c>
      <c r="F354" s="16">
        <v>3</v>
      </c>
      <c r="G354" s="16">
        <f t="shared" si="26"/>
        <v>2</v>
      </c>
      <c r="H354" s="66">
        <v>4</v>
      </c>
      <c r="I354" s="98"/>
    </row>
    <row r="355" spans="1:9" ht="15.95" customHeight="1" x14ac:dyDescent="0.3">
      <c r="A355" s="66">
        <f t="shared" si="25"/>
        <v>2108</v>
      </c>
      <c r="B355" s="9" t="s">
        <v>149</v>
      </c>
      <c r="C355" s="66"/>
      <c r="D355" s="66"/>
      <c r="E355" s="16" t="s">
        <v>59</v>
      </c>
      <c r="F355" s="16">
        <v>3</v>
      </c>
      <c r="G355" s="16">
        <f t="shared" si="26"/>
        <v>2</v>
      </c>
      <c r="H355" s="66">
        <v>4</v>
      </c>
      <c r="I355" s="98"/>
    </row>
    <row r="356" spans="1:9" ht="15.95" customHeight="1" x14ac:dyDescent="0.3">
      <c r="A356" s="66">
        <f t="shared" si="25"/>
        <v>2116</v>
      </c>
      <c r="B356" s="9" t="s">
        <v>131</v>
      </c>
      <c r="C356" s="66"/>
      <c r="D356" s="66"/>
      <c r="E356" s="16" t="s">
        <v>59</v>
      </c>
      <c r="F356" s="16">
        <v>3</v>
      </c>
      <c r="G356" s="16">
        <f t="shared" si="26"/>
        <v>2</v>
      </c>
      <c r="H356" s="66">
        <v>4</v>
      </c>
      <c r="I356" s="98"/>
    </row>
    <row r="357" spans="1:9" ht="15.95" customHeight="1" x14ac:dyDescent="0.3">
      <c r="A357" s="66">
        <f t="shared" si="25"/>
        <v>2124</v>
      </c>
      <c r="B357" s="9" t="s">
        <v>122</v>
      </c>
      <c r="C357" s="66"/>
      <c r="D357" s="66"/>
      <c r="E357" s="16" t="s">
        <v>59</v>
      </c>
      <c r="F357" s="16">
        <v>3</v>
      </c>
      <c r="G357" s="16">
        <f t="shared" ref="G357:G367" si="27">IF(OR(E357="U16", E357="S16"),1,IF(E357="TS",6,2))</f>
        <v>2</v>
      </c>
      <c r="H357" s="66">
        <v>4</v>
      </c>
      <c r="I357" s="98"/>
    </row>
    <row r="358" spans="1:9" ht="15.95" customHeight="1" x14ac:dyDescent="0.3">
      <c r="A358" s="66">
        <f t="shared" si="25"/>
        <v>2132</v>
      </c>
      <c r="B358" s="9" t="s">
        <v>130</v>
      </c>
      <c r="C358" s="66"/>
      <c r="D358" s="66"/>
      <c r="E358" s="16" t="s">
        <v>59</v>
      </c>
      <c r="F358" s="16">
        <v>3</v>
      </c>
      <c r="G358" s="16">
        <f t="shared" si="27"/>
        <v>2</v>
      </c>
      <c r="H358" s="66">
        <v>4</v>
      </c>
      <c r="I358" s="98"/>
    </row>
    <row r="359" spans="1:9" ht="15.95" customHeight="1" x14ac:dyDescent="0.3">
      <c r="A359" s="66">
        <f t="shared" si="25"/>
        <v>2140</v>
      </c>
      <c r="B359" s="9" t="s">
        <v>60</v>
      </c>
      <c r="C359" s="66"/>
      <c r="D359" s="66"/>
      <c r="E359" s="16" t="s">
        <v>59</v>
      </c>
      <c r="F359" s="16">
        <v>3</v>
      </c>
      <c r="G359" s="16">
        <f t="shared" si="27"/>
        <v>2</v>
      </c>
      <c r="H359" s="66">
        <v>4</v>
      </c>
      <c r="I359" s="98"/>
    </row>
    <row r="360" spans="1:9" ht="15.95" customHeight="1" x14ac:dyDescent="0.3">
      <c r="A360" s="66">
        <f t="shared" si="25"/>
        <v>2148</v>
      </c>
      <c r="B360" s="9" t="s">
        <v>3</v>
      </c>
      <c r="C360" s="66"/>
      <c r="D360" s="66"/>
      <c r="E360" s="16" t="s">
        <v>58</v>
      </c>
      <c r="F360" s="16">
        <v>3</v>
      </c>
      <c r="G360" s="16">
        <f t="shared" si="27"/>
        <v>2</v>
      </c>
      <c r="H360" s="66">
        <v>4</v>
      </c>
      <c r="I360" s="98"/>
    </row>
    <row r="361" spans="1:9" ht="15.95" customHeight="1" x14ac:dyDescent="0.3">
      <c r="A361" s="66">
        <f t="shared" si="25"/>
        <v>2156</v>
      </c>
      <c r="B361" s="9" t="s">
        <v>4</v>
      </c>
      <c r="C361" s="66"/>
      <c r="D361" s="66"/>
      <c r="E361" s="16" t="s">
        <v>59</v>
      </c>
      <c r="F361" s="16">
        <v>3</v>
      </c>
      <c r="G361" s="16">
        <f>IF(OR(E361="U16", E361="S16"),1,IF(E361="TS",6,2))</f>
        <v>2</v>
      </c>
      <c r="H361" s="66">
        <v>4</v>
      </c>
      <c r="I361" s="98"/>
    </row>
    <row r="362" spans="1:9" ht="15.95" customHeight="1" x14ac:dyDescent="0.3">
      <c r="A362" s="66">
        <f t="shared" si="25"/>
        <v>2164</v>
      </c>
      <c r="B362" s="9" t="s">
        <v>61</v>
      </c>
      <c r="C362" s="66"/>
      <c r="D362" s="66"/>
      <c r="E362" s="16" t="s">
        <v>59</v>
      </c>
      <c r="F362" s="16">
        <v>3</v>
      </c>
      <c r="G362" s="16">
        <f>IF(OR(E362="U16", E362="S16"),1,IF(E362="TS",6,2))</f>
        <v>2</v>
      </c>
      <c r="H362" s="66">
        <v>4</v>
      </c>
      <c r="I362" s="98"/>
    </row>
    <row r="363" spans="1:9" ht="15.95" customHeight="1" x14ac:dyDescent="0.3">
      <c r="A363" s="66">
        <f t="shared" si="25"/>
        <v>2172</v>
      </c>
      <c r="B363" s="9" t="s">
        <v>62</v>
      </c>
      <c r="C363" s="66"/>
      <c r="D363" s="66"/>
      <c r="E363" s="16" t="s">
        <v>59</v>
      </c>
      <c r="F363" s="16">
        <v>3</v>
      </c>
      <c r="G363" s="16">
        <f>IF(OR(E363="U16", E363="S16"),1,IF(E363="TS",6,2))</f>
        <v>2</v>
      </c>
      <c r="H363" s="66">
        <v>4</v>
      </c>
      <c r="I363" s="98"/>
    </row>
    <row r="364" spans="1:9" ht="15.95" customHeight="1" x14ac:dyDescent="0.3">
      <c r="A364" s="66">
        <f t="shared" si="25"/>
        <v>2180</v>
      </c>
      <c r="B364" s="9" t="s">
        <v>63</v>
      </c>
      <c r="C364" s="66"/>
      <c r="D364" s="66"/>
      <c r="E364" s="16" t="s">
        <v>59</v>
      </c>
      <c r="F364" s="16">
        <v>3</v>
      </c>
      <c r="G364" s="16">
        <f>IF(OR(E364="U16", E364="S16"),1,IF(E364="TS",6,2))</f>
        <v>2</v>
      </c>
      <c r="H364" s="66">
        <v>4</v>
      </c>
      <c r="I364" s="98"/>
    </row>
    <row r="365" spans="1:9" ht="15.95" customHeight="1" x14ac:dyDescent="0.3">
      <c r="A365" s="66">
        <f t="shared" si="25"/>
        <v>2188</v>
      </c>
      <c r="B365" s="9" t="s">
        <v>64</v>
      </c>
      <c r="C365" s="66"/>
      <c r="D365" s="66"/>
      <c r="E365" s="16" t="s">
        <v>59</v>
      </c>
      <c r="F365" s="16">
        <v>3</v>
      </c>
      <c r="G365" s="16">
        <f t="shared" si="27"/>
        <v>2</v>
      </c>
      <c r="H365" s="66">
        <v>4</v>
      </c>
      <c r="I365" s="98"/>
    </row>
    <row r="366" spans="1:9" ht="15.95" customHeight="1" x14ac:dyDescent="0.3">
      <c r="A366" s="66">
        <f t="shared" si="25"/>
        <v>2196</v>
      </c>
      <c r="B366" s="9" t="s">
        <v>65</v>
      </c>
      <c r="C366" s="66"/>
      <c r="D366" s="66"/>
      <c r="E366" s="16" t="s">
        <v>59</v>
      </c>
      <c r="F366" s="16">
        <v>3</v>
      </c>
      <c r="G366" s="16">
        <f t="shared" si="27"/>
        <v>2</v>
      </c>
      <c r="H366" s="66">
        <v>4</v>
      </c>
      <c r="I366" s="98"/>
    </row>
    <row r="367" spans="1:9" ht="15.95" customHeight="1" x14ac:dyDescent="0.3">
      <c r="A367" s="66">
        <f t="shared" si="25"/>
        <v>2204</v>
      </c>
      <c r="B367" s="9" t="s">
        <v>66</v>
      </c>
      <c r="C367" s="66"/>
      <c r="D367" s="66"/>
      <c r="E367" s="16" t="s">
        <v>59</v>
      </c>
      <c r="F367" s="16">
        <v>3</v>
      </c>
      <c r="G367" s="16">
        <f t="shared" si="27"/>
        <v>2</v>
      </c>
      <c r="H367" s="66">
        <v>4</v>
      </c>
      <c r="I367" s="98"/>
    </row>
    <row r="368" spans="1:9" ht="15.95" customHeight="1" x14ac:dyDescent="0.3">
      <c r="A368" s="66">
        <f t="shared" si="25"/>
        <v>2212</v>
      </c>
      <c r="B368" s="9" t="s">
        <v>6</v>
      </c>
      <c r="C368" s="66"/>
      <c r="D368" s="66"/>
      <c r="E368" s="16" t="s">
        <v>59</v>
      </c>
      <c r="F368" s="16">
        <v>3</v>
      </c>
      <c r="G368" s="16">
        <f t="shared" ref="G368:G385" si="28">IF(OR(E368="U16", E368="S16"),1,IF(E368="TS",6,2))</f>
        <v>2</v>
      </c>
      <c r="H368" s="66">
        <v>4</v>
      </c>
      <c r="I368" s="98"/>
    </row>
    <row r="369" spans="1:9" ht="15.95" customHeight="1" x14ac:dyDescent="0.3">
      <c r="A369" s="66">
        <f t="shared" si="25"/>
        <v>2220</v>
      </c>
      <c r="B369" s="9" t="s">
        <v>7</v>
      </c>
      <c r="C369" s="66"/>
      <c r="D369" s="66"/>
      <c r="E369" s="16" t="s">
        <v>59</v>
      </c>
      <c r="F369" s="16">
        <v>3</v>
      </c>
      <c r="G369" s="16">
        <f t="shared" si="28"/>
        <v>2</v>
      </c>
      <c r="H369" s="66">
        <v>4</v>
      </c>
      <c r="I369" s="98"/>
    </row>
    <row r="370" spans="1:9" ht="15.95" customHeight="1" x14ac:dyDescent="0.3">
      <c r="A370" s="66">
        <f t="shared" si="25"/>
        <v>2228</v>
      </c>
      <c r="B370" s="9" t="s">
        <v>67</v>
      </c>
      <c r="C370" s="66"/>
      <c r="D370" s="66"/>
      <c r="E370" s="16" t="s">
        <v>59</v>
      </c>
      <c r="F370" s="16">
        <v>3</v>
      </c>
      <c r="G370" s="16">
        <f t="shared" si="28"/>
        <v>2</v>
      </c>
      <c r="H370" s="66">
        <v>4</v>
      </c>
      <c r="I370" s="98"/>
    </row>
    <row r="371" spans="1:9" ht="15.95" customHeight="1" x14ac:dyDescent="0.3">
      <c r="A371" s="66">
        <f t="shared" si="25"/>
        <v>2236</v>
      </c>
      <c r="B371" s="9" t="s">
        <v>135</v>
      </c>
      <c r="C371" s="66"/>
      <c r="D371" s="66"/>
      <c r="E371" s="16" t="s">
        <v>59</v>
      </c>
      <c r="F371" s="16">
        <v>3</v>
      </c>
      <c r="G371" s="16">
        <f t="shared" si="28"/>
        <v>2</v>
      </c>
      <c r="H371" s="66">
        <v>4</v>
      </c>
      <c r="I371" s="98"/>
    </row>
    <row r="372" spans="1:9" ht="15.95" customHeight="1" x14ac:dyDescent="0.3">
      <c r="A372" s="66">
        <f t="shared" si="25"/>
        <v>2244</v>
      </c>
      <c r="B372" s="9" t="s">
        <v>136</v>
      </c>
      <c r="C372" s="66"/>
      <c r="D372" s="66"/>
      <c r="E372" s="16" t="s">
        <v>59</v>
      </c>
      <c r="F372" s="16">
        <v>3</v>
      </c>
      <c r="G372" s="16">
        <f t="shared" si="28"/>
        <v>2</v>
      </c>
      <c r="H372" s="66">
        <v>4</v>
      </c>
      <c r="I372" s="98"/>
    </row>
    <row r="373" spans="1:9" ht="15.95" customHeight="1" x14ac:dyDescent="0.3">
      <c r="A373" s="66">
        <f t="shared" si="25"/>
        <v>2252</v>
      </c>
      <c r="B373" s="9" t="s">
        <v>137</v>
      </c>
      <c r="C373" s="66"/>
      <c r="D373" s="66"/>
      <c r="E373" s="16" t="s">
        <v>59</v>
      </c>
      <c r="F373" s="16">
        <v>3</v>
      </c>
      <c r="G373" s="16">
        <f t="shared" si="28"/>
        <v>2</v>
      </c>
      <c r="H373" s="66">
        <v>4</v>
      </c>
      <c r="I373" s="98"/>
    </row>
    <row r="374" spans="1:9" ht="15.95" customHeight="1" x14ac:dyDescent="0.3">
      <c r="A374" s="66">
        <f t="shared" si="25"/>
        <v>2260</v>
      </c>
      <c r="B374" s="9" t="s">
        <v>81</v>
      </c>
      <c r="C374" s="66"/>
      <c r="D374" s="66"/>
      <c r="E374" s="16" t="s">
        <v>59</v>
      </c>
      <c r="F374" s="16">
        <v>3</v>
      </c>
      <c r="G374" s="16">
        <f t="shared" si="28"/>
        <v>2</v>
      </c>
      <c r="H374" s="66">
        <v>4</v>
      </c>
      <c r="I374" s="98"/>
    </row>
    <row r="375" spans="1:9" ht="15.95" customHeight="1" x14ac:dyDescent="0.3">
      <c r="A375" s="66">
        <f t="shared" si="25"/>
        <v>2268</v>
      </c>
      <c r="B375" s="9" t="s">
        <v>237</v>
      </c>
      <c r="C375" s="66"/>
      <c r="D375" s="66"/>
      <c r="E375" s="16" t="s">
        <v>59</v>
      </c>
      <c r="F375" s="16">
        <v>3</v>
      </c>
      <c r="G375" s="16">
        <f t="shared" si="28"/>
        <v>2</v>
      </c>
      <c r="H375" s="66">
        <v>4</v>
      </c>
      <c r="I375" s="98"/>
    </row>
    <row r="376" spans="1:9" ht="15.95" customHeight="1" x14ac:dyDescent="0.3">
      <c r="A376" s="66">
        <f t="shared" si="25"/>
        <v>2276</v>
      </c>
      <c r="B376" s="9" t="s">
        <v>238</v>
      </c>
      <c r="C376" s="66"/>
      <c r="D376" s="66"/>
      <c r="E376" s="16" t="s">
        <v>59</v>
      </c>
      <c r="F376" s="16">
        <v>3</v>
      </c>
      <c r="G376" s="16">
        <f t="shared" si="28"/>
        <v>2</v>
      </c>
      <c r="H376" s="66">
        <v>4</v>
      </c>
      <c r="I376" s="98"/>
    </row>
    <row r="377" spans="1:9" ht="15.95" customHeight="1" x14ac:dyDescent="0.3">
      <c r="A377" s="66">
        <f t="shared" si="25"/>
        <v>2284</v>
      </c>
      <c r="B377" s="9" t="s">
        <v>239</v>
      </c>
      <c r="C377" s="66"/>
      <c r="D377" s="66"/>
      <c r="E377" s="16" t="s">
        <v>59</v>
      </c>
      <c r="F377" s="16">
        <v>3</v>
      </c>
      <c r="G377" s="16">
        <f t="shared" si="28"/>
        <v>2</v>
      </c>
      <c r="H377" s="66">
        <v>4</v>
      </c>
      <c r="I377" s="98"/>
    </row>
    <row r="378" spans="1:9" ht="15.95" customHeight="1" x14ac:dyDescent="0.3">
      <c r="A378" s="66">
        <f t="shared" si="25"/>
        <v>2292</v>
      </c>
      <c r="B378" s="9" t="s">
        <v>240</v>
      </c>
      <c r="C378" s="66"/>
      <c r="D378" s="66"/>
      <c r="E378" s="16" t="s">
        <v>59</v>
      </c>
      <c r="F378" s="16">
        <v>3</v>
      </c>
      <c r="G378" s="16">
        <f t="shared" si="28"/>
        <v>2</v>
      </c>
      <c r="H378" s="66">
        <v>4</v>
      </c>
      <c r="I378" s="98"/>
    </row>
    <row r="379" spans="1:9" ht="15.95" customHeight="1" x14ac:dyDescent="0.3">
      <c r="A379" s="66">
        <f t="shared" si="25"/>
        <v>2300</v>
      </c>
      <c r="B379" s="9" t="s">
        <v>241</v>
      </c>
      <c r="C379" s="66"/>
      <c r="D379" s="66"/>
      <c r="E379" s="16" t="s">
        <v>59</v>
      </c>
      <c r="F379" s="16">
        <v>3</v>
      </c>
      <c r="G379" s="16">
        <f t="shared" si="28"/>
        <v>2</v>
      </c>
      <c r="H379" s="66">
        <v>4</v>
      </c>
      <c r="I379" s="98"/>
    </row>
    <row r="380" spans="1:9" ht="15.95" customHeight="1" x14ac:dyDescent="0.3">
      <c r="A380" s="66">
        <f t="shared" si="25"/>
        <v>2308</v>
      </c>
      <c r="B380" s="9" t="s">
        <v>242</v>
      </c>
      <c r="C380" s="66"/>
      <c r="D380" s="66"/>
      <c r="E380" s="16" t="s">
        <v>59</v>
      </c>
      <c r="F380" s="16">
        <v>3</v>
      </c>
      <c r="G380" s="16">
        <f t="shared" si="28"/>
        <v>2</v>
      </c>
      <c r="H380" s="66">
        <v>4</v>
      </c>
      <c r="I380" s="98"/>
    </row>
    <row r="381" spans="1:9" ht="15.95" customHeight="1" x14ac:dyDescent="0.3">
      <c r="A381" s="66">
        <f t="shared" si="25"/>
        <v>2316</v>
      </c>
      <c r="B381" s="9" t="s">
        <v>243</v>
      </c>
      <c r="C381" s="66"/>
      <c r="D381" s="66"/>
      <c r="E381" s="16" t="s">
        <v>59</v>
      </c>
      <c r="F381" s="16">
        <v>3</v>
      </c>
      <c r="G381" s="16">
        <f t="shared" si="28"/>
        <v>2</v>
      </c>
      <c r="H381" s="66">
        <v>4</v>
      </c>
      <c r="I381" s="98"/>
    </row>
    <row r="382" spans="1:9" ht="15.95" customHeight="1" x14ac:dyDescent="0.3">
      <c r="A382" s="66">
        <f t="shared" si="25"/>
        <v>2324</v>
      </c>
      <c r="B382" s="9" t="s">
        <v>25</v>
      </c>
      <c r="C382" s="66"/>
      <c r="D382" s="66"/>
      <c r="E382" s="16" t="s">
        <v>59</v>
      </c>
      <c r="F382" s="16">
        <v>3</v>
      </c>
      <c r="G382" s="16">
        <f t="shared" si="28"/>
        <v>2</v>
      </c>
      <c r="H382" s="66">
        <v>4</v>
      </c>
      <c r="I382" s="98"/>
    </row>
    <row r="383" spans="1:9" ht="15.95" customHeight="1" x14ac:dyDescent="0.3">
      <c r="A383" s="66">
        <f t="shared" si="25"/>
        <v>2332</v>
      </c>
      <c r="B383" s="9" t="s">
        <v>26</v>
      </c>
      <c r="C383" s="66"/>
      <c r="D383" s="66"/>
      <c r="E383" s="16" t="s">
        <v>59</v>
      </c>
      <c r="F383" s="16">
        <v>3</v>
      </c>
      <c r="G383" s="16">
        <f>IF(OR(E383="U16", E383="S16"),1,IF(E383="TS",6,2))</f>
        <v>2</v>
      </c>
      <c r="H383" s="66">
        <v>4</v>
      </c>
      <c r="I383" s="98"/>
    </row>
    <row r="384" spans="1:9" ht="15.95" customHeight="1" x14ac:dyDescent="0.3">
      <c r="A384" s="66">
        <f t="shared" si="25"/>
        <v>2340</v>
      </c>
      <c r="B384" s="9" t="s">
        <v>402</v>
      </c>
      <c r="C384" s="66"/>
      <c r="D384" s="66"/>
      <c r="E384" s="16" t="s">
        <v>259</v>
      </c>
      <c r="F384" s="16">
        <v>3</v>
      </c>
      <c r="G384" s="16">
        <f>IF(OR(E384="U16", E384="S16"),1,IF(E384="TS",6,2))</f>
        <v>2</v>
      </c>
      <c r="H384" s="66">
        <v>1</v>
      </c>
      <c r="I384" s="98"/>
    </row>
    <row r="385" spans="1:9" ht="15.95" customHeight="1" x14ac:dyDescent="0.3">
      <c r="A385" s="66">
        <f t="shared" si="25"/>
        <v>2342</v>
      </c>
      <c r="B385" s="9" t="s">
        <v>196</v>
      </c>
      <c r="C385" s="66"/>
      <c r="D385" s="66"/>
      <c r="E385" s="16" t="s">
        <v>123</v>
      </c>
      <c r="F385" s="16">
        <v>3</v>
      </c>
      <c r="G385" s="16">
        <f t="shared" si="28"/>
        <v>1</v>
      </c>
      <c r="H385" s="66">
        <v>1</v>
      </c>
      <c r="I385" s="98"/>
    </row>
    <row r="386" spans="1:9" ht="15.95" customHeight="1" x14ac:dyDescent="0.3">
      <c r="A386" s="66">
        <f t="shared" si="25"/>
        <v>2343</v>
      </c>
      <c r="B386" s="9" t="s">
        <v>398</v>
      </c>
      <c r="C386" s="66"/>
      <c r="D386" s="66"/>
      <c r="E386" s="16" t="s">
        <v>123</v>
      </c>
      <c r="F386" s="16">
        <v>3</v>
      </c>
      <c r="G386" s="16">
        <f>IF(OR(E386="U16", E386="S16"),1,IF(E386="TS",6,2))</f>
        <v>1</v>
      </c>
      <c r="H386" s="66">
        <v>1</v>
      </c>
      <c r="I386" s="98"/>
    </row>
    <row r="387" spans="1:9" ht="15.95" customHeight="1" x14ac:dyDescent="0.3">
      <c r="A387" s="66">
        <f t="shared" si="25"/>
        <v>2344</v>
      </c>
      <c r="B387" s="9"/>
      <c r="C387" s="66"/>
      <c r="D387" s="66"/>
      <c r="E387" s="16" t="s">
        <v>123</v>
      </c>
      <c r="F387" s="16">
        <v>3</v>
      </c>
      <c r="G387" s="16">
        <f>IF(OR(E387="U16", E387="S16"),1,IF(E387="TS",6,2))</f>
        <v>1</v>
      </c>
      <c r="H387" s="66">
        <v>6</v>
      </c>
      <c r="I387" s="98"/>
    </row>
    <row r="388" spans="1:9" ht="15.95" customHeight="1" x14ac:dyDescent="0.3">
      <c r="A388" s="122" t="s">
        <v>438</v>
      </c>
      <c r="B388" s="122"/>
      <c r="C388" s="122"/>
      <c r="D388" s="122"/>
      <c r="E388" s="122"/>
      <c r="F388" s="122"/>
      <c r="G388" s="122"/>
      <c r="H388" s="122"/>
      <c r="I388" s="104"/>
    </row>
    <row r="389" spans="1:9" ht="15.95" customHeight="1" x14ac:dyDescent="0.3">
      <c r="A389" s="66">
        <f>A387+(G387*H387)</f>
        <v>2350</v>
      </c>
      <c r="B389" s="9" t="s">
        <v>400</v>
      </c>
      <c r="C389" s="66"/>
      <c r="D389" s="66"/>
      <c r="E389" s="16" t="s">
        <v>123</v>
      </c>
      <c r="F389" s="16">
        <v>3</v>
      </c>
      <c r="G389" s="16">
        <f t="shared" ref="G389:G396" si="29">IF(OR(E389="U16", E389="S16"),1,IF(E389="TS",6,2))</f>
        <v>1</v>
      </c>
      <c r="H389" s="66">
        <v>1</v>
      </c>
      <c r="I389" s="98"/>
    </row>
    <row r="390" spans="1:9" ht="15.95" customHeight="1" x14ac:dyDescent="0.3">
      <c r="A390" s="66">
        <f t="shared" ref="A390:A430" si="30">A389+(G389*H389)</f>
        <v>2351</v>
      </c>
      <c r="B390" s="9" t="s">
        <v>401</v>
      </c>
      <c r="C390" s="66"/>
      <c r="D390" s="66"/>
      <c r="E390" s="16" t="s">
        <v>123</v>
      </c>
      <c r="F390" s="16">
        <v>3</v>
      </c>
      <c r="G390" s="16">
        <f t="shared" si="29"/>
        <v>1</v>
      </c>
      <c r="H390" s="66">
        <v>1</v>
      </c>
      <c r="I390" s="98"/>
    </row>
    <row r="391" spans="1:9" ht="15.95" customHeight="1" thickBot="1" x14ac:dyDescent="0.35">
      <c r="A391" s="67">
        <f t="shared" si="30"/>
        <v>2352</v>
      </c>
      <c r="B391" s="27" t="s">
        <v>811</v>
      </c>
      <c r="C391" s="67"/>
      <c r="D391" s="67"/>
      <c r="E391" s="18" t="s">
        <v>259</v>
      </c>
      <c r="F391" s="18">
        <v>3</v>
      </c>
      <c r="G391" s="18">
        <f t="shared" si="29"/>
        <v>2</v>
      </c>
      <c r="H391" s="67">
        <v>1</v>
      </c>
      <c r="I391" s="98"/>
    </row>
    <row r="392" spans="1:9" ht="15.95" customHeight="1" x14ac:dyDescent="0.3">
      <c r="A392" s="36">
        <f t="shared" si="30"/>
        <v>2354</v>
      </c>
      <c r="B392" s="140" t="s">
        <v>812</v>
      </c>
      <c r="C392" s="63" t="s">
        <v>813</v>
      </c>
      <c r="D392" s="37"/>
      <c r="E392" s="37" t="s">
        <v>123</v>
      </c>
      <c r="F392" s="37">
        <v>3</v>
      </c>
      <c r="G392" s="37">
        <f t="shared" si="29"/>
        <v>1</v>
      </c>
      <c r="H392" s="38">
        <v>1</v>
      </c>
      <c r="I392" s="108"/>
    </row>
    <row r="393" spans="1:9" ht="15.95" customHeight="1" x14ac:dyDescent="0.3">
      <c r="A393" s="69">
        <f t="shared" si="30"/>
        <v>2355</v>
      </c>
      <c r="B393" s="141"/>
      <c r="C393" s="62" t="s">
        <v>814</v>
      </c>
      <c r="D393" s="70"/>
      <c r="E393" s="70" t="s">
        <v>123</v>
      </c>
      <c r="F393" s="70">
        <v>3</v>
      </c>
      <c r="G393" s="70">
        <f t="shared" si="29"/>
        <v>1</v>
      </c>
      <c r="H393" s="71">
        <v>1</v>
      </c>
      <c r="I393" s="108"/>
    </row>
    <row r="394" spans="1:9" ht="15.95" customHeight="1" x14ac:dyDescent="0.3">
      <c r="A394" s="69">
        <f t="shared" si="30"/>
        <v>2356</v>
      </c>
      <c r="B394" s="141"/>
      <c r="C394" s="62" t="s">
        <v>815</v>
      </c>
      <c r="D394" s="70"/>
      <c r="E394" s="70" t="s">
        <v>58</v>
      </c>
      <c r="F394" s="70">
        <v>3</v>
      </c>
      <c r="G394" s="70">
        <f t="shared" si="29"/>
        <v>2</v>
      </c>
      <c r="H394" s="71">
        <v>1</v>
      </c>
      <c r="I394" s="108"/>
    </row>
    <row r="395" spans="1:9" ht="15.95" customHeight="1" x14ac:dyDescent="0.3">
      <c r="A395" s="69">
        <f t="shared" si="30"/>
        <v>2358</v>
      </c>
      <c r="B395" s="141"/>
      <c r="C395" s="62" t="s">
        <v>816</v>
      </c>
      <c r="D395" s="70"/>
      <c r="E395" s="70" t="s">
        <v>123</v>
      </c>
      <c r="F395" s="70">
        <v>3</v>
      </c>
      <c r="G395" s="70">
        <f t="shared" si="29"/>
        <v>1</v>
      </c>
      <c r="H395" s="71">
        <v>1</v>
      </c>
      <c r="I395" s="108"/>
    </row>
    <row r="396" spans="1:9" ht="15.95" customHeight="1" thickBot="1" x14ac:dyDescent="0.35">
      <c r="A396" s="39">
        <f t="shared" si="30"/>
        <v>2359</v>
      </c>
      <c r="B396" s="142"/>
      <c r="C396" s="64" t="s">
        <v>817</v>
      </c>
      <c r="D396" s="40"/>
      <c r="E396" s="40" t="s">
        <v>123</v>
      </c>
      <c r="F396" s="40">
        <v>3</v>
      </c>
      <c r="G396" s="40">
        <f t="shared" si="29"/>
        <v>1</v>
      </c>
      <c r="H396" s="41">
        <v>1</v>
      </c>
      <c r="I396" s="108"/>
    </row>
    <row r="397" spans="1:9" ht="15.95" customHeight="1" x14ac:dyDescent="0.3">
      <c r="A397" s="68">
        <f t="shared" si="30"/>
        <v>2360</v>
      </c>
      <c r="B397" s="32" t="s">
        <v>818</v>
      </c>
      <c r="C397" s="68"/>
      <c r="D397" s="68"/>
      <c r="E397" s="34" t="s">
        <v>123</v>
      </c>
      <c r="F397" s="34">
        <v>3</v>
      </c>
      <c r="G397" s="34">
        <f t="shared" ref="G397:G428" si="31">IF(OR(E397="U16", E397="S16"),1,IF(E397="TS",6,2))</f>
        <v>1</v>
      </c>
      <c r="H397" s="68">
        <v>6</v>
      </c>
      <c r="I397" s="98"/>
    </row>
    <row r="398" spans="1:9" ht="15.95" customHeight="1" x14ac:dyDescent="0.3">
      <c r="A398" s="66">
        <f t="shared" si="30"/>
        <v>2366</v>
      </c>
      <c r="B398" s="9" t="s">
        <v>819</v>
      </c>
      <c r="C398" s="66"/>
      <c r="D398" s="66"/>
      <c r="E398" s="16" t="s">
        <v>123</v>
      </c>
      <c r="F398" s="16">
        <v>3</v>
      </c>
      <c r="G398" s="16">
        <f t="shared" si="31"/>
        <v>1</v>
      </c>
      <c r="H398" s="66">
        <v>6</v>
      </c>
      <c r="I398" s="98"/>
    </row>
    <row r="399" spans="1:9" ht="15.95" customHeight="1" x14ac:dyDescent="0.3">
      <c r="A399" s="66">
        <f t="shared" si="30"/>
        <v>2372</v>
      </c>
      <c r="B399" s="9" t="s">
        <v>820</v>
      </c>
      <c r="C399" s="66"/>
      <c r="D399" s="66"/>
      <c r="E399" s="16" t="s">
        <v>123</v>
      </c>
      <c r="F399" s="16">
        <v>3</v>
      </c>
      <c r="G399" s="16">
        <f t="shared" si="31"/>
        <v>1</v>
      </c>
      <c r="H399" s="66">
        <v>6</v>
      </c>
      <c r="I399" s="98"/>
    </row>
    <row r="400" spans="1:9" ht="15.95" customHeight="1" x14ac:dyDescent="0.3">
      <c r="A400" s="66">
        <f t="shared" si="30"/>
        <v>2378</v>
      </c>
      <c r="B400" s="9" t="s">
        <v>821</v>
      </c>
      <c r="C400" s="66"/>
      <c r="D400" s="66"/>
      <c r="E400" s="16" t="s">
        <v>123</v>
      </c>
      <c r="F400" s="16">
        <v>3</v>
      </c>
      <c r="G400" s="16">
        <f t="shared" si="31"/>
        <v>1</v>
      </c>
      <c r="H400" s="66">
        <v>6</v>
      </c>
      <c r="I400" s="98"/>
    </row>
    <row r="401" spans="1:9" ht="15.95" customHeight="1" x14ac:dyDescent="0.3">
      <c r="A401" s="66">
        <f t="shared" si="30"/>
        <v>2384</v>
      </c>
      <c r="B401" s="9" t="s">
        <v>822</v>
      </c>
      <c r="C401" s="66"/>
      <c r="D401" s="66"/>
      <c r="E401" s="16" t="s">
        <v>123</v>
      </c>
      <c r="F401" s="16">
        <v>3</v>
      </c>
      <c r="G401" s="16">
        <f t="shared" si="31"/>
        <v>1</v>
      </c>
      <c r="H401" s="66">
        <v>6</v>
      </c>
      <c r="I401" s="98"/>
    </row>
    <row r="402" spans="1:9" ht="15.95" customHeight="1" x14ac:dyDescent="0.3">
      <c r="A402" s="66">
        <f t="shared" si="30"/>
        <v>2390</v>
      </c>
      <c r="B402" s="9" t="s">
        <v>823</v>
      </c>
      <c r="C402" s="66"/>
      <c r="D402" s="66"/>
      <c r="E402" s="16" t="s">
        <v>123</v>
      </c>
      <c r="F402" s="16">
        <v>3</v>
      </c>
      <c r="G402" s="16">
        <f t="shared" si="31"/>
        <v>1</v>
      </c>
      <c r="H402" s="66">
        <v>6</v>
      </c>
      <c r="I402" s="98"/>
    </row>
    <row r="403" spans="1:9" ht="15.95" customHeight="1" x14ac:dyDescent="0.3">
      <c r="A403" s="66">
        <f t="shared" si="30"/>
        <v>2396</v>
      </c>
      <c r="B403" s="9" t="s">
        <v>824</v>
      </c>
      <c r="C403" s="66"/>
      <c r="D403" s="66"/>
      <c r="E403" s="16" t="s">
        <v>123</v>
      </c>
      <c r="F403" s="16">
        <v>3</v>
      </c>
      <c r="G403" s="16">
        <f t="shared" si="31"/>
        <v>1</v>
      </c>
      <c r="H403" s="66">
        <v>6</v>
      </c>
      <c r="I403" s="98"/>
    </row>
    <row r="404" spans="1:9" ht="15.95" customHeight="1" x14ac:dyDescent="0.3">
      <c r="A404" s="66">
        <f t="shared" si="30"/>
        <v>2402</v>
      </c>
      <c r="B404" s="9" t="s">
        <v>825</v>
      </c>
      <c r="C404" s="66"/>
      <c r="D404" s="66"/>
      <c r="E404" s="16" t="s">
        <v>123</v>
      </c>
      <c r="F404" s="16">
        <v>3</v>
      </c>
      <c r="G404" s="16">
        <f t="shared" si="31"/>
        <v>1</v>
      </c>
      <c r="H404" s="66">
        <v>6</v>
      </c>
      <c r="I404" s="98"/>
    </row>
    <row r="405" spans="1:9" ht="15.95" customHeight="1" x14ac:dyDescent="0.3">
      <c r="A405" s="66">
        <f t="shared" si="30"/>
        <v>2408</v>
      </c>
      <c r="B405" s="9" t="s">
        <v>826</v>
      </c>
      <c r="C405" s="66"/>
      <c r="D405" s="66"/>
      <c r="E405" s="16" t="s">
        <v>123</v>
      </c>
      <c r="F405" s="16">
        <v>3</v>
      </c>
      <c r="G405" s="16">
        <f t="shared" si="31"/>
        <v>1</v>
      </c>
      <c r="H405" s="66">
        <v>6</v>
      </c>
      <c r="I405" s="98"/>
    </row>
    <row r="406" spans="1:9" ht="15.95" customHeight="1" x14ac:dyDescent="0.3">
      <c r="A406" s="66">
        <f t="shared" si="30"/>
        <v>2414</v>
      </c>
      <c r="B406" s="9" t="s">
        <v>827</v>
      </c>
      <c r="C406" s="66"/>
      <c r="D406" s="66"/>
      <c r="E406" s="16" t="s">
        <v>123</v>
      </c>
      <c r="F406" s="16">
        <v>3</v>
      </c>
      <c r="G406" s="16">
        <f t="shared" si="31"/>
        <v>1</v>
      </c>
      <c r="H406" s="66">
        <v>6</v>
      </c>
      <c r="I406" s="98"/>
    </row>
    <row r="407" spans="1:9" ht="15.95" customHeight="1" x14ac:dyDescent="0.3">
      <c r="A407" s="66">
        <f t="shared" si="30"/>
        <v>2420</v>
      </c>
      <c r="B407" s="9" t="s">
        <v>828</v>
      </c>
      <c r="C407" s="66"/>
      <c r="D407" s="66"/>
      <c r="E407" s="16" t="s">
        <v>123</v>
      </c>
      <c r="F407" s="16">
        <v>3</v>
      </c>
      <c r="G407" s="16">
        <f t="shared" si="31"/>
        <v>1</v>
      </c>
      <c r="H407" s="66">
        <v>6</v>
      </c>
      <c r="I407" s="98"/>
    </row>
    <row r="408" spans="1:9" ht="15.95" customHeight="1" x14ac:dyDescent="0.3">
      <c r="A408" s="66">
        <f t="shared" si="30"/>
        <v>2426</v>
      </c>
      <c r="B408" s="9" t="s">
        <v>829</v>
      </c>
      <c r="C408" s="66"/>
      <c r="D408" s="66"/>
      <c r="E408" s="16" t="s">
        <v>123</v>
      </c>
      <c r="F408" s="16">
        <v>3</v>
      </c>
      <c r="G408" s="16">
        <f t="shared" si="31"/>
        <v>1</v>
      </c>
      <c r="H408" s="66">
        <v>6</v>
      </c>
      <c r="I408" s="98"/>
    </row>
    <row r="409" spans="1:9" ht="15.95" customHeight="1" x14ac:dyDescent="0.3">
      <c r="A409" s="66">
        <f t="shared" si="30"/>
        <v>2432</v>
      </c>
      <c r="B409" s="9" t="s">
        <v>830</v>
      </c>
      <c r="C409" s="66"/>
      <c r="D409" s="66"/>
      <c r="E409" s="16" t="s">
        <v>123</v>
      </c>
      <c r="F409" s="16">
        <v>3</v>
      </c>
      <c r="G409" s="16">
        <f t="shared" si="31"/>
        <v>1</v>
      </c>
      <c r="H409" s="66">
        <v>6</v>
      </c>
      <c r="I409" s="98"/>
    </row>
    <row r="410" spans="1:9" ht="15.95" customHeight="1" x14ac:dyDescent="0.3">
      <c r="A410" s="66">
        <f t="shared" si="30"/>
        <v>2438</v>
      </c>
      <c r="B410" s="9" t="s">
        <v>831</v>
      </c>
      <c r="C410" s="66"/>
      <c r="D410" s="66"/>
      <c r="E410" s="16" t="s">
        <v>123</v>
      </c>
      <c r="F410" s="16">
        <v>3</v>
      </c>
      <c r="G410" s="16">
        <f t="shared" si="31"/>
        <v>1</v>
      </c>
      <c r="H410" s="66">
        <v>6</v>
      </c>
      <c r="I410" s="98"/>
    </row>
    <row r="411" spans="1:9" ht="15.95" customHeight="1" x14ac:dyDescent="0.3">
      <c r="A411" s="66">
        <f t="shared" si="30"/>
        <v>2444</v>
      </c>
      <c r="B411" s="9" t="s">
        <v>832</v>
      </c>
      <c r="C411" s="66"/>
      <c r="D411" s="66"/>
      <c r="E411" s="16" t="s">
        <v>123</v>
      </c>
      <c r="F411" s="16">
        <v>3</v>
      </c>
      <c r="G411" s="16">
        <f t="shared" si="31"/>
        <v>1</v>
      </c>
      <c r="H411" s="66">
        <v>6</v>
      </c>
      <c r="I411" s="98"/>
    </row>
    <row r="412" spans="1:9" ht="15.95" customHeight="1" x14ac:dyDescent="0.3">
      <c r="A412" s="66">
        <f t="shared" si="30"/>
        <v>2450</v>
      </c>
      <c r="B412" s="9" t="s">
        <v>833</v>
      </c>
      <c r="C412" s="66"/>
      <c r="D412" s="66"/>
      <c r="E412" s="16" t="s">
        <v>123</v>
      </c>
      <c r="F412" s="16">
        <v>3</v>
      </c>
      <c r="G412" s="16">
        <f t="shared" si="31"/>
        <v>1</v>
      </c>
      <c r="H412" s="66">
        <v>6</v>
      </c>
      <c r="I412" s="98"/>
    </row>
    <row r="413" spans="1:9" ht="15.95" customHeight="1" x14ac:dyDescent="0.3">
      <c r="A413" s="66">
        <f t="shared" si="30"/>
        <v>2456</v>
      </c>
      <c r="B413" s="9" t="s">
        <v>834</v>
      </c>
      <c r="C413" s="66"/>
      <c r="D413" s="66"/>
      <c r="E413" s="16" t="s">
        <v>123</v>
      </c>
      <c r="F413" s="16">
        <v>3</v>
      </c>
      <c r="G413" s="16">
        <f t="shared" si="31"/>
        <v>1</v>
      </c>
      <c r="H413" s="66">
        <v>6</v>
      </c>
      <c r="I413" s="98"/>
    </row>
    <row r="414" spans="1:9" ht="15.95" customHeight="1" x14ac:dyDescent="0.3">
      <c r="A414" s="66">
        <f t="shared" si="30"/>
        <v>2462</v>
      </c>
      <c r="B414" s="9" t="s">
        <v>835</v>
      </c>
      <c r="C414" s="66"/>
      <c r="D414" s="66"/>
      <c r="E414" s="16" t="s">
        <v>123</v>
      </c>
      <c r="F414" s="16">
        <v>3</v>
      </c>
      <c r="G414" s="16">
        <f t="shared" si="31"/>
        <v>1</v>
      </c>
      <c r="H414" s="66">
        <v>6</v>
      </c>
      <c r="I414" s="98"/>
    </row>
    <row r="415" spans="1:9" ht="15.95" customHeight="1" x14ac:dyDescent="0.3">
      <c r="A415" s="66">
        <f t="shared" si="30"/>
        <v>2468</v>
      </c>
      <c r="B415" s="9" t="s">
        <v>836</v>
      </c>
      <c r="C415" s="66"/>
      <c r="D415" s="66"/>
      <c r="E415" s="16" t="s">
        <v>123</v>
      </c>
      <c r="F415" s="16">
        <v>3</v>
      </c>
      <c r="G415" s="16">
        <f t="shared" si="31"/>
        <v>1</v>
      </c>
      <c r="H415" s="66">
        <v>6</v>
      </c>
      <c r="I415" s="98"/>
    </row>
    <row r="416" spans="1:9" ht="15.95" customHeight="1" x14ac:dyDescent="0.3">
      <c r="A416" s="66">
        <f t="shared" si="30"/>
        <v>2474</v>
      </c>
      <c r="B416" s="9" t="s">
        <v>837</v>
      </c>
      <c r="C416" s="66"/>
      <c r="D416" s="66"/>
      <c r="E416" s="16" t="s">
        <v>123</v>
      </c>
      <c r="F416" s="16">
        <v>3</v>
      </c>
      <c r="G416" s="16">
        <f t="shared" si="31"/>
        <v>1</v>
      </c>
      <c r="H416" s="66">
        <v>6</v>
      </c>
      <c r="I416" s="98"/>
    </row>
    <row r="417" spans="1:9" ht="15.95" customHeight="1" x14ac:dyDescent="0.3">
      <c r="A417" s="66">
        <f t="shared" si="30"/>
        <v>2480</v>
      </c>
      <c r="B417" s="9" t="s">
        <v>838</v>
      </c>
      <c r="C417" s="66"/>
      <c r="D417" s="66"/>
      <c r="E417" s="16" t="s">
        <v>123</v>
      </c>
      <c r="F417" s="16">
        <v>3</v>
      </c>
      <c r="G417" s="16">
        <f t="shared" si="31"/>
        <v>1</v>
      </c>
      <c r="H417" s="66">
        <v>6</v>
      </c>
      <c r="I417" s="98"/>
    </row>
    <row r="418" spans="1:9" ht="15.95" customHeight="1" x14ac:dyDescent="0.3">
      <c r="A418" s="66">
        <f t="shared" si="30"/>
        <v>2486</v>
      </c>
      <c r="B418" s="9" t="s">
        <v>839</v>
      </c>
      <c r="C418" s="66"/>
      <c r="D418" s="66"/>
      <c r="E418" s="16" t="s">
        <v>123</v>
      </c>
      <c r="F418" s="16">
        <v>3</v>
      </c>
      <c r="G418" s="16">
        <f t="shared" si="31"/>
        <v>1</v>
      </c>
      <c r="H418" s="66">
        <v>6</v>
      </c>
      <c r="I418" s="98"/>
    </row>
    <row r="419" spans="1:9" ht="15.95" customHeight="1" x14ac:dyDescent="0.3">
      <c r="A419" s="66">
        <f t="shared" si="30"/>
        <v>2492</v>
      </c>
      <c r="B419" s="9" t="s">
        <v>840</v>
      </c>
      <c r="C419" s="66"/>
      <c r="D419" s="66"/>
      <c r="E419" s="16" t="s">
        <v>123</v>
      </c>
      <c r="F419" s="16">
        <v>3</v>
      </c>
      <c r="G419" s="16">
        <f t="shared" si="31"/>
        <v>1</v>
      </c>
      <c r="H419" s="66">
        <v>6</v>
      </c>
      <c r="I419" s="98"/>
    </row>
    <row r="420" spans="1:9" ht="15.95" customHeight="1" x14ac:dyDescent="0.3">
      <c r="A420" s="66">
        <f t="shared" si="30"/>
        <v>2498</v>
      </c>
      <c r="B420" s="9" t="s">
        <v>841</v>
      </c>
      <c r="C420" s="66"/>
      <c r="D420" s="66"/>
      <c r="E420" s="16" t="s">
        <v>123</v>
      </c>
      <c r="F420" s="16">
        <v>3</v>
      </c>
      <c r="G420" s="16">
        <f t="shared" si="31"/>
        <v>1</v>
      </c>
      <c r="H420" s="66">
        <v>6</v>
      </c>
      <c r="I420" s="98"/>
    </row>
    <row r="421" spans="1:9" ht="15.95" customHeight="1" x14ac:dyDescent="0.3">
      <c r="A421" s="66">
        <f t="shared" si="30"/>
        <v>2504</v>
      </c>
      <c r="B421" s="9" t="s">
        <v>842</v>
      </c>
      <c r="C421" s="66"/>
      <c r="D421" s="66"/>
      <c r="E421" s="16" t="s">
        <v>123</v>
      </c>
      <c r="F421" s="16">
        <v>3</v>
      </c>
      <c r="G421" s="16">
        <f t="shared" si="31"/>
        <v>1</v>
      </c>
      <c r="H421" s="66">
        <v>6</v>
      </c>
      <c r="I421" s="98"/>
    </row>
    <row r="422" spans="1:9" ht="15.95" customHeight="1" x14ac:dyDescent="0.3">
      <c r="A422" s="66">
        <f t="shared" si="30"/>
        <v>2510</v>
      </c>
      <c r="B422" s="9" t="s">
        <v>843</v>
      </c>
      <c r="C422" s="66"/>
      <c r="D422" s="66"/>
      <c r="E422" s="16" t="s">
        <v>123</v>
      </c>
      <c r="F422" s="16">
        <v>3</v>
      </c>
      <c r="G422" s="16">
        <f t="shared" si="31"/>
        <v>1</v>
      </c>
      <c r="H422" s="66">
        <v>6</v>
      </c>
      <c r="I422" s="98"/>
    </row>
    <row r="423" spans="1:9" ht="15.95" customHeight="1" x14ac:dyDescent="0.3">
      <c r="A423" s="66">
        <f t="shared" si="30"/>
        <v>2516</v>
      </c>
      <c r="B423" s="9" t="s">
        <v>844</v>
      </c>
      <c r="C423" s="66"/>
      <c r="D423" s="66"/>
      <c r="E423" s="16" t="s">
        <v>123</v>
      </c>
      <c r="F423" s="16">
        <v>3</v>
      </c>
      <c r="G423" s="16">
        <f t="shared" si="31"/>
        <v>1</v>
      </c>
      <c r="H423" s="66">
        <v>6</v>
      </c>
      <c r="I423" s="98"/>
    </row>
    <row r="424" spans="1:9" ht="15.95" customHeight="1" x14ac:dyDescent="0.3">
      <c r="A424" s="66">
        <f t="shared" si="30"/>
        <v>2522</v>
      </c>
      <c r="B424" s="9" t="s">
        <v>845</v>
      </c>
      <c r="C424" s="66"/>
      <c r="D424" s="66"/>
      <c r="E424" s="16" t="s">
        <v>123</v>
      </c>
      <c r="F424" s="16">
        <v>3</v>
      </c>
      <c r="G424" s="16">
        <f t="shared" si="31"/>
        <v>1</v>
      </c>
      <c r="H424" s="66">
        <v>6</v>
      </c>
      <c r="I424" s="98"/>
    </row>
    <row r="425" spans="1:9" ht="15.95" customHeight="1" x14ac:dyDescent="0.3">
      <c r="A425" s="66">
        <f t="shared" si="30"/>
        <v>2528</v>
      </c>
      <c r="B425" s="9" t="s">
        <v>846</v>
      </c>
      <c r="C425" s="66"/>
      <c r="D425" s="66"/>
      <c r="E425" s="16" t="s">
        <v>123</v>
      </c>
      <c r="F425" s="16">
        <v>3</v>
      </c>
      <c r="G425" s="16">
        <f t="shared" si="31"/>
        <v>1</v>
      </c>
      <c r="H425" s="66">
        <v>6</v>
      </c>
      <c r="I425" s="98"/>
    </row>
    <row r="426" spans="1:9" ht="15.95" customHeight="1" x14ac:dyDescent="0.3">
      <c r="A426" s="66">
        <f t="shared" si="30"/>
        <v>2534</v>
      </c>
      <c r="B426" s="9" t="s">
        <v>847</v>
      </c>
      <c r="C426" s="66"/>
      <c r="D426" s="66"/>
      <c r="E426" s="16" t="s">
        <v>123</v>
      </c>
      <c r="F426" s="16">
        <v>3</v>
      </c>
      <c r="G426" s="16">
        <f t="shared" si="31"/>
        <v>1</v>
      </c>
      <c r="H426" s="66">
        <v>6</v>
      </c>
      <c r="I426" s="98"/>
    </row>
    <row r="427" spans="1:9" ht="15.95" customHeight="1" x14ac:dyDescent="0.3">
      <c r="A427" s="66">
        <f t="shared" si="30"/>
        <v>2540</v>
      </c>
      <c r="B427" s="9" t="s">
        <v>848</v>
      </c>
      <c r="C427" s="66"/>
      <c r="D427" s="66"/>
      <c r="E427" s="16" t="s">
        <v>123</v>
      </c>
      <c r="F427" s="16">
        <v>3</v>
      </c>
      <c r="G427" s="16">
        <f t="shared" si="31"/>
        <v>1</v>
      </c>
      <c r="H427" s="66">
        <v>6</v>
      </c>
      <c r="I427" s="98"/>
    </row>
    <row r="428" spans="1:9" ht="15.95" customHeight="1" x14ac:dyDescent="0.3">
      <c r="A428" s="66">
        <f t="shared" si="30"/>
        <v>2546</v>
      </c>
      <c r="B428" s="9" t="s">
        <v>849</v>
      </c>
      <c r="C428" s="66"/>
      <c r="D428" s="66"/>
      <c r="E428" s="16" t="s">
        <v>209</v>
      </c>
      <c r="F428" s="16">
        <v>3</v>
      </c>
      <c r="G428" s="16">
        <f t="shared" si="31"/>
        <v>2</v>
      </c>
      <c r="H428" s="66">
        <v>1</v>
      </c>
      <c r="I428" s="98"/>
    </row>
    <row r="429" spans="1:9" ht="15.95" customHeight="1" x14ac:dyDescent="0.3">
      <c r="A429" s="66">
        <f t="shared" si="30"/>
        <v>2548</v>
      </c>
      <c r="B429" s="9" t="s">
        <v>1059</v>
      </c>
      <c r="C429" s="66" t="s">
        <v>1060</v>
      </c>
      <c r="D429" s="66"/>
      <c r="E429" s="16" t="s">
        <v>123</v>
      </c>
      <c r="F429" s="16">
        <v>3</v>
      </c>
      <c r="G429" s="16">
        <f>IF(OR(E429="U16", E429="S16"),1,IF(E429="TS",6,2))</f>
        <v>1</v>
      </c>
      <c r="H429" s="66">
        <v>1</v>
      </c>
      <c r="I429" s="98"/>
    </row>
    <row r="430" spans="1:9" ht="15.95" customHeight="1" x14ac:dyDescent="0.3">
      <c r="A430" s="66">
        <f t="shared" si="30"/>
        <v>2549</v>
      </c>
      <c r="B430" s="9"/>
      <c r="C430" s="66"/>
      <c r="D430" s="66"/>
      <c r="E430" s="16" t="s">
        <v>123</v>
      </c>
      <c r="F430" s="16">
        <v>3</v>
      </c>
      <c r="G430" s="16">
        <f>IF(OR(E430="U16", E430="S16"),1,IF(E430="TS",6,2))</f>
        <v>1</v>
      </c>
      <c r="H430" s="66">
        <v>1</v>
      </c>
      <c r="I430" s="98"/>
    </row>
    <row r="431" spans="1:9" ht="15.95" customHeight="1" x14ac:dyDescent="0.3">
      <c r="A431" s="122" t="s">
        <v>439</v>
      </c>
      <c r="B431" s="122"/>
      <c r="C431" s="122"/>
      <c r="D431" s="122"/>
      <c r="E431" s="122"/>
      <c r="F431" s="122"/>
      <c r="G431" s="122"/>
      <c r="H431" s="122"/>
      <c r="I431" s="104"/>
    </row>
    <row r="432" spans="1:9" ht="15.95" customHeight="1" x14ac:dyDescent="0.3">
      <c r="A432" s="66">
        <f>A430+(G430*H430)</f>
        <v>2550</v>
      </c>
      <c r="B432" s="9" t="s">
        <v>269</v>
      </c>
      <c r="C432" s="66" t="s">
        <v>850</v>
      </c>
      <c r="D432" s="66"/>
      <c r="E432" s="16" t="s">
        <v>123</v>
      </c>
      <c r="F432" s="16">
        <v>3</v>
      </c>
      <c r="G432" s="16">
        <f t="shared" ref="G432:G440" si="32">IF(OR(E432="U16", E432="S16"),1,IF(E432="TS",6,2))</f>
        <v>1</v>
      </c>
      <c r="H432" s="66">
        <v>1</v>
      </c>
      <c r="I432" s="98"/>
    </row>
    <row r="433" spans="1:10" ht="15.95" customHeight="1" x14ac:dyDescent="0.3">
      <c r="A433" s="66">
        <f t="shared" ref="A433:A472" si="33">A432+(G432*H432)</f>
        <v>2551</v>
      </c>
      <c r="B433" s="9" t="s">
        <v>270</v>
      </c>
      <c r="C433" s="66" t="s">
        <v>850</v>
      </c>
      <c r="D433" s="66"/>
      <c r="E433" s="16" t="s">
        <v>123</v>
      </c>
      <c r="F433" s="16">
        <v>3</v>
      </c>
      <c r="G433" s="16">
        <f t="shared" si="32"/>
        <v>1</v>
      </c>
      <c r="H433" s="66">
        <v>1</v>
      </c>
      <c r="I433" s="98"/>
    </row>
    <row r="434" spans="1:10" ht="15.95" customHeight="1" x14ac:dyDescent="0.3">
      <c r="A434" s="66">
        <f t="shared" si="33"/>
        <v>2552</v>
      </c>
      <c r="B434" s="9" t="s">
        <v>271</v>
      </c>
      <c r="C434" s="66" t="s">
        <v>851</v>
      </c>
      <c r="D434" s="66"/>
      <c r="E434" s="16" t="s">
        <v>123</v>
      </c>
      <c r="F434" s="16">
        <v>3</v>
      </c>
      <c r="G434" s="16">
        <f t="shared" si="32"/>
        <v>1</v>
      </c>
      <c r="H434" s="66">
        <v>1</v>
      </c>
      <c r="I434" s="98"/>
    </row>
    <row r="435" spans="1:10" ht="15.95" customHeight="1" x14ac:dyDescent="0.3">
      <c r="A435" s="66">
        <f t="shared" si="33"/>
        <v>2553</v>
      </c>
      <c r="B435" s="9" t="s">
        <v>1123</v>
      </c>
      <c r="C435" s="66"/>
      <c r="D435" s="66"/>
      <c r="E435" s="16" t="s">
        <v>123</v>
      </c>
      <c r="F435" s="16">
        <v>3</v>
      </c>
      <c r="G435" s="16">
        <f t="shared" si="32"/>
        <v>1</v>
      </c>
      <c r="H435" s="66">
        <v>1</v>
      </c>
      <c r="I435" s="98"/>
    </row>
    <row r="436" spans="1:10" ht="15.95" customHeight="1" x14ac:dyDescent="0.3">
      <c r="A436" s="70">
        <f>A435+(G435*H435)</f>
        <v>2554</v>
      </c>
      <c r="B436" s="143" t="s">
        <v>852</v>
      </c>
      <c r="C436" s="62" t="s">
        <v>853</v>
      </c>
      <c r="D436" s="70"/>
      <c r="E436" s="70" t="s">
        <v>91</v>
      </c>
      <c r="F436" s="70">
        <v>3</v>
      </c>
      <c r="G436" s="70">
        <f t="shared" si="32"/>
        <v>2</v>
      </c>
      <c r="H436" s="70">
        <v>1</v>
      </c>
      <c r="I436" s="108"/>
      <c r="J436" s="10" t="s">
        <v>530</v>
      </c>
    </row>
    <row r="437" spans="1:10" ht="15.95" customHeight="1" x14ac:dyDescent="0.3">
      <c r="A437" s="70">
        <f>A436+(G436*H436)</f>
        <v>2556</v>
      </c>
      <c r="B437" s="143"/>
      <c r="C437" s="62" t="s">
        <v>854</v>
      </c>
      <c r="D437" s="70"/>
      <c r="E437" s="70" t="s">
        <v>123</v>
      </c>
      <c r="F437" s="70">
        <v>3</v>
      </c>
      <c r="G437" s="70">
        <v>1</v>
      </c>
      <c r="H437" s="70">
        <v>1</v>
      </c>
      <c r="I437" s="108"/>
    </row>
    <row r="438" spans="1:10" ht="15.95" customHeight="1" x14ac:dyDescent="0.3">
      <c r="A438" s="70">
        <f>A437+(G437*H437)</f>
        <v>2557</v>
      </c>
      <c r="B438" s="143"/>
      <c r="C438" s="62" t="s">
        <v>855</v>
      </c>
      <c r="D438" s="70"/>
      <c r="E438" s="70" t="s">
        <v>123</v>
      </c>
      <c r="F438" s="70">
        <v>3</v>
      </c>
      <c r="G438" s="70">
        <f t="shared" si="32"/>
        <v>1</v>
      </c>
      <c r="H438" s="70">
        <v>1</v>
      </c>
      <c r="I438" s="108"/>
    </row>
    <row r="439" spans="1:10" ht="15.95" customHeight="1" x14ac:dyDescent="0.3">
      <c r="A439" s="70">
        <f>A438+(G438*H438)</f>
        <v>2558</v>
      </c>
      <c r="B439" s="143"/>
      <c r="C439" s="62" t="s">
        <v>856</v>
      </c>
      <c r="D439" s="70"/>
      <c r="E439" s="70" t="s">
        <v>437</v>
      </c>
      <c r="F439" s="70">
        <v>3</v>
      </c>
      <c r="G439" s="70">
        <f>IF(OR(E439="U16", E439="S16"),1,IF(E439="TS",6,2))</f>
        <v>2</v>
      </c>
      <c r="H439" s="70">
        <v>1</v>
      </c>
      <c r="I439" s="108"/>
    </row>
    <row r="440" spans="1:10" ht="15.95" customHeight="1" x14ac:dyDescent="0.3">
      <c r="A440" s="70">
        <f>A439+(G439*H439)</f>
        <v>2560</v>
      </c>
      <c r="B440" s="143"/>
      <c r="C440" s="62" t="s">
        <v>857</v>
      </c>
      <c r="D440" s="70"/>
      <c r="E440" s="70" t="s">
        <v>437</v>
      </c>
      <c r="F440" s="70">
        <v>3</v>
      </c>
      <c r="G440" s="70">
        <f t="shared" si="32"/>
        <v>2</v>
      </c>
      <c r="H440" s="70">
        <v>1</v>
      </c>
      <c r="I440" s="108"/>
    </row>
    <row r="441" spans="1:10" ht="15.95" customHeight="1" x14ac:dyDescent="0.3">
      <c r="A441" s="66">
        <f t="shared" si="33"/>
        <v>2562</v>
      </c>
      <c r="B441" s="9" t="s">
        <v>858</v>
      </c>
      <c r="C441" s="66"/>
      <c r="D441" s="66"/>
      <c r="E441" s="16" t="s">
        <v>123</v>
      </c>
      <c r="F441" s="16">
        <v>3</v>
      </c>
      <c r="G441" s="16">
        <f t="shared" ref="G441:G471" si="34">IF(OR(E441="U16", E441="S16"),1,IF(E441="TS",6,2))</f>
        <v>1</v>
      </c>
      <c r="H441" s="66">
        <v>8</v>
      </c>
      <c r="I441" s="98"/>
    </row>
    <row r="442" spans="1:10" ht="15.95" customHeight="1" x14ac:dyDescent="0.3">
      <c r="A442" s="66">
        <f t="shared" si="33"/>
        <v>2570</v>
      </c>
      <c r="B442" s="9" t="s">
        <v>859</v>
      </c>
      <c r="C442" s="66"/>
      <c r="D442" s="66"/>
      <c r="E442" s="16" t="s">
        <v>123</v>
      </c>
      <c r="F442" s="16">
        <v>3</v>
      </c>
      <c r="G442" s="16">
        <f t="shared" si="34"/>
        <v>1</v>
      </c>
      <c r="H442" s="66">
        <v>8</v>
      </c>
      <c r="I442" s="98"/>
    </row>
    <row r="443" spans="1:10" ht="15.95" customHeight="1" x14ac:dyDescent="0.3">
      <c r="A443" s="66">
        <f t="shared" si="33"/>
        <v>2578</v>
      </c>
      <c r="B443" s="9" t="s">
        <v>860</v>
      </c>
      <c r="C443" s="66"/>
      <c r="D443" s="66"/>
      <c r="E443" s="16" t="s">
        <v>123</v>
      </c>
      <c r="F443" s="16">
        <v>3</v>
      </c>
      <c r="G443" s="16">
        <f t="shared" si="34"/>
        <v>1</v>
      </c>
      <c r="H443" s="66">
        <v>8</v>
      </c>
      <c r="I443" s="98"/>
    </row>
    <row r="444" spans="1:10" ht="15.95" customHeight="1" x14ac:dyDescent="0.3">
      <c r="A444" s="66">
        <f t="shared" si="33"/>
        <v>2586</v>
      </c>
      <c r="B444" s="9" t="s">
        <v>861</v>
      </c>
      <c r="C444" s="66"/>
      <c r="D444" s="66"/>
      <c r="E444" s="16" t="s">
        <v>123</v>
      </c>
      <c r="F444" s="16">
        <v>3</v>
      </c>
      <c r="G444" s="16">
        <f t="shared" si="34"/>
        <v>1</v>
      </c>
      <c r="H444" s="66">
        <v>8</v>
      </c>
      <c r="I444" s="98"/>
    </row>
    <row r="445" spans="1:10" ht="15.95" customHeight="1" x14ac:dyDescent="0.3">
      <c r="A445" s="66">
        <f t="shared" si="33"/>
        <v>2594</v>
      </c>
      <c r="B445" s="9" t="s">
        <v>862</v>
      </c>
      <c r="C445" s="66"/>
      <c r="D445" s="66"/>
      <c r="E445" s="16" t="s">
        <v>123</v>
      </c>
      <c r="F445" s="16">
        <v>3</v>
      </c>
      <c r="G445" s="16">
        <f t="shared" si="34"/>
        <v>1</v>
      </c>
      <c r="H445" s="66">
        <v>8</v>
      </c>
      <c r="I445" s="98"/>
    </row>
    <row r="446" spans="1:10" ht="15.95" customHeight="1" x14ac:dyDescent="0.3">
      <c r="A446" s="66">
        <f t="shared" si="33"/>
        <v>2602</v>
      </c>
      <c r="B446" s="9" t="s">
        <v>863</v>
      </c>
      <c r="C446" s="66"/>
      <c r="D446" s="66"/>
      <c r="E446" s="16" t="s">
        <v>123</v>
      </c>
      <c r="F446" s="16">
        <v>3</v>
      </c>
      <c r="G446" s="16">
        <f t="shared" si="34"/>
        <v>1</v>
      </c>
      <c r="H446" s="66">
        <v>8</v>
      </c>
      <c r="I446" s="98"/>
    </row>
    <row r="447" spans="1:10" ht="15.95" customHeight="1" x14ac:dyDescent="0.3">
      <c r="A447" s="66">
        <f t="shared" si="33"/>
        <v>2610</v>
      </c>
      <c r="B447" s="9" t="s">
        <v>864</v>
      </c>
      <c r="C447" s="66"/>
      <c r="D447" s="66"/>
      <c r="E447" s="16" t="s">
        <v>123</v>
      </c>
      <c r="F447" s="16">
        <v>3</v>
      </c>
      <c r="G447" s="16">
        <f t="shared" si="34"/>
        <v>1</v>
      </c>
      <c r="H447" s="66">
        <v>8</v>
      </c>
      <c r="I447" s="98"/>
    </row>
    <row r="448" spans="1:10" ht="15.95" customHeight="1" x14ac:dyDescent="0.3">
      <c r="A448" s="66">
        <f t="shared" si="33"/>
        <v>2618</v>
      </c>
      <c r="B448" s="9" t="s">
        <v>865</v>
      </c>
      <c r="C448" s="66"/>
      <c r="D448" s="66"/>
      <c r="E448" s="16" t="s">
        <v>123</v>
      </c>
      <c r="F448" s="16">
        <v>3</v>
      </c>
      <c r="G448" s="16">
        <f t="shared" si="34"/>
        <v>1</v>
      </c>
      <c r="H448" s="66">
        <v>8</v>
      </c>
      <c r="I448" s="98"/>
    </row>
    <row r="449" spans="1:9" ht="15.95" customHeight="1" x14ac:dyDescent="0.3">
      <c r="A449" s="66">
        <f t="shared" si="33"/>
        <v>2626</v>
      </c>
      <c r="B449" s="9" t="s">
        <v>866</v>
      </c>
      <c r="C449" s="66"/>
      <c r="D449" s="66"/>
      <c r="E449" s="16" t="s">
        <v>123</v>
      </c>
      <c r="F449" s="16">
        <v>3</v>
      </c>
      <c r="G449" s="16">
        <f t="shared" si="34"/>
        <v>1</v>
      </c>
      <c r="H449" s="66">
        <v>8</v>
      </c>
      <c r="I449" s="98"/>
    </row>
    <row r="450" spans="1:9" ht="15.95" customHeight="1" x14ac:dyDescent="0.3">
      <c r="A450" s="66">
        <f t="shared" si="33"/>
        <v>2634</v>
      </c>
      <c r="B450" s="9" t="s">
        <v>867</v>
      </c>
      <c r="C450" s="66"/>
      <c r="D450" s="66"/>
      <c r="E450" s="16" t="s">
        <v>123</v>
      </c>
      <c r="F450" s="16">
        <v>3</v>
      </c>
      <c r="G450" s="16">
        <f t="shared" si="34"/>
        <v>1</v>
      </c>
      <c r="H450" s="66">
        <v>8</v>
      </c>
      <c r="I450" s="98"/>
    </row>
    <row r="451" spans="1:9" ht="15.95" customHeight="1" x14ac:dyDescent="0.3">
      <c r="A451" s="66">
        <f t="shared" si="33"/>
        <v>2642</v>
      </c>
      <c r="B451" s="9" t="s">
        <v>868</v>
      </c>
      <c r="C451" s="66"/>
      <c r="D451" s="66"/>
      <c r="E451" s="16" t="s">
        <v>123</v>
      </c>
      <c r="F451" s="16">
        <v>3</v>
      </c>
      <c r="G451" s="16">
        <f t="shared" si="34"/>
        <v>1</v>
      </c>
      <c r="H451" s="66">
        <v>8</v>
      </c>
      <c r="I451" s="98"/>
    </row>
    <row r="452" spans="1:9" ht="15.95" customHeight="1" x14ac:dyDescent="0.3">
      <c r="A452" s="66">
        <f t="shared" si="33"/>
        <v>2650</v>
      </c>
      <c r="B452" s="9" t="s">
        <v>869</v>
      </c>
      <c r="C452" s="66"/>
      <c r="D452" s="66"/>
      <c r="E452" s="16" t="s">
        <v>123</v>
      </c>
      <c r="F452" s="16">
        <v>3</v>
      </c>
      <c r="G452" s="16">
        <f t="shared" si="34"/>
        <v>1</v>
      </c>
      <c r="H452" s="66">
        <v>8</v>
      </c>
      <c r="I452" s="98"/>
    </row>
    <row r="453" spans="1:9" ht="15.95" customHeight="1" x14ac:dyDescent="0.3">
      <c r="A453" s="66">
        <f t="shared" si="33"/>
        <v>2658</v>
      </c>
      <c r="B453" s="9" t="s">
        <v>870</v>
      </c>
      <c r="C453" s="66"/>
      <c r="D453" s="66"/>
      <c r="E453" s="16" t="s">
        <v>123</v>
      </c>
      <c r="F453" s="16">
        <v>3</v>
      </c>
      <c r="G453" s="16">
        <f t="shared" si="34"/>
        <v>1</v>
      </c>
      <c r="H453" s="66">
        <v>8</v>
      </c>
      <c r="I453" s="98"/>
    </row>
    <row r="454" spans="1:9" ht="15.95" customHeight="1" x14ac:dyDescent="0.3">
      <c r="A454" s="66">
        <f t="shared" si="33"/>
        <v>2666</v>
      </c>
      <c r="B454" s="9" t="s">
        <v>871</v>
      </c>
      <c r="C454" s="66"/>
      <c r="D454" s="66"/>
      <c r="E454" s="16" t="s">
        <v>123</v>
      </c>
      <c r="F454" s="16">
        <v>3</v>
      </c>
      <c r="G454" s="16">
        <f t="shared" si="34"/>
        <v>1</v>
      </c>
      <c r="H454" s="66">
        <v>8</v>
      </c>
      <c r="I454" s="98"/>
    </row>
    <row r="455" spans="1:9" ht="15.95" customHeight="1" x14ac:dyDescent="0.3">
      <c r="A455" s="66">
        <f t="shared" si="33"/>
        <v>2674</v>
      </c>
      <c r="B455" s="9" t="s">
        <v>872</v>
      </c>
      <c r="C455" s="66"/>
      <c r="D455" s="66"/>
      <c r="E455" s="16" t="s">
        <v>123</v>
      </c>
      <c r="F455" s="16">
        <v>3</v>
      </c>
      <c r="G455" s="16">
        <f t="shared" si="34"/>
        <v>1</v>
      </c>
      <c r="H455" s="66">
        <v>8</v>
      </c>
      <c r="I455" s="98"/>
    </row>
    <row r="456" spans="1:9" ht="15.95" customHeight="1" x14ac:dyDescent="0.3">
      <c r="A456" s="66">
        <f t="shared" si="33"/>
        <v>2682</v>
      </c>
      <c r="B456" s="9" t="s">
        <v>873</v>
      </c>
      <c r="C456" s="66"/>
      <c r="D456" s="66"/>
      <c r="E456" s="16" t="s">
        <v>123</v>
      </c>
      <c r="F456" s="16">
        <v>3</v>
      </c>
      <c r="G456" s="16">
        <f t="shared" si="34"/>
        <v>1</v>
      </c>
      <c r="H456" s="66">
        <v>8</v>
      </c>
      <c r="I456" s="98"/>
    </row>
    <row r="457" spans="1:9" ht="15.95" customHeight="1" x14ac:dyDescent="0.3">
      <c r="A457" s="66">
        <f t="shared" si="33"/>
        <v>2690</v>
      </c>
      <c r="B457" s="9" t="s">
        <v>874</v>
      </c>
      <c r="C457" s="66"/>
      <c r="D457" s="66"/>
      <c r="E457" s="16" t="s">
        <v>123</v>
      </c>
      <c r="F457" s="16">
        <v>3</v>
      </c>
      <c r="G457" s="16">
        <f t="shared" si="34"/>
        <v>1</v>
      </c>
      <c r="H457" s="66">
        <v>8</v>
      </c>
      <c r="I457" s="98"/>
    </row>
    <row r="458" spans="1:9" ht="15.95" customHeight="1" x14ac:dyDescent="0.3">
      <c r="A458" s="66">
        <f t="shared" si="33"/>
        <v>2698</v>
      </c>
      <c r="B458" s="9" t="s">
        <v>875</v>
      </c>
      <c r="C458" s="66"/>
      <c r="D458" s="66"/>
      <c r="E458" s="16" t="s">
        <v>123</v>
      </c>
      <c r="F458" s="16">
        <v>3</v>
      </c>
      <c r="G458" s="16">
        <f t="shared" si="34"/>
        <v>1</v>
      </c>
      <c r="H458" s="66">
        <v>8</v>
      </c>
      <c r="I458" s="98"/>
    </row>
    <row r="459" spans="1:9" ht="15.95" customHeight="1" x14ac:dyDescent="0.3">
      <c r="A459" s="66">
        <f t="shared" si="33"/>
        <v>2706</v>
      </c>
      <c r="B459" s="9" t="s">
        <v>876</v>
      </c>
      <c r="C459" s="66"/>
      <c r="D459" s="66"/>
      <c r="E459" s="16" t="s">
        <v>123</v>
      </c>
      <c r="F459" s="16">
        <v>3</v>
      </c>
      <c r="G459" s="16">
        <f t="shared" si="34"/>
        <v>1</v>
      </c>
      <c r="H459" s="66">
        <v>8</v>
      </c>
      <c r="I459" s="98"/>
    </row>
    <row r="460" spans="1:9" ht="15.95" customHeight="1" x14ac:dyDescent="0.3">
      <c r="A460" s="66">
        <f t="shared" si="33"/>
        <v>2714</v>
      </c>
      <c r="B460" s="9" t="s">
        <v>877</v>
      </c>
      <c r="C460" s="66"/>
      <c r="D460" s="66"/>
      <c r="E460" s="16" t="s">
        <v>123</v>
      </c>
      <c r="F460" s="16">
        <v>3</v>
      </c>
      <c r="G460" s="16">
        <f t="shared" si="34"/>
        <v>1</v>
      </c>
      <c r="H460" s="66">
        <v>8</v>
      </c>
      <c r="I460" s="98"/>
    </row>
    <row r="461" spans="1:9" ht="15.95" customHeight="1" x14ac:dyDescent="0.3">
      <c r="A461" s="66">
        <f t="shared" si="33"/>
        <v>2722</v>
      </c>
      <c r="B461" s="9" t="s">
        <v>878</v>
      </c>
      <c r="C461" s="66"/>
      <c r="D461" s="66"/>
      <c r="E461" s="16" t="s">
        <v>123</v>
      </c>
      <c r="F461" s="16">
        <v>3</v>
      </c>
      <c r="G461" s="16">
        <f t="shared" si="34"/>
        <v>1</v>
      </c>
      <c r="H461" s="66">
        <v>8</v>
      </c>
      <c r="I461" s="98"/>
    </row>
    <row r="462" spans="1:9" ht="15.95" customHeight="1" x14ac:dyDescent="0.3">
      <c r="A462" s="66">
        <f t="shared" si="33"/>
        <v>2730</v>
      </c>
      <c r="B462" s="9" t="s">
        <v>879</v>
      </c>
      <c r="C462" s="66"/>
      <c r="D462" s="66"/>
      <c r="E462" s="16" t="s">
        <v>123</v>
      </c>
      <c r="F462" s="16">
        <v>3</v>
      </c>
      <c r="G462" s="16">
        <f t="shared" si="34"/>
        <v>1</v>
      </c>
      <c r="H462" s="66">
        <v>8</v>
      </c>
      <c r="I462" s="98"/>
    </row>
    <row r="463" spans="1:9" ht="15.95" customHeight="1" x14ac:dyDescent="0.3">
      <c r="A463" s="66">
        <f t="shared" si="33"/>
        <v>2738</v>
      </c>
      <c r="B463" s="9" t="s">
        <v>880</v>
      </c>
      <c r="C463" s="66"/>
      <c r="D463" s="66"/>
      <c r="E463" s="16" t="s">
        <v>123</v>
      </c>
      <c r="F463" s="16">
        <v>3</v>
      </c>
      <c r="G463" s="16">
        <f t="shared" si="34"/>
        <v>1</v>
      </c>
      <c r="H463" s="66">
        <v>8</v>
      </c>
      <c r="I463" s="98"/>
    </row>
    <row r="464" spans="1:9" ht="15.95" customHeight="1" x14ac:dyDescent="0.3">
      <c r="A464" s="66">
        <f t="shared" si="33"/>
        <v>2746</v>
      </c>
      <c r="B464" s="9" t="s">
        <v>881</v>
      </c>
      <c r="C464" s="66"/>
      <c r="D464" s="66"/>
      <c r="E464" s="16" t="s">
        <v>123</v>
      </c>
      <c r="F464" s="16">
        <v>3</v>
      </c>
      <c r="G464" s="16">
        <f t="shared" si="34"/>
        <v>1</v>
      </c>
      <c r="H464" s="66">
        <v>8</v>
      </c>
      <c r="I464" s="98"/>
    </row>
    <row r="465" spans="1:9" ht="15.95" customHeight="1" x14ac:dyDescent="0.3">
      <c r="A465" s="66">
        <f t="shared" si="33"/>
        <v>2754</v>
      </c>
      <c r="B465" s="9" t="s">
        <v>882</v>
      </c>
      <c r="C465" s="66"/>
      <c r="D465" s="66"/>
      <c r="E465" s="16" t="s">
        <v>123</v>
      </c>
      <c r="F465" s="16">
        <v>3</v>
      </c>
      <c r="G465" s="16">
        <f t="shared" si="34"/>
        <v>1</v>
      </c>
      <c r="H465" s="66">
        <v>8</v>
      </c>
      <c r="I465" s="98"/>
    </row>
    <row r="466" spans="1:9" ht="15.95" customHeight="1" x14ac:dyDescent="0.3">
      <c r="A466" s="66">
        <f t="shared" si="33"/>
        <v>2762</v>
      </c>
      <c r="B466" s="9" t="s">
        <v>883</v>
      </c>
      <c r="C466" s="66"/>
      <c r="D466" s="66"/>
      <c r="E466" s="16" t="s">
        <v>123</v>
      </c>
      <c r="F466" s="16">
        <v>3</v>
      </c>
      <c r="G466" s="16">
        <f t="shared" si="34"/>
        <v>1</v>
      </c>
      <c r="H466" s="66">
        <v>8</v>
      </c>
      <c r="I466" s="98"/>
    </row>
    <row r="467" spans="1:9" ht="15.95" customHeight="1" x14ac:dyDescent="0.3">
      <c r="A467" s="66">
        <f t="shared" si="33"/>
        <v>2770</v>
      </c>
      <c r="B467" s="9" t="s">
        <v>884</v>
      </c>
      <c r="C467" s="66"/>
      <c r="D467" s="66"/>
      <c r="E467" s="16" t="s">
        <v>123</v>
      </c>
      <c r="F467" s="16">
        <v>3</v>
      </c>
      <c r="G467" s="16">
        <f t="shared" si="34"/>
        <v>1</v>
      </c>
      <c r="H467" s="66">
        <v>8</v>
      </c>
      <c r="I467" s="98"/>
    </row>
    <row r="468" spans="1:9" ht="15.95" customHeight="1" x14ac:dyDescent="0.3">
      <c r="A468" s="66">
        <f t="shared" si="33"/>
        <v>2778</v>
      </c>
      <c r="B468" s="9" t="s">
        <v>885</v>
      </c>
      <c r="C468" s="66"/>
      <c r="D468" s="66"/>
      <c r="E468" s="16" t="s">
        <v>123</v>
      </c>
      <c r="F468" s="16">
        <v>3</v>
      </c>
      <c r="G468" s="16">
        <f t="shared" si="34"/>
        <v>1</v>
      </c>
      <c r="H468" s="66">
        <v>8</v>
      </c>
      <c r="I468" s="98"/>
    </row>
    <row r="469" spans="1:9" ht="15.95" customHeight="1" x14ac:dyDescent="0.3">
      <c r="A469" s="66">
        <f t="shared" si="33"/>
        <v>2786</v>
      </c>
      <c r="B469" s="9" t="s">
        <v>886</v>
      </c>
      <c r="C469" s="66"/>
      <c r="D469" s="66"/>
      <c r="E469" s="16" t="s">
        <v>123</v>
      </c>
      <c r="F469" s="16">
        <v>3</v>
      </c>
      <c r="G469" s="16">
        <f t="shared" si="34"/>
        <v>1</v>
      </c>
      <c r="H469" s="66">
        <v>8</v>
      </c>
      <c r="I469" s="98"/>
    </row>
    <row r="470" spans="1:9" ht="15.95" customHeight="1" x14ac:dyDescent="0.3">
      <c r="A470" s="66">
        <f t="shared" si="33"/>
        <v>2794</v>
      </c>
      <c r="B470" s="9" t="s">
        <v>887</v>
      </c>
      <c r="C470" s="66"/>
      <c r="D470" s="66"/>
      <c r="E470" s="16" t="s">
        <v>123</v>
      </c>
      <c r="F470" s="16">
        <v>3</v>
      </c>
      <c r="G470" s="16">
        <f t="shared" si="34"/>
        <v>1</v>
      </c>
      <c r="H470" s="66">
        <v>8</v>
      </c>
      <c r="I470" s="98"/>
    </row>
    <row r="471" spans="1:9" ht="15.95" customHeight="1" x14ac:dyDescent="0.3">
      <c r="A471" s="66">
        <f t="shared" si="33"/>
        <v>2802</v>
      </c>
      <c r="B471" s="9" t="s">
        <v>888</v>
      </c>
      <c r="C471" s="66"/>
      <c r="D471" s="66"/>
      <c r="E471" s="16" t="s">
        <v>123</v>
      </c>
      <c r="F471" s="16">
        <v>3</v>
      </c>
      <c r="G471" s="16">
        <f t="shared" si="34"/>
        <v>1</v>
      </c>
      <c r="H471" s="66">
        <v>8</v>
      </c>
      <c r="I471" s="98"/>
    </row>
    <row r="472" spans="1:9" ht="15.95" customHeight="1" x14ac:dyDescent="0.3">
      <c r="A472" s="66">
        <f t="shared" si="33"/>
        <v>2810</v>
      </c>
      <c r="B472" s="9"/>
      <c r="C472" s="66"/>
      <c r="D472" s="66"/>
      <c r="E472" s="16" t="s">
        <v>123</v>
      </c>
      <c r="F472" s="16">
        <v>3</v>
      </c>
      <c r="G472" s="16">
        <f>IF(OR(E472="U16", E472="S16"),1,IF(E472="TS",6,2))</f>
        <v>1</v>
      </c>
      <c r="H472" s="66">
        <v>40</v>
      </c>
      <c r="I472" s="98"/>
    </row>
    <row r="473" spans="1:9" ht="15.95" customHeight="1" x14ac:dyDescent="0.3">
      <c r="A473" s="122" t="s">
        <v>554</v>
      </c>
      <c r="B473" s="122"/>
      <c r="C473" s="122"/>
      <c r="D473" s="122"/>
      <c r="E473" s="122"/>
      <c r="F473" s="122"/>
      <c r="G473" s="122"/>
      <c r="H473" s="122"/>
      <c r="I473" s="104"/>
    </row>
    <row r="474" spans="1:9" ht="15.95" customHeight="1" x14ac:dyDescent="0.3">
      <c r="A474" s="16">
        <f>A472+(G472*H472)</f>
        <v>2850</v>
      </c>
      <c r="B474" s="9" t="s">
        <v>269</v>
      </c>
      <c r="C474" s="66" t="s">
        <v>850</v>
      </c>
      <c r="D474" s="66"/>
      <c r="E474" s="16" t="s">
        <v>123</v>
      </c>
      <c r="F474" s="16">
        <v>3</v>
      </c>
      <c r="G474" s="16">
        <f>IF(OR(E474="U16", E474="S16"),1,IF(E474="TS",6,2))</f>
        <v>1</v>
      </c>
      <c r="H474" s="66">
        <v>1</v>
      </c>
      <c r="I474" s="98"/>
    </row>
    <row r="475" spans="1:9" ht="15.95" customHeight="1" x14ac:dyDescent="0.3">
      <c r="A475" s="16">
        <f>A474+(G474*H474)</f>
        <v>2851</v>
      </c>
      <c r="B475" s="9" t="s">
        <v>270</v>
      </c>
      <c r="C475" s="66" t="s">
        <v>850</v>
      </c>
      <c r="D475" s="66"/>
      <c r="E475" s="16" t="s">
        <v>123</v>
      </c>
      <c r="F475" s="16">
        <v>3</v>
      </c>
      <c r="G475" s="16">
        <f>IF(OR(E475="U16", E475="S16"),1,IF(E475="TS",6,2))</f>
        <v>1</v>
      </c>
      <c r="H475" s="66">
        <v>1</v>
      </c>
      <c r="I475" s="98"/>
    </row>
    <row r="476" spans="1:9" ht="15.95" customHeight="1" x14ac:dyDescent="0.3">
      <c r="A476" s="16">
        <f>A475+(G475*H475)</f>
        <v>2852</v>
      </c>
      <c r="B476" s="9" t="s">
        <v>271</v>
      </c>
      <c r="C476" s="66" t="s">
        <v>850</v>
      </c>
      <c r="D476" s="66"/>
      <c r="E476" s="16" t="s">
        <v>123</v>
      </c>
      <c r="F476" s="16">
        <v>3</v>
      </c>
      <c r="G476" s="16">
        <f>IF(OR(E476="U16", E476="S16"),1,IF(E476="TS",6,2))</f>
        <v>1</v>
      </c>
      <c r="H476" s="66">
        <v>1</v>
      </c>
      <c r="I476" s="98"/>
    </row>
    <row r="477" spans="1:9" ht="15.95" customHeight="1" x14ac:dyDescent="0.3">
      <c r="A477" s="16">
        <f>A476+(G476*H476)</f>
        <v>2853</v>
      </c>
      <c r="B477" s="9" t="s">
        <v>1123</v>
      </c>
      <c r="C477" s="66"/>
      <c r="D477" s="66"/>
      <c r="E477" s="16" t="s">
        <v>123</v>
      </c>
      <c r="F477" s="16">
        <v>3</v>
      </c>
      <c r="G477" s="16">
        <f>IF(OR(E477="U16", E477="S16"),1,IF(E477="TS",6,2))</f>
        <v>1</v>
      </c>
      <c r="H477" s="66">
        <v>1</v>
      </c>
      <c r="I477" s="98"/>
    </row>
    <row r="478" spans="1:9" ht="15.95" customHeight="1" x14ac:dyDescent="0.3">
      <c r="A478" s="122" t="s">
        <v>382</v>
      </c>
      <c r="B478" s="122"/>
      <c r="C478" s="122"/>
      <c r="D478" s="122"/>
      <c r="E478" s="122"/>
      <c r="F478" s="122"/>
      <c r="G478" s="122"/>
      <c r="H478" s="122"/>
      <c r="I478" s="104"/>
    </row>
    <row r="479" spans="1:9" ht="15.95" customHeight="1" x14ac:dyDescent="0.3">
      <c r="A479" s="70">
        <f>A477+(G477*H477)</f>
        <v>2854</v>
      </c>
      <c r="B479" s="33" t="s">
        <v>268</v>
      </c>
      <c r="C479" s="70"/>
      <c r="D479" s="70"/>
      <c r="E479" s="70" t="s">
        <v>91</v>
      </c>
      <c r="F479" s="70">
        <v>3</v>
      </c>
      <c r="G479" s="70">
        <f t="shared" ref="G479:G486" si="35">IF(OR(E479="U16", E479="S16"),1,IF(E479="TS",6,2))</f>
        <v>2</v>
      </c>
      <c r="H479" s="70">
        <v>1</v>
      </c>
      <c r="I479" s="108"/>
    </row>
    <row r="480" spans="1:9" ht="15.95" customHeight="1" x14ac:dyDescent="0.3">
      <c r="A480" s="70">
        <f t="shared" ref="A480:A518" si="36">A479+(G479*H479)</f>
        <v>2856</v>
      </c>
      <c r="B480" s="33" t="s">
        <v>442</v>
      </c>
      <c r="C480" s="70"/>
      <c r="D480" s="70"/>
      <c r="E480" s="70" t="s">
        <v>123</v>
      </c>
      <c r="F480" s="70">
        <v>3</v>
      </c>
      <c r="G480" s="70">
        <f t="shared" si="35"/>
        <v>1</v>
      </c>
      <c r="H480" s="70">
        <v>1</v>
      </c>
      <c r="I480" s="108"/>
    </row>
    <row r="481" spans="1:10" ht="15.95" customHeight="1" x14ac:dyDescent="0.3">
      <c r="A481" s="70">
        <f t="shared" si="36"/>
        <v>2857</v>
      </c>
      <c r="B481" s="33" t="s">
        <v>443</v>
      </c>
      <c r="C481" s="70"/>
      <c r="D481" s="70"/>
      <c r="E481" s="70" t="s">
        <v>123</v>
      </c>
      <c r="F481" s="70">
        <v>3</v>
      </c>
      <c r="G481" s="70">
        <f t="shared" si="35"/>
        <v>1</v>
      </c>
      <c r="H481" s="70">
        <v>1</v>
      </c>
      <c r="I481" s="108"/>
    </row>
    <row r="482" spans="1:10" ht="108" x14ac:dyDescent="0.3">
      <c r="A482" s="70">
        <f t="shared" si="36"/>
        <v>2858</v>
      </c>
      <c r="B482" s="33" t="s">
        <v>603</v>
      </c>
      <c r="C482" s="33" t="s">
        <v>969</v>
      </c>
      <c r="D482" s="33"/>
      <c r="E482" s="70" t="s">
        <v>123</v>
      </c>
      <c r="F482" s="70">
        <v>3</v>
      </c>
      <c r="G482" s="70">
        <f t="shared" si="35"/>
        <v>1</v>
      </c>
      <c r="H482" s="70">
        <v>1</v>
      </c>
      <c r="I482" s="108"/>
    </row>
    <row r="483" spans="1:10" ht="15.95" customHeight="1" x14ac:dyDescent="0.3">
      <c r="A483" s="70">
        <f t="shared" si="36"/>
        <v>2859</v>
      </c>
      <c r="B483" s="33" t="s">
        <v>440</v>
      </c>
      <c r="C483" s="70"/>
      <c r="D483" s="70"/>
      <c r="E483" s="70" t="s">
        <v>123</v>
      </c>
      <c r="F483" s="70">
        <v>3</v>
      </c>
      <c r="G483" s="70">
        <f t="shared" si="35"/>
        <v>1</v>
      </c>
      <c r="H483" s="70">
        <v>1</v>
      </c>
      <c r="I483" s="108"/>
    </row>
    <row r="484" spans="1:10" ht="15.95" customHeight="1" x14ac:dyDescent="0.3">
      <c r="A484" s="70">
        <f t="shared" si="36"/>
        <v>2860</v>
      </c>
      <c r="B484" s="33" t="s">
        <v>441</v>
      </c>
      <c r="C484" s="70"/>
      <c r="D484" s="70"/>
      <c r="E484" s="70" t="s">
        <v>437</v>
      </c>
      <c r="F484" s="70">
        <v>3</v>
      </c>
      <c r="G484" s="70">
        <f t="shared" si="35"/>
        <v>2</v>
      </c>
      <c r="H484" s="70">
        <v>1</v>
      </c>
      <c r="I484" s="108"/>
    </row>
    <row r="485" spans="1:10" ht="15.95" customHeight="1" x14ac:dyDescent="0.3">
      <c r="A485" s="70">
        <f t="shared" si="36"/>
        <v>2862</v>
      </c>
      <c r="B485" s="33" t="s">
        <v>272</v>
      </c>
      <c r="C485" s="70"/>
      <c r="D485" s="70"/>
      <c r="E485" s="70" t="s">
        <v>437</v>
      </c>
      <c r="F485" s="70">
        <v>3</v>
      </c>
      <c r="G485" s="70">
        <f t="shared" si="35"/>
        <v>2</v>
      </c>
      <c r="H485" s="70">
        <v>1</v>
      </c>
      <c r="I485" s="108"/>
    </row>
    <row r="486" spans="1:10" ht="15.95" customHeight="1" x14ac:dyDescent="0.3">
      <c r="A486" s="70">
        <f t="shared" si="36"/>
        <v>2864</v>
      </c>
      <c r="B486" s="33" t="s">
        <v>273</v>
      </c>
      <c r="C486" s="70"/>
      <c r="D486" s="70"/>
      <c r="E486" s="70" t="s">
        <v>437</v>
      </c>
      <c r="F486" s="70">
        <v>3</v>
      </c>
      <c r="G486" s="70">
        <f t="shared" si="35"/>
        <v>2</v>
      </c>
      <c r="H486" s="70">
        <v>1</v>
      </c>
      <c r="I486" s="108"/>
    </row>
    <row r="487" spans="1:10" ht="15.75" customHeight="1" x14ac:dyDescent="0.3">
      <c r="A487" s="66">
        <f t="shared" si="36"/>
        <v>2866</v>
      </c>
      <c r="B487" s="9" t="s">
        <v>274</v>
      </c>
      <c r="C487" s="66"/>
      <c r="D487" s="73"/>
      <c r="E487" s="73" t="s">
        <v>123</v>
      </c>
      <c r="F487" s="73">
        <v>3</v>
      </c>
      <c r="G487" s="16">
        <f t="shared" ref="G487:G516" si="37">IF(OR(E487="U16", E487="S16"),1,IF(E487="TS",6,2))</f>
        <v>1</v>
      </c>
      <c r="H487" s="66">
        <v>12</v>
      </c>
      <c r="I487" s="98"/>
    </row>
    <row r="488" spans="1:10" ht="15.95" customHeight="1" x14ac:dyDescent="0.3">
      <c r="A488" s="66">
        <f t="shared" si="36"/>
        <v>2878</v>
      </c>
      <c r="B488" s="9" t="s">
        <v>275</v>
      </c>
      <c r="C488" s="66"/>
      <c r="D488" s="73"/>
      <c r="E488" s="73" t="s">
        <v>123</v>
      </c>
      <c r="F488" s="73">
        <v>3</v>
      </c>
      <c r="G488" s="16">
        <f t="shared" si="37"/>
        <v>1</v>
      </c>
      <c r="H488" s="66">
        <v>12</v>
      </c>
      <c r="I488" s="98"/>
    </row>
    <row r="489" spans="1:10" ht="15.95" customHeight="1" x14ac:dyDescent="0.3">
      <c r="A489" s="66">
        <f t="shared" si="36"/>
        <v>2890</v>
      </c>
      <c r="B489" s="9" t="s">
        <v>276</v>
      </c>
      <c r="C489" s="66"/>
      <c r="D489" s="73"/>
      <c r="E489" s="73" t="s">
        <v>123</v>
      </c>
      <c r="F489" s="73">
        <v>3</v>
      </c>
      <c r="G489" s="16">
        <f t="shared" si="37"/>
        <v>1</v>
      </c>
      <c r="H489" s="66">
        <v>12</v>
      </c>
      <c r="I489" s="98"/>
    </row>
    <row r="490" spans="1:10" ht="15.95" customHeight="1" x14ac:dyDescent="0.3">
      <c r="A490" s="66">
        <f t="shared" si="36"/>
        <v>2902</v>
      </c>
      <c r="B490" s="9" t="s">
        <v>277</v>
      </c>
      <c r="C490" s="66"/>
      <c r="D490" s="73"/>
      <c r="E490" s="73" t="s">
        <v>123</v>
      </c>
      <c r="F490" s="73">
        <v>3</v>
      </c>
      <c r="G490" s="16">
        <f t="shared" si="37"/>
        <v>1</v>
      </c>
      <c r="H490" s="66">
        <v>12</v>
      </c>
      <c r="I490" s="98"/>
    </row>
    <row r="491" spans="1:10" customFormat="1" ht="16.5" x14ac:dyDescent="0.3">
      <c r="A491" s="66">
        <f t="shared" si="36"/>
        <v>2914</v>
      </c>
      <c r="B491" s="9" t="s">
        <v>278</v>
      </c>
      <c r="C491" s="66"/>
      <c r="D491" s="73"/>
      <c r="E491" s="73" t="s">
        <v>123</v>
      </c>
      <c r="F491" s="73">
        <v>3</v>
      </c>
      <c r="G491" s="16">
        <f t="shared" si="37"/>
        <v>1</v>
      </c>
      <c r="H491" s="66">
        <v>12</v>
      </c>
      <c r="I491" s="98"/>
      <c r="J491" s="29"/>
    </row>
    <row r="492" spans="1:10" customFormat="1" ht="16.5" customHeight="1" x14ac:dyDescent="0.3">
      <c r="A492" s="66">
        <f t="shared" si="36"/>
        <v>2926</v>
      </c>
      <c r="B492" s="9" t="s">
        <v>279</v>
      </c>
      <c r="C492" s="66"/>
      <c r="D492" s="73"/>
      <c r="E492" s="73" t="s">
        <v>123</v>
      </c>
      <c r="F492" s="73">
        <v>3</v>
      </c>
      <c r="G492" s="16">
        <f t="shared" si="37"/>
        <v>1</v>
      </c>
      <c r="H492" s="66">
        <v>12</v>
      </c>
      <c r="I492" s="98"/>
      <c r="J492" s="29"/>
    </row>
    <row r="493" spans="1:10" customFormat="1" ht="16.5" x14ac:dyDescent="0.3">
      <c r="A493" s="66">
        <f t="shared" si="36"/>
        <v>2938</v>
      </c>
      <c r="B493" s="9" t="s">
        <v>280</v>
      </c>
      <c r="C493" s="66"/>
      <c r="D493" s="73"/>
      <c r="E493" s="73" t="s">
        <v>123</v>
      </c>
      <c r="F493" s="73">
        <v>3</v>
      </c>
      <c r="G493" s="16">
        <f t="shared" si="37"/>
        <v>1</v>
      </c>
      <c r="H493" s="66">
        <v>12</v>
      </c>
      <c r="I493" s="98"/>
      <c r="J493" s="29"/>
    </row>
    <row r="494" spans="1:10" customFormat="1" ht="16.5" x14ac:dyDescent="0.3">
      <c r="A494" s="66">
        <f t="shared" si="36"/>
        <v>2950</v>
      </c>
      <c r="B494" s="9" t="s">
        <v>281</v>
      </c>
      <c r="C494" s="66"/>
      <c r="D494" s="73"/>
      <c r="E494" s="73" t="s">
        <v>123</v>
      </c>
      <c r="F494" s="73">
        <v>3</v>
      </c>
      <c r="G494" s="16">
        <f t="shared" si="37"/>
        <v>1</v>
      </c>
      <c r="H494" s="66">
        <v>12</v>
      </c>
      <c r="I494" s="98"/>
      <c r="J494" s="29"/>
    </row>
    <row r="495" spans="1:10" customFormat="1" ht="16.5" x14ac:dyDescent="0.3">
      <c r="A495" s="66">
        <f t="shared" si="36"/>
        <v>2962</v>
      </c>
      <c r="B495" s="9" t="s">
        <v>282</v>
      </c>
      <c r="C495" s="66"/>
      <c r="D495" s="73"/>
      <c r="E495" s="73" t="s">
        <v>123</v>
      </c>
      <c r="F495" s="73">
        <v>3</v>
      </c>
      <c r="G495" s="16">
        <f t="shared" si="37"/>
        <v>1</v>
      </c>
      <c r="H495" s="66">
        <v>12</v>
      </c>
      <c r="I495" s="98"/>
      <c r="J495" s="29"/>
    </row>
    <row r="496" spans="1:10" customFormat="1" ht="16.5" x14ac:dyDescent="0.3">
      <c r="A496" s="66">
        <f t="shared" si="36"/>
        <v>2974</v>
      </c>
      <c r="B496" s="9" t="s">
        <v>283</v>
      </c>
      <c r="C496" s="66"/>
      <c r="D496" s="73"/>
      <c r="E496" s="73" t="s">
        <v>123</v>
      </c>
      <c r="F496" s="73">
        <v>3</v>
      </c>
      <c r="G496" s="16">
        <f t="shared" si="37"/>
        <v>1</v>
      </c>
      <c r="H496" s="66">
        <v>12</v>
      </c>
      <c r="I496" s="98"/>
      <c r="J496" s="29"/>
    </row>
    <row r="497" spans="1:10" customFormat="1" ht="16.5" x14ac:dyDescent="0.3">
      <c r="A497" s="66">
        <f t="shared" si="36"/>
        <v>2986</v>
      </c>
      <c r="B497" s="9" t="s">
        <v>284</v>
      </c>
      <c r="C497" s="66"/>
      <c r="D497" s="73"/>
      <c r="E497" s="73" t="s">
        <v>123</v>
      </c>
      <c r="F497" s="73">
        <v>3</v>
      </c>
      <c r="G497" s="16">
        <f t="shared" si="37"/>
        <v>1</v>
      </c>
      <c r="H497" s="66">
        <v>12</v>
      </c>
      <c r="I497" s="98"/>
      <c r="J497" s="29"/>
    </row>
    <row r="498" spans="1:10" customFormat="1" ht="16.5" x14ac:dyDescent="0.3">
      <c r="A498" s="66">
        <f t="shared" si="36"/>
        <v>2998</v>
      </c>
      <c r="B498" s="9" t="s">
        <v>285</v>
      </c>
      <c r="C498" s="66"/>
      <c r="D498" s="73"/>
      <c r="E498" s="73" t="s">
        <v>123</v>
      </c>
      <c r="F498" s="73">
        <v>3</v>
      </c>
      <c r="G498" s="16">
        <f t="shared" si="37"/>
        <v>1</v>
      </c>
      <c r="H498" s="66">
        <v>12</v>
      </c>
      <c r="I498" s="98"/>
      <c r="J498" s="29"/>
    </row>
    <row r="499" spans="1:10" customFormat="1" ht="16.5" x14ac:dyDescent="0.3">
      <c r="A499" s="66">
        <f t="shared" si="36"/>
        <v>3010</v>
      </c>
      <c r="B499" s="9" t="s">
        <v>286</v>
      </c>
      <c r="C499" s="66"/>
      <c r="D499" s="73"/>
      <c r="E499" s="73" t="s">
        <v>123</v>
      </c>
      <c r="F499" s="73">
        <v>3</v>
      </c>
      <c r="G499" s="16">
        <f t="shared" si="37"/>
        <v>1</v>
      </c>
      <c r="H499" s="66">
        <v>12</v>
      </c>
      <c r="I499" s="98"/>
      <c r="J499" s="29"/>
    </row>
    <row r="500" spans="1:10" customFormat="1" ht="16.5" x14ac:dyDescent="0.3">
      <c r="A500" s="66">
        <f t="shared" si="36"/>
        <v>3022</v>
      </c>
      <c r="B500" s="9" t="s">
        <v>287</v>
      </c>
      <c r="C500" s="66"/>
      <c r="D500" s="73"/>
      <c r="E500" s="73" t="s">
        <v>123</v>
      </c>
      <c r="F500" s="73">
        <v>3</v>
      </c>
      <c r="G500" s="16">
        <f t="shared" si="37"/>
        <v>1</v>
      </c>
      <c r="H500" s="66">
        <v>12</v>
      </c>
      <c r="I500" s="98"/>
      <c r="J500" s="29"/>
    </row>
    <row r="501" spans="1:10" customFormat="1" ht="16.5" x14ac:dyDescent="0.3">
      <c r="A501" s="66">
        <f t="shared" si="36"/>
        <v>3034</v>
      </c>
      <c r="B501" s="9" t="s">
        <v>288</v>
      </c>
      <c r="C501" s="66"/>
      <c r="D501" s="73"/>
      <c r="E501" s="73" t="s">
        <v>123</v>
      </c>
      <c r="F501" s="73">
        <v>3</v>
      </c>
      <c r="G501" s="16">
        <f t="shared" si="37"/>
        <v>1</v>
      </c>
      <c r="H501" s="66">
        <v>12</v>
      </c>
      <c r="I501" s="98"/>
      <c r="J501" s="29"/>
    </row>
    <row r="502" spans="1:10" ht="15.95" customHeight="1" x14ac:dyDescent="0.3">
      <c r="A502" s="66">
        <f t="shared" si="36"/>
        <v>3046</v>
      </c>
      <c r="B502" s="9" t="s">
        <v>289</v>
      </c>
      <c r="C502" s="66"/>
      <c r="D502" s="73"/>
      <c r="E502" s="73" t="s">
        <v>123</v>
      </c>
      <c r="F502" s="73">
        <v>3</v>
      </c>
      <c r="G502" s="16">
        <f t="shared" si="37"/>
        <v>1</v>
      </c>
      <c r="H502" s="66">
        <v>12</v>
      </c>
      <c r="I502" s="98"/>
    </row>
    <row r="503" spans="1:10" customFormat="1" ht="16.5" x14ac:dyDescent="0.3">
      <c r="A503" s="66">
        <f t="shared" si="36"/>
        <v>3058</v>
      </c>
      <c r="B503" s="9" t="s">
        <v>290</v>
      </c>
      <c r="C503" s="66"/>
      <c r="D503" s="73"/>
      <c r="E503" s="73" t="s">
        <v>123</v>
      </c>
      <c r="F503" s="73">
        <v>3</v>
      </c>
      <c r="G503" s="16">
        <f t="shared" si="37"/>
        <v>1</v>
      </c>
      <c r="H503" s="66">
        <v>12</v>
      </c>
      <c r="I503" s="98"/>
      <c r="J503" s="29"/>
    </row>
    <row r="504" spans="1:10" customFormat="1" ht="16.5" customHeight="1" x14ac:dyDescent="0.3">
      <c r="A504" s="66">
        <f t="shared" si="36"/>
        <v>3070</v>
      </c>
      <c r="B504" s="9" t="s">
        <v>291</v>
      </c>
      <c r="C504" s="66"/>
      <c r="D504" s="73"/>
      <c r="E504" s="73" t="s">
        <v>123</v>
      </c>
      <c r="F504" s="73">
        <v>3</v>
      </c>
      <c r="G504" s="16">
        <f t="shared" si="37"/>
        <v>1</v>
      </c>
      <c r="H504" s="66">
        <v>12</v>
      </c>
      <c r="I504" s="98"/>
      <c r="J504" s="29"/>
    </row>
    <row r="505" spans="1:10" customFormat="1" ht="16.5" x14ac:dyDescent="0.3">
      <c r="A505" s="66">
        <f t="shared" si="36"/>
        <v>3082</v>
      </c>
      <c r="B505" s="9" t="s">
        <v>292</v>
      </c>
      <c r="C505" s="66"/>
      <c r="D505" s="73"/>
      <c r="E505" s="73" t="s">
        <v>123</v>
      </c>
      <c r="F505" s="73">
        <v>3</v>
      </c>
      <c r="G505" s="16">
        <f t="shared" si="37"/>
        <v>1</v>
      </c>
      <c r="H505" s="66">
        <v>12</v>
      </c>
      <c r="I505" s="98"/>
      <c r="J505" s="29"/>
    </row>
    <row r="506" spans="1:10" customFormat="1" ht="16.5" x14ac:dyDescent="0.3">
      <c r="A506" s="66">
        <f t="shared" si="36"/>
        <v>3094</v>
      </c>
      <c r="B506" s="9" t="s">
        <v>293</v>
      </c>
      <c r="C506" s="66"/>
      <c r="D506" s="73"/>
      <c r="E506" s="73" t="s">
        <v>123</v>
      </c>
      <c r="F506" s="73">
        <v>3</v>
      </c>
      <c r="G506" s="16">
        <f t="shared" si="37"/>
        <v>1</v>
      </c>
      <c r="H506" s="66">
        <v>12</v>
      </c>
      <c r="I506" s="98"/>
      <c r="J506" s="29"/>
    </row>
    <row r="507" spans="1:10" customFormat="1" ht="16.5" x14ac:dyDescent="0.3">
      <c r="A507" s="66">
        <f t="shared" si="36"/>
        <v>3106</v>
      </c>
      <c r="B507" s="9" t="s">
        <v>294</v>
      </c>
      <c r="C507" s="66"/>
      <c r="D507" s="73"/>
      <c r="E507" s="73" t="s">
        <v>123</v>
      </c>
      <c r="F507" s="73">
        <v>3</v>
      </c>
      <c r="G507" s="16">
        <f t="shared" si="37"/>
        <v>1</v>
      </c>
      <c r="H507" s="66">
        <v>12</v>
      </c>
      <c r="I507" s="98"/>
      <c r="J507" s="29"/>
    </row>
    <row r="508" spans="1:10" customFormat="1" ht="16.5" x14ac:dyDescent="0.3">
      <c r="A508" s="66">
        <f t="shared" si="36"/>
        <v>3118</v>
      </c>
      <c r="B508" s="9" t="s">
        <v>295</v>
      </c>
      <c r="C508" s="66"/>
      <c r="D508" s="73"/>
      <c r="E508" s="73" t="s">
        <v>123</v>
      </c>
      <c r="F508" s="73">
        <v>3</v>
      </c>
      <c r="G508" s="16">
        <f t="shared" si="37"/>
        <v>1</v>
      </c>
      <c r="H508" s="66">
        <v>12</v>
      </c>
      <c r="I508" s="98"/>
      <c r="J508" s="29"/>
    </row>
    <row r="509" spans="1:10" customFormat="1" ht="16.5" x14ac:dyDescent="0.3">
      <c r="A509" s="66">
        <f t="shared" si="36"/>
        <v>3130</v>
      </c>
      <c r="B509" s="9" t="s">
        <v>296</v>
      </c>
      <c r="C509" s="66"/>
      <c r="D509" s="73"/>
      <c r="E509" s="73" t="s">
        <v>123</v>
      </c>
      <c r="F509" s="73">
        <v>3</v>
      </c>
      <c r="G509" s="16">
        <f t="shared" si="37"/>
        <v>1</v>
      </c>
      <c r="H509" s="66">
        <v>12</v>
      </c>
      <c r="I509" s="98"/>
      <c r="J509" s="29"/>
    </row>
    <row r="510" spans="1:10" customFormat="1" ht="16.5" x14ac:dyDescent="0.3">
      <c r="A510" s="66">
        <f t="shared" si="36"/>
        <v>3142</v>
      </c>
      <c r="B510" s="9" t="s">
        <v>297</v>
      </c>
      <c r="C510" s="66"/>
      <c r="D510" s="73"/>
      <c r="E510" s="73" t="s">
        <v>123</v>
      </c>
      <c r="F510" s="73">
        <v>3</v>
      </c>
      <c r="G510" s="16">
        <f t="shared" si="37"/>
        <v>1</v>
      </c>
      <c r="H510" s="66">
        <v>12</v>
      </c>
      <c r="I510" s="98"/>
      <c r="J510" s="29"/>
    </row>
    <row r="511" spans="1:10" customFormat="1" ht="16.5" x14ac:dyDescent="0.3">
      <c r="A511" s="66">
        <f t="shared" si="36"/>
        <v>3154</v>
      </c>
      <c r="B511" s="9" t="s">
        <v>298</v>
      </c>
      <c r="C511" s="66"/>
      <c r="D511" s="73"/>
      <c r="E511" s="73" t="s">
        <v>123</v>
      </c>
      <c r="F511" s="73">
        <v>3</v>
      </c>
      <c r="G511" s="16">
        <f t="shared" si="37"/>
        <v>1</v>
      </c>
      <c r="H511" s="66">
        <v>12</v>
      </c>
      <c r="I511" s="98"/>
      <c r="J511" s="29"/>
    </row>
    <row r="512" spans="1:10" customFormat="1" ht="16.5" x14ac:dyDescent="0.3">
      <c r="A512" s="66">
        <f t="shared" si="36"/>
        <v>3166</v>
      </c>
      <c r="B512" s="9" t="s">
        <v>299</v>
      </c>
      <c r="C512" s="66"/>
      <c r="D512" s="73"/>
      <c r="E512" s="73" t="s">
        <v>123</v>
      </c>
      <c r="F512" s="73">
        <v>3</v>
      </c>
      <c r="G512" s="16">
        <f t="shared" si="37"/>
        <v>1</v>
      </c>
      <c r="H512" s="66">
        <v>12</v>
      </c>
      <c r="I512" s="98"/>
      <c r="J512" s="29"/>
    </row>
    <row r="513" spans="1:10" customFormat="1" ht="16.5" x14ac:dyDescent="0.3">
      <c r="A513" s="66">
        <f t="shared" si="36"/>
        <v>3178</v>
      </c>
      <c r="B513" s="9" t="s">
        <v>300</v>
      </c>
      <c r="C513" s="66"/>
      <c r="D513" s="73"/>
      <c r="E513" s="73" t="s">
        <v>123</v>
      </c>
      <c r="F513" s="73">
        <v>3</v>
      </c>
      <c r="G513" s="16">
        <f t="shared" si="37"/>
        <v>1</v>
      </c>
      <c r="H513" s="66">
        <v>12</v>
      </c>
      <c r="I513" s="98"/>
      <c r="J513" s="29"/>
    </row>
    <row r="514" spans="1:10" customFormat="1" ht="16.5" x14ac:dyDescent="0.3">
      <c r="A514" s="66">
        <f t="shared" si="36"/>
        <v>3190</v>
      </c>
      <c r="B514" s="9" t="s">
        <v>301</v>
      </c>
      <c r="C514" s="66"/>
      <c r="D514" s="73"/>
      <c r="E514" s="73" t="s">
        <v>123</v>
      </c>
      <c r="F514" s="73">
        <v>3</v>
      </c>
      <c r="G514" s="16">
        <f t="shared" si="37"/>
        <v>1</v>
      </c>
      <c r="H514" s="66">
        <v>12</v>
      </c>
      <c r="I514" s="98"/>
      <c r="J514" s="29"/>
    </row>
    <row r="515" spans="1:10" customFormat="1" ht="16.5" x14ac:dyDescent="0.3">
      <c r="A515" s="66">
        <f t="shared" si="36"/>
        <v>3202</v>
      </c>
      <c r="B515" s="9" t="s">
        <v>302</v>
      </c>
      <c r="C515" s="66"/>
      <c r="D515" s="73"/>
      <c r="E515" s="73" t="s">
        <v>123</v>
      </c>
      <c r="F515" s="73">
        <v>3</v>
      </c>
      <c r="G515" s="16">
        <f t="shared" si="37"/>
        <v>1</v>
      </c>
      <c r="H515" s="66">
        <v>12</v>
      </c>
      <c r="I515" s="98"/>
      <c r="J515" s="29"/>
    </row>
    <row r="516" spans="1:10" customFormat="1" ht="16.5" x14ac:dyDescent="0.3">
      <c r="A516" s="66">
        <f t="shared" si="36"/>
        <v>3214</v>
      </c>
      <c r="B516" s="9" t="s">
        <v>303</v>
      </c>
      <c r="C516" s="66"/>
      <c r="D516" s="73"/>
      <c r="E516" s="73" t="s">
        <v>123</v>
      </c>
      <c r="F516" s="73">
        <v>3</v>
      </c>
      <c r="G516" s="16">
        <f t="shared" si="37"/>
        <v>1</v>
      </c>
      <c r="H516" s="66">
        <v>12</v>
      </c>
      <c r="I516" s="98"/>
      <c r="J516" s="29"/>
    </row>
    <row r="517" spans="1:10" customFormat="1" ht="16.5" x14ac:dyDescent="0.3">
      <c r="A517" s="66">
        <f t="shared" si="36"/>
        <v>3226</v>
      </c>
      <c r="B517" s="9" t="s">
        <v>383</v>
      </c>
      <c r="C517" s="66"/>
      <c r="D517" s="73"/>
      <c r="E517" s="73" t="s">
        <v>123</v>
      </c>
      <c r="F517" s="73">
        <v>3</v>
      </c>
      <c r="G517" s="16">
        <f>IF(OR(E517="U16", E517="S16"),1,IF(E517="TS",6,2))</f>
        <v>1</v>
      </c>
      <c r="H517" s="66">
        <v>12</v>
      </c>
      <c r="I517" s="98"/>
      <c r="J517" s="29"/>
    </row>
    <row r="518" spans="1:10" customFormat="1" ht="16.5" x14ac:dyDescent="0.3">
      <c r="A518" s="66">
        <f t="shared" si="36"/>
        <v>3238</v>
      </c>
      <c r="B518" s="9"/>
      <c r="C518" s="66"/>
      <c r="D518" s="73"/>
      <c r="E518" s="73" t="s">
        <v>123</v>
      </c>
      <c r="F518" s="73">
        <v>3</v>
      </c>
      <c r="G518" s="16">
        <f>IF(OR(E518="U16", E518="S16"),1,IF(E518="TS",6,2))</f>
        <v>1</v>
      </c>
      <c r="H518" s="66">
        <v>2</v>
      </c>
      <c r="I518" s="98"/>
      <c r="J518" s="29"/>
    </row>
    <row r="519" spans="1:10" customFormat="1" ht="16.5" customHeight="1" x14ac:dyDescent="0.3">
      <c r="A519" s="122" t="s">
        <v>599</v>
      </c>
      <c r="B519" s="122"/>
      <c r="C519" s="122"/>
      <c r="D519" s="122"/>
      <c r="E519" s="122"/>
      <c r="F519" s="122"/>
      <c r="G519" s="122"/>
      <c r="H519" s="122"/>
      <c r="I519" s="104"/>
      <c r="J519" s="29"/>
    </row>
    <row r="520" spans="1:10" ht="15.75" customHeight="1" x14ac:dyDescent="0.3">
      <c r="A520" s="66">
        <f>A518+(G518*H518)</f>
        <v>3240</v>
      </c>
      <c r="B520" s="11"/>
      <c r="C520" s="66"/>
      <c r="D520" s="66"/>
      <c r="E520" s="16" t="s">
        <v>123</v>
      </c>
      <c r="F520" s="16">
        <v>3</v>
      </c>
      <c r="G520" s="16">
        <f t="shared" ref="G520:G529" si="38">IF(OR(E520="U16", E520="S16"),1,IF(E520="TS",6,2))</f>
        <v>1</v>
      </c>
      <c r="H520" s="66">
        <v>1</v>
      </c>
      <c r="I520" s="98"/>
    </row>
    <row r="521" spans="1:10" ht="15.95" customHeight="1" x14ac:dyDescent="0.3">
      <c r="A521" s="66">
        <f>A520+(G520*H520)</f>
        <v>3241</v>
      </c>
      <c r="B521" s="11"/>
      <c r="C521" s="66"/>
      <c r="D521" s="66"/>
      <c r="E521" s="16" t="s">
        <v>123</v>
      </c>
      <c r="F521" s="16">
        <v>3</v>
      </c>
      <c r="G521" s="16">
        <f t="shared" si="38"/>
        <v>1</v>
      </c>
      <c r="H521" s="66">
        <v>1</v>
      </c>
      <c r="I521" s="98"/>
    </row>
    <row r="522" spans="1:10" ht="15.95" customHeight="1" x14ac:dyDescent="0.3">
      <c r="A522" s="66">
        <f t="shared" ref="A522:A529" si="39">A521+(G521*H521)</f>
        <v>3242</v>
      </c>
      <c r="B522" s="11"/>
      <c r="C522" s="66"/>
      <c r="D522" s="66"/>
      <c r="E522" s="16" t="s">
        <v>123</v>
      </c>
      <c r="F522" s="16">
        <v>3</v>
      </c>
      <c r="G522" s="16">
        <f t="shared" si="38"/>
        <v>1</v>
      </c>
      <c r="H522" s="66">
        <v>1</v>
      </c>
      <c r="I522" s="98"/>
    </row>
    <row r="523" spans="1:10" ht="15.95" customHeight="1" x14ac:dyDescent="0.3">
      <c r="A523" s="66">
        <f t="shared" si="39"/>
        <v>3243</v>
      </c>
      <c r="B523" s="11" t="s">
        <v>597</v>
      </c>
      <c r="C523" s="66"/>
      <c r="D523" s="66"/>
      <c r="E523" s="16" t="s">
        <v>123</v>
      </c>
      <c r="F523" s="16">
        <v>3</v>
      </c>
      <c r="G523" s="16">
        <f t="shared" si="38"/>
        <v>1</v>
      </c>
      <c r="H523" s="66">
        <v>1</v>
      </c>
      <c r="I523" s="98"/>
    </row>
    <row r="524" spans="1:10" customFormat="1" ht="16.5" x14ac:dyDescent="0.3">
      <c r="A524" s="66">
        <f t="shared" si="39"/>
        <v>3244</v>
      </c>
      <c r="B524" s="11" t="s">
        <v>598</v>
      </c>
      <c r="C524" s="66"/>
      <c r="D524" s="66"/>
      <c r="E524" s="16" t="s">
        <v>123</v>
      </c>
      <c r="F524" s="16">
        <v>3</v>
      </c>
      <c r="G524" s="16">
        <f t="shared" si="38"/>
        <v>1</v>
      </c>
      <c r="H524" s="66">
        <v>1</v>
      </c>
      <c r="I524" s="98"/>
      <c r="J524" s="29"/>
    </row>
    <row r="525" spans="1:10" customFormat="1" ht="16.5" customHeight="1" x14ac:dyDescent="0.3">
      <c r="A525" s="66">
        <f t="shared" si="39"/>
        <v>3245</v>
      </c>
      <c r="B525" s="11"/>
      <c r="C525" s="66"/>
      <c r="D525" s="66"/>
      <c r="E525" s="16" t="s">
        <v>123</v>
      </c>
      <c r="F525" s="16">
        <v>3</v>
      </c>
      <c r="G525" s="16">
        <f t="shared" si="38"/>
        <v>1</v>
      </c>
      <c r="H525" s="66">
        <v>1</v>
      </c>
      <c r="I525" s="98"/>
      <c r="J525" s="29"/>
    </row>
    <row r="526" spans="1:10" customFormat="1" ht="16.5" x14ac:dyDescent="0.3">
      <c r="A526" s="66">
        <f t="shared" si="39"/>
        <v>3246</v>
      </c>
      <c r="B526" s="11"/>
      <c r="C526" s="66"/>
      <c r="D526" s="66"/>
      <c r="E526" s="16" t="s">
        <v>123</v>
      </c>
      <c r="F526" s="16">
        <v>3</v>
      </c>
      <c r="G526" s="16">
        <f t="shared" si="38"/>
        <v>1</v>
      </c>
      <c r="H526" s="66">
        <v>1</v>
      </c>
      <c r="I526" s="98"/>
      <c r="J526" s="29"/>
    </row>
    <row r="527" spans="1:10" customFormat="1" ht="16.5" x14ac:dyDescent="0.3">
      <c r="A527" s="66">
        <f t="shared" si="39"/>
        <v>3247</v>
      </c>
      <c r="B527" s="11"/>
      <c r="C527" s="66"/>
      <c r="D527" s="66"/>
      <c r="E527" s="16" t="s">
        <v>123</v>
      </c>
      <c r="F527" s="16">
        <v>3</v>
      </c>
      <c r="G527" s="16">
        <f t="shared" si="38"/>
        <v>1</v>
      </c>
      <c r="H527" s="66">
        <v>1</v>
      </c>
      <c r="I527" s="98"/>
      <c r="J527" s="29"/>
    </row>
    <row r="528" spans="1:10" customFormat="1" ht="16.5" customHeight="1" x14ac:dyDescent="0.3">
      <c r="A528" s="66">
        <f t="shared" si="39"/>
        <v>3248</v>
      </c>
      <c r="B528" s="11"/>
      <c r="C528" s="66"/>
      <c r="D528" s="66"/>
      <c r="E528" s="16" t="s">
        <v>123</v>
      </c>
      <c r="F528" s="16">
        <v>3</v>
      </c>
      <c r="G528" s="16">
        <f t="shared" si="38"/>
        <v>1</v>
      </c>
      <c r="H528" s="66">
        <v>1</v>
      </c>
      <c r="I528" s="98"/>
      <c r="J528" s="29"/>
    </row>
    <row r="529" spans="1:10" customFormat="1" ht="16.5" x14ac:dyDescent="0.3">
      <c r="A529" s="66">
        <f t="shared" si="39"/>
        <v>3249</v>
      </c>
      <c r="B529" s="11"/>
      <c r="C529" s="66"/>
      <c r="D529" s="66"/>
      <c r="E529" s="16" t="s">
        <v>123</v>
      </c>
      <c r="F529" s="16">
        <v>3</v>
      </c>
      <c r="G529" s="16">
        <f t="shared" si="38"/>
        <v>1</v>
      </c>
      <c r="H529" s="66">
        <v>1</v>
      </c>
      <c r="I529" s="98"/>
      <c r="J529" s="29"/>
    </row>
    <row r="530" spans="1:10" ht="15.95" customHeight="1" x14ac:dyDescent="0.3">
      <c r="A530" s="122" t="s">
        <v>115</v>
      </c>
      <c r="B530" s="122"/>
      <c r="C530" s="122"/>
      <c r="D530" s="122"/>
      <c r="E530" s="122"/>
      <c r="F530" s="122"/>
      <c r="G530" s="122"/>
      <c r="H530" s="122"/>
      <c r="I530" s="109"/>
      <c r="J530" s="138" t="s">
        <v>267</v>
      </c>
    </row>
    <row r="531" spans="1:10" ht="15.95" customHeight="1" x14ac:dyDescent="0.3">
      <c r="A531" s="66">
        <f>A529+(G529*H529)</f>
        <v>3250</v>
      </c>
      <c r="B531" s="9" t="s">
        <v>180</v>
      </c>
      <c r="C531" s="66"/>
      <c r="D531" s="66"/>
      <c r="E531" s="16" t="s">
        <v>114</v>
      </c>
      <c r="F531" s="16">
        <v>3</v>
      </c>
      <c r="G531" s="16">
        <f t="shared" ref="G531:G541" si="40">IF(OR(E531="U16", E531="S16"),1,IF(E531="TS",6,2))</f>
        <v>1</v>
      </c>
      <c r="H531" s="66">
        <v>160</v>
      </c>
      <c r="I531" s="105"/>
      <c r="J531" s="138"/>
    </row>
    <row r="532" spans="1:10" ht="15.95" customHeight="1" x14ac:dyDescent="0.3">
      <c r="A532" s="66">
        <f t="shared" ref="A532:A542" si="41">A531+(G531*H531)</f>
        <v>3410</v>
      </c>
      <c r="B532" s="9" t="s">
        <v>32</v>
      </c>
      <c r="C532" s="66"/>
      <c r="D532" s="66"/>
      <c r="E532" s="16" t="s">
        <v>114</v>
      </c>
      <c r="F532" s="16">
        <v>3</v>
      </c>
      <c r="G532" s="16">
        <f t="shared" si="40"/>
        <v>1</v>
      </c>
      <c r="H532" s="66">
        <v>160</v>
      </c>
      <c r="I532" s="105"/>
      <c r="J532" s="138"/>
    </row>
    <row r="533" spans="1:10" ht="15.95" customHeight="1" x14ac:dyDescent="0.3">
      <c r="A533" s="66">
        <f t="shared" si="41"/>
        <v>3570</v>
      </c>
      <c r="B533" s="9" t="s">
        <v>33</v>
      </c>
      <c r="C533" s="66"/>
      <c r="D533" s="66"/>
      <c r="E533" s="16" t="s">
        <v>114</v>
      </c>
      <c r="F533" s="16">
        <v>3</v>
      </c>
      <c r="G533" s="16">
        <f t="shared" si="40"/>
        <v>1</v>
      </c>
      <c r="H533" s="66">
        <v>160</v>
      </c>
      <c r="I533" s="105"/>
      <c r="J533" s="138"/>
    </row>
    <row r="534" spans="1:10" ht="15.95" customHeight="1" x14ac:dyDescent="0.3">
      <c r="A534" s="66">
        <f t="shared" si="41"/>
        <v>3730</v>
      </c>
      <c r="B534" s="9" t="s">
        <v>34</v>
      </c>
      <c r="C534" s="66"/>
      <c r="D534" s="66"/>
      <c r="E534" s="16" t="s">
        <v>114</v>
      </c>
      <c r="F534" s="16">
        <v>3</v>
      </c>
      <c r="G534" s="16">
        <f t="shared" si="40"/>
        <v>1</v>
      </c>
      <c r="H534" s="66">
        <v>160</v>
      </c>
      <c r="I534" s="105"/>
      <c r="J534" s="138"/>
    </row>
    <row r="535" spans="1:10" ht="15.95" customHeight="1" x14ac:dyDescent="0.3">
      <c r="A535" s="66">
        <f t="shared" si="41"/>
        <v>3890</v>
      </c>
      <c r="B535" s="9" t="s">
        <v>35</v>
      </c>
      <c r="C535" s="66"/>
      <c r="D535" s="66"/>
      <c r="E535" s="16" t="s">
        <v>114</v>
      </c>
      <c r="F535" s="16">
        <v>3</v>
      </c>
      <c r="G535" s="16">
        <f t="shared" si="40"/>
        <v>1</v>
      </c>
      <c r="H535" s="66">
        <v>160</v>
      </c>
      <c r="I535" s="105"/>
      <c r="J535" s="138"/>
    </row>
    <row r="536" spans="1:10" ht="15.95" customHeight="1" x14ac:dyDescent="0.3">
      <c r="A536" s="66">
        <f t="shared" si="41"/>
        <v>4050</v>
      </c>
      <c r="B536" s="9" t="s">
        <v>36</v>
      </c>
      <c r="C536" s="66"/>
      <c r="D536" s="66"/>
      <c r="E536" s="16" t="s">
        <v>114</v>
      </c>
      <c r="F536" s="16">
        <v>3</v>
      </c>
      <c r="G536" s="16">
        <f t="shared" si="40"/>
        <v>1</v>
      </c>
      <c r="H536" s="66">
        <v>160</v>
      </c>
      <c r="I536" s="105"/>
      <c r="J536" s="138"/>
    </row>
    <row r="537" spans="1:10" ht="15.95" customHeight="1" x14ac:dyDescent="0.3">
      <c r="A537" s="66">
        <f t="shared" si="41"/>
        <v>4210</v>
      </c>
      <c r="B537" s="9" t="s">
        <v>37</v>
      </c>
      <c r="C537" s="66"/>
      <c r="D537" s="66"/>
      <c r="E537" s="16" t="s">
        <v>114</v>
      </c>
      <c r="F537" s="16">
        <v>3</v>
      </c>
      <c r="G537" s="16">
        <f t="shared" si="40"/>
        <v>1</v>
      </c>
      <c r="H537" s="66">
        <v>160</v>
      </c>
      <c r="I537" s="105"/>
      <c r="J537" s="138"/>
    </row>
    <row r="538" spans="1:10" ht="15.95" customHeight="1" x14ac:dyDescent="0.3">
      <c r="A538" s="66">
        <f t="shared" si="41"/>
        <v>4370</v>
      </c>
      <c r="B538" s="9" t="s">
        <v>38</v>
      </c>
      <c r="C538" s="66"/>
      <c r="D538" s="66"/>
      <c r="E538" s="16" t="s">
        <v>114</v>
      </c>
      <c r="F538" s="16">
        <v>3</v>
      </c>
      <c r="G538" s="16">
        <f t="shared" si="40"/>
        <v>1</v>
      </c>
      <c r="H538" s="66">
        <v>160</v>
      </c>
      <c r="I538" s="105"/>
      <c r="J538" s="138"/>
    </row>
    <row r="539" spans="1:10" ht="15.95" customHeight="1" x14ac:dyDescent="0.3">
      <c r="A539" s="66">
        <f t="shared" si="41"/>
        <v>4530</v>
      </c>
      <c r="B539" s="9" t="s">
        <v>39</v>
      </c>
      <c r="C539" s="66"/>
      <c r="D539" s="66"/>
      <c r="E539" s="16" t="s">
        <v>114</v>
      </c>
      <c r="F539" s="16">
        <v>3</v>
      </c>
      <c r="G539" s="16">
        <f t="shared" si="40"/>
        <v>1</v>
      </c>
      <c r="H539" s="66">
        <v>160</v>
      </c>
      <c r="I539" s="105"/>
      <c r="J539" s="138"/>
    </row>
    <row r="540" spans="1:10" ht="15.95" customHeight="1" x14ac:dyDescent="0.3">
      <c r="A540" s="74">
        <f t="shared" si="41"/>
        <v>4690</v>
      </c>
      <c r="B540" s="9" t="s">
        <v>556</v>
      </c>
      <c r="C540" s="66"/>
      <c r="D540" s="66"/>
      <c r="E540" s="16" t="s">
        <v>437</v>
      </c>
      <c r="F540" s="16">
        <v>3</v>
      </c>
      <c r="G540" s="16">
        <f>IF(OR(E540="U16", E540="S16"),1,IF(E540="TS",6,2))</f>
        <v>2</v>
      </c>
      <c r="H540" s="66">
        <v>1</v>
      </c>
      <c r="I540" s="105"/>
      <c r="J540" s="138"/>
    </row>
    <row r="541" spans="1:10" ht="15.95" customHeight="1" x14ac:dyDescent="0.3">
      <c r="A541" s="74">
        <f t="shared" si="41"/>
        <v>4692</v>
      </c>
      <c r="B541" s="9" t="s">
        <v>557</v>
      </c>
      <c r="C541" s="66"/>
      <c r="D541" s="66"/>
      <c r="E541" s="16" t="s">
        <v>437</v>
      </c>
      <c r="F541" s="16">
        <v>3</v>
      </c>
      <c r="G541" s="16">
        <f t="shared" si="40"/>
        <v>2</v>
      </c>
      <c r="H541" s="66">
        <v>1</v>
      </c>
      <c r="I541" s="105"/>
      <c r="J541" s="138"/>
    </row>
    <row r="542" spans="1:10" ht="15.95" customHeight="1" x14ac:dyDescent="0.3">
      <c r="A542" s="74">
        <f t="shared" si="41"/>
        <v>4694</v>
      </c>
      <c r="B542" s="9"/>
      <c r="C542" s="74"/>
      <c r="D542" s="74"/>
      <c r="E542" s="16" t="s">
        <v>114</v>
      </c>
      <c r="F542" s="16">
        <v>3</v>
      </c>
      <c r="G542" s="16">
        <f t="shared" ref="G542" si="42">IF(OR(E542="U16", E542="S16"),1,IF(E542="TS",6,2))</f>
        <v>1</v>
      </c>
      <c r="H542" s="74">
        <v>6</v>
      </c>
      <c r="I542" s="98"/>
      <c r="J542" s="77"/>
    </row>
    <row r="543" spans="1:10" customFormat="1" ht="16.5" x14ac:dyDescent="0.3">
      <c r="A543" s="122" t="s">
        <v>546</v>
      </c>
      <c r="B543" s="122"/>
      <c r="C543" s="122"/>
      <c r="D543" s="122"/>
      <c r="E543" s="122"/>
      <c r="F543" s="122"/>
      <c r="G543" s="122"/>
      <c r="H543" s="122"/>
      <c r="I543" s="104"/>
      <c r="J543" s="29"/>
    </row>
    <row r="544" spans="1:10" customFormat="1" ht="16.5" x14ac:dyDescent="0.3">
      <c r="A544" s="74">
        <f>A542+(G542*H542)</f>
        <v>4700</v>
      </c>
      <c r="B544" s="9" t="s">
        <v>889</v>
      </c>
      <c r="C544" s="66"/>
      <c r="D544" s="66"/>
      <c r="E544" s="16" t="s">
        <v>544</v>
      </c>
      <c r="F544" s="16">
        <v>3</v>
      </c>
      <c r="G544" s="16">
        <f t="shared" ref="G544:G573" si="43">IF(OR(E544="U16", E544="S16"),1,IF(E544="TS",6,2))</f>
        <v>2</v>
      </c>
      <c r="H544" s="66">
        <v>1</v>
      </c>
      <c r="I544" s="98"/>
      <c r="J544" s="29"/>
    </row>
    <row r="545" spans="1:10" customFormat="1" ht="16.5" x14ac:dyDescent="0.3">
      <c r="A545" s="66">
        <f t="shared" ref="A545:A592" si="44">A544+(G544*H544)</f>
        <v>4702</v>
      </c>
      <c r="B545" s="9" t="s">
        <v>154</v>
      </c>
      <c r="C545" s="66"/>
      <c r="D545" s="66"/>
      <c r="E545" s="16" t="s">
        <v>517</v>
      </c>
      <c r="F545" s="16">
        <v>3</v>
      </c>
      <c r="G545" s="16">
        <f t="shared" si="43"/>
        <v>2</v>
      </c>
      <c r="H545" s="66">
        <v>1</v>
      </c>
      <c r="I545" s="98"/>
      <c r="J545" s="29"/>
    </row>
    <row r="546" spans="1:10" customFormat="1" ht="16.5" x14ac:dyDescent="0.3">
      <c r="A546" s="66">
        <f t="shared" si="44"/>
        <v>4704</v>
      </c>
      <c r="B546" s="9" t="s">
        <v>155</v>
      </c>
      <c r="C546" s="9"/>
      <c r="D546" s="9"/>
      <c r="E546" s="16" t="s">
        <v>517</v>
      </c>
      <c r="F546" s="16">
        <v>3</v>
      </c>
      <c r="G546" s="16">
        <f t="shared" si="43"/>
        <v>2</v>
      </c>
      <c r="H546" s="66">
        <v>1</v>
      </c>
      <c r="I546" s="98"/>
      <c r="J546" s="29"/>
    </row>
    <row r="547" spans="1:10" customFormat="1" ht="16.5" x14ac:dyDescent="0.3">
      <c r="A547" s="66">
        <f t="shared" si="44"/>
        <v>4706</v>
      </c>
      <c r="B547" s="9" t="s">
        <v>156</v>
      </c>
      <c r="C547" s="9"/>
      <c r="D547" s="9"/>
      <c r="E547" s="16" t="s">
        <v>517</v>
      </c>
      <c r="F547" s="16">
        <v>3</v>
      </c>
      <c r="G547" s="16">
        <f t="shared" si="43"/>
        <v>2</v>
      </c>
      <c r="H547" s="66">
        <v>1</v>
      </c>
      <c r="I547" s="98"/>
      <c r="J547" s="29"/>
    </row>
    <row r="548" spans="1:10" customFormat="1" ht="16.5" x14ac:dyDescent="0.3">
      <c r="A548" s="66">
        <f t="shared" si="44"/>
        <v>4708</v>
      </c>
      <c r="B548" s="9" t="s">
        <v>890</v>
      </c>
      <c r="C548" s="9"/>
      <c r="D548" s="9"/>
      <c r="E548" s="16" t="s">
        <v>517</v>
      </c>
      <c r="F548" s="16">
        <v>3</v>
      </c>
      <c r="G548" s="16">
        <f t="shared" si="43"/>
        <v>2</v>
      </c>
      <c r="H548" s="66">
        <v>1</v>
      </c>
      <c r="I548" s="98"/>
      <c r="J548" s="29"/>
    </row>
    <row r="549" spans="1:10" customFormat="1" ht="16.5" x14ac:dyDescent="0.3">
      <c r="A549" s="66">
        <f t="shared" si="44"/>
        <v>4710</v>
      </c>
      <c r="B549" s="9" t="s">
        <v>891</v>
      </c>
      <c r="C549" s="9"/>
      <c r="D549" s="9"/>
      <c r="E549" s="16" t="s">
        <v>517</v>
      </c>
      <c r="F549" s="16">
        <v>3</v>
      </c>
      <c r="G549" s="16">
        <f t="shared" si="43"/>
        <v>2</v>
      </c>
      <c r="H549" s="66">
        <v>1</v>
      </c>
      <c r="I549" s="98"/>
      <c r="J549" s="29"/>
    </row>
    <row r="550" spans="1:10" customFormat="1" ht="16.5" x14ac:dyDescent="0.3">
      <c r="A550" s="66">
        <f t="shared" si="44"/>
        <v>4712</v>
      </c>
      <c r="B550" s="9" t="s">
        <v>892</v>
      </c>
      <c r="C550" s="9"/>
      <c r="D550" s="9"/>
      <c r="E550" s="16" t="s">
        <v>517</v>
      </c>
      <c r="F550" s="16">
        <v>3</v>
      </c>
      <c r="G550" s="16">
        <f t="shared" si="43"/>
        <v>2</v>
      </c>
      <c r="H550" s="66">
        <v>1</v>
      </c>
      <c r="I550" s="98"/>
      <c r="J550" s="29"/>
    </row>
    <row r="551" spans="1:10" ht="15.95" customHeight="1" x14ac:dyDescent="0.3">
      <c r="A551" s="66">
        <f t="shared" si="44"/>
        <v>4714</v>
      </c>
      <c r="B551" s="9" t="s">
        <v>893</v>
      </c>
      <c r="C551" s="9"/>
      <c r="D551" s="9"/>
      <c r="E551" s="16" t="s">
        <v>517</v>
      </c>
      <c r="F551" s="16">
        <v>3</v>
      </c>
      <c r="G551" s="16">
        <f>IF(OR(E551="U16", E551="S16"),1,IF(E551="TS",6,2))</f>
        <v>2</v>
      </c>
      <c r="H551" s="66">
        <v>1</v>
      </c>
      <c r="I551" s="98"/>
    </row>
    <row r="552" spans="1:10" customFormat="1" ht="16.5" x14ac:dyDescent="0.3">
      <c r="A552" s="66">
        <f t="shared" si="44"/>
        <v>4716</v>
      </c>
      <c r="B552" s="9" t="s">
        <v>894</v>
      </c>
      <c r="C552" s="9"/>
      <c r="D552" s="9"/>
      <c r="E552" s="16" t="s">
        <v>517</v>
      </c>
      <c r="F552" s="16">
        <v>3</v>
      </c>
      <c r="G552" s="16">
        <f>IF(OR(E552="U16", E552="S16"),1,IF(E552="TS",6,2))</f>
        <v>2</v>
      </c>
      <c r="H552" s="66">
        <v>1</v>
      </c>
      <c r="I552" s="98"/>
      <c r="J552" s="29"/>
    </row>
    <row r="553" spans="1:10" customFormat="1" ht="16.5" customHeight="1" x14ac:dyDescent="0.3">
      <c r="A553" s="66">
        <f t="shared" si="44"/>
        <v>4718</v>
      </c>
      <c r="B553" s="9" t="s">
        <v>895</v>
      </c>
      <c r="C553" s="9"/>
      <c r="D553" s="9"/>
      <c r="E553" s="16" t="s">
        <v>517</v>
      </c>
      <c r="F553" s="16">
        <v>3</v>
      </c>
      <c r="G553" s="16">
        <f>IF(OR(E553="U16", E553="S16"),1,IF(E553="TS",6,2))</f>
        <v>2</v>
      </c>
      <c r="H553" s="66">
        <v>1</v>
      </c>
      <c r="I553" s="98"/>
      <c r="J553" s="29"/>
    </row>
    <row r="554" spans="1:10" customFormat="1" ht="16.5" x14ac:dyDescent="0.3">
      <c r="A554" s="66">
        <f t="shared" si="44"/>
        <v>4720</v>
      </c>
      <c r="B554" s="9" t="s">
        <v>896</v>
      </c>
      <c r="C554" s="9"/>
      <c r="D554" s="9"/>
      <c r="E554" s="16" t="s">
        <v>517</v>
      </c>
      <c r="F554" s="16">
        <v>3</v>
      </c>
      <c r="G554" s="16">
        <f t="shared" si="43"/>
        <v>2</v>
      </c>
      <c r="H554" s="66">
        <v>1</v>
      </c>
      <c r="I554" s="98"/>
      <c r="J554" s="29"/>
    </row>
    <row r="555" spans="1:10" customFormat="1" ht="16.5" x14ac:dyDescent="0.3">
      <c r="A555" s="66">
        <f t="shared" si="44"/>
        <v>4722</v>
      </c>
      <c r="B555" s="9" t="s">
        <v>897</v>
      </c>
      <c r="C555" s="9"/>
      <c r="D555" s="9"/>
      <c r="E555" s="16" t="s">
        <v>517</v>
      </c>
      <c r="F555" s="16">
        <v>3</v>
      </c>
      <c r="G555" s="16">
        <f t="shared" si="43"/>
        <v>2</v>
      </c>
      <c r="H555" s="66">
        <v>1</v>
      </c>
      <c r="I555" s="98"/>
      <c r="J555" s="10"/>
    </row>
    <row r="556" spans="1:10" customFormat="1" ht="16.5" x14ac:dyDescent="0.3">
      <c r="A556" s="66">
        <f t="shared" si="44"/>
        <v>4724</v>
      </c>
      <c r="B556" s="9" t="s">
        <v>0</v>
      </c>
      <c r="C556" s="9"/>
      <c r="D556" s="9"/>
      <c r="E556" s="16" t="s">
        <v>517</v>
      </c>
      <c r="F556" s="16">
        <v>3</v>
      </c>
      <c r="G556" s="16">
        <f t="shared" si="43"/>
        <v>2</v>
      </c>
      <c r="H556" s="66">
        <v>1</v>
      </c>
      <c r="I556" s="98"/>
      <c r="J556" s="10"/>
    </row>
    <row r="557" spans="1:10" customFormat="1" ht="16.5" x14ac:dyDescent="0.3">
      <c r="A557" s="66">
        <f t="shared" si="44"/>
        <v>4726</v>
      </c>
      <c r="B557" s="9" t="s">
        <v>1</v>
      </c>
      <c r="C557" s="9"/>
      <c r="D557" s="9"/>
      <c r="E557" s="16" t="s">
        <v>517</v>
      </c>
      <c r="F557" s="16">
        <v>3</v>
      </c>
      <c r="G557" s="16">
        <f t="shared" si="43"/>
        <v>2</v>
      </c>
      <c r="H557" s="66">
        <v>1</v>
      </c>
      <c r="I557" s="98"/>
      <c r="J557" s="29"/>
    </row>
    <row r="558" spans="1:10" customFormat="1" ht="16.5" x14ac:dyDescent="0.3">
      <c r="A558" s="66">
        <f t="shared" si="44"/>
        <v>4728</v>
      </c>
      <c r="B558" s="9" t="s">
        <v>2</v>
      </c>
      <c r="C558" s="9"/>
      <c r="D558" s="9"/>
      <c r="E558" s="16" t="s">
        <v>517</v>
      </c>
      <c r="F558" s="16">
        <v>3</v>
      </c>
      <c r="G558" s="16">
        <f t="shared" si="43"/>
        <v>2</v>
      </c>
      <c r="H558" s="66">
        <v>1</v>
      </c>
      <c r="I558" s="98"/>
      <c r="J558" s="29"/>
    </row>
    <row r="559" spans="1:10" customFormat="1" ht="16.5" x14ac:dyDescent="0.3">
      <c r="A559" s="66">
        <f t="shared" si="44"/>
        <v>4730</v>
      </c>
      <c r="B559" s="9" t="s">
        <v>122</v>
      </c>
      <c r="C559" s="9"/>
      <c r="D559" s="9"/>
      <c r="E559" s="16" t="s">
        <v>517</v>
      </c>
      <c r="F559" s="16">
        <v>3</v>
      </c>
      <c r="G559" s="16">
        <f t="shared" si="43"/>
        <v>2</v>
      </c>
      <c r="H559" s="66">
        <v>1</v>
      </c>
      <c r="I559" s="98"/>
      <c r="J559" s="29"/>
    </row>
    <row r="560" spans="1:10" customFormat="1" ht="16.5" x14ac:dyDescent="0.3">
      <c r="A560" s="66">
        <f t="shared" si="44"/>
        <v>4732</v>
      </c>
      <c r="B560" s="9" t="s">
        <v>898</v>
      </c>
      <c r="C560" s="9"/>
      <c r="D560" s="9"/>
      <c r="E560" s="16" t="s">
        <v>517</v>
      </c>
      <c r="F560" s="16">
        <v>3</v>
      </c>
      <c r="G560" s="16">
        <f t="shared" si="43"/>
        <v>2</v>
      </c>
      <c r="H560" s="66">
        <v>1</v>
      </c>
      <c r="I560" s="98"/>
      <c r="J560" s="29"/>
    </row>
    <row r="561" spans="1:10" customFormat="1" ht="16.5" x14ac:dyDescent="0.3">
      <c r="A561" s="66">
        <f t="shared" si="44"/>
        <v>4734</v>
      </c>
      <c r="B561" s="9" t="s">
        <v>899</v>
      </c>
      <c r="C561" s="9"/>
      <c r="D561" s="9"/>
      <c r="E561" s="16" t="s">
        <v>517</v>
      </c>
      <c r="F561" s="16">
        <v>3</v>
      </c>
      <c r="G561" s="16">
        <f t="shared" si="43"/>
        <v>2</v>
      </c>
      <c r="H561" s="66">
        <v>1</v>
      </c>
      <c r="I561" s="98"/>
      <c r="J561" s="29"/>
    </row>
    <row r="562" spans="1:10" customFormat="1" ht="16.5" x14ac:dyDescent="0.3">
      <c r="A562" s="66">
        <f t="shared" si="44"/>
        <v>4736</v>
      </c>
      <c r="B562" s="9" t="s">
        <v>900</v>
      </c>
      <c r="C562" s="9"/>
      <c r="D562" s="9"/>
      <c r="E562" s="16" t="s">
        <v>517</v>
      </c>
      <c r="F562" s="16">
        <v>3</v>
      </c>
      <c r="G562" s="16">
        <f t="shared" si="43"/>
        <v>2</v>
      </c>
      <c r="H562" s="66">
        <v>1</v>
      </c>
      <c r="I562" s="98"/>
      <c r="J562" s="29"/>
    </row>
    <row r="563" spans="1:10" ht="15.95" customHeight="1" x14ac:dyDescent="0.3">
      <c r="A563" s="66">
        <f t="shared" si="44"/>
        <v>4738</v>
      </c>
      <c r="B563" s="9" t="s">
        <v>901</v>
      </c>
      <c r="C563" s="9"/>
      <c r="D563" s="9"/>
      <c r="E563" s="16" t="s">
        <v>517</v>
      </c>
      <c r="F563" s="16">
        <v>3</v>
      </c>
      <c r="G563" s="16">
        <f t="shared" si="43"/>
        <v>2</v>
      </c>
      <c r="H563" s="66">
        <v>1</v>
      </c>
      <c r="I563" s="98"/>
    </row>
    <row r="564" spans="1:10" ht="15.95" customHeight="1" x14ac:dyDescent="0.3">
      <c r="A564" s="66">
        <f t="shared" si="44"/>
        <v>4740</v>
      </c>
      <c r="B564" s="9" t="s">
        <v>902</v>
      </c>
      <c r="C564" s="9"/>
      <c r="D564" s="9"/>
      <c r="E564" s="16" t="s">
        <v>517</v>
      </c>
      <c r="F564" s="16">
        <v>3</v>
      </c>
      <c r="G564" s="16">
        <f t="shared" si="43"/>
        <v>2</v>
      </c>
      <c r="H564" s="66">
        <v>1</v>
      </c>
      <c r="I564" s="98"/>
    </row>
    <row r="565" spans="1:10" ht="15.95" customHeight="1" x14ac:dyDescent="0.3">
      <c r="A565" s="66">
        <f t="shared" si="44"/>
        <v>4742</v>
      </c>
      <c r="B565" s="9" t="s">
        <v>903</v>
      </c>
      <c r="C565" s="66"/>
      <c r="D565" s="66"/>
      <c r="E565" s="16" t="s">
        <v>517</v>
      </c>
      <c r="F565" s="16">
        <v>3</v>
      </c>
      <c r="G565" s="16">
        <f t="shared" si="43"/>
        <v>2</v>
      </c>
      <c r="H565" s="66">
        <v>1</v>
      </c>
      <c r="I565" s="98"/>
    </row>
    <row r="566" spans="1:10" customFormat="1" ht="16.5" x14ac:dyDescent="0.3">
      <c r="A566" s="66">
        <f t="shared" si="44"/>
        <v>4744</v>
      </c>
      <c r="B566" s="9" t="s">
        <v>904</v>
      </c>
      <c r="C566" s="66"/>
      <c r="D566" s="66"/>
      <c r="E566" s="16" t="s">
        <v>517</v>
      </c>
      <c r="F566" s="16">
        <v>3</v>
      </c>
      <c r="G566" s="16">
        <f t="shared" si="43"/>
        <v>2</v>
      </c>
      <c r="H566" s="66">
        <v>1</v>
      </c>
      <c r="I566" s="98"/>
      <c r="J566" s="29"/>
    </row>
    <row r="567" spans="1:10" customFormat="1" ht="16.5" customHeight="1" x14ac:dyDescent="0.3">
      <c r="A567" s="66">
        <f t="shared" si="44"/>
        <v>4746</v>
      </c>
      <c r="B567" s="9" t="s">
        <v>905</v>
      </c>
      <c r="C567" s="66"/>
      <c r="D567" s="66"/>
      <c r="E567" s="16" t="s">
        <v>517</v>
      </c>
      <c r="F567" s="16">
        <v>3</v>
      </c>
      <c r="G567" s="16">
        <f t="shared" si="43"/>
        <v>2</v>
      </c>
      <c r="H567" s="66">
        <v>1</v>
      </c>
      <c r="I567" s="98"/>
      <c r="J567" s="29"/>
    </row>
    <row r="568" spans="1:10" customFormat="1" ht="16.5" x14ac:dyDescent="0.3">
      <c r="A568" s="66">
        <f t="shared" si="44"/>
        <v>4748</v>
      </c>
      <c r="B568" s="9" t="s">
        <v>906</v>
      </c>
      <c r="C568" s="66"/>
      <c r="D568" s="66"/>
      <c r="E568" s="16" t="s">
        <v>517</v>
      </c>
      <c r="F568" s="16">
        <v>3</v>
      </c>
      <c r="G568" s="16">
        <f t="shared" si="43"/>
        <v>2</v>
      </c>
      <c r="H568" s="66">
        <v>1</v>
      </c>
      <c r="I568" s="98"/>
      <c r="J568" s="29"/>
    </row>
    <row r="569" spans="1:10" customFormat="1" ht="16.5" x14ac:dyDescent="0.3">
      <c r="A569" s="66">
        <f t="shared" si="44"/>
        <v>4750</v>
      </c>
      <c r="B569" s="9" t="s">
        <v>907</v>
      </c>
      <c r="C569" s="66"/>
      <c r="D569" s="66"/>
      <c r="E569" s="16" t="s">
        <v>517</v>
      </c>
      <c r="F569" s="16">
        <v>3</v>
      </c>
      <c r="G569" s="16">
        <f t="shared" si="43"/>
        <v>2</v>
      </c>
      <c r="H569" s="66">
        <v>1</v>
      </c>
      <c r="I569" s="98"/>
      <c r="J569" s="29"/>
    </row>
    <row r="570" spans="1:10" customFormat="1" ht="16.5" x14ac:dyDescent="0.3">
      <c r="A570" s="66">
        <f t="shared" si="44"/>
        <v>4752</v>
      </c>
      <c r="B570" s="9" t="s">
        <v>908</v>
      </c>
      <c r="C570" s="66"/>
      <c r="D570" s="66"/>
      <c r="E570" s="16" t="s">
        <v>517</v>
      </c>
      <c r="F570" s="16">
        <v>3</v>
      </c>
      <c r="G570" s="16">
        <f t="shared" si="43"/>
        <v>2</v>
      </c>
      <c r="H570" s="66">
        <v>1</v>
      </c>
      <c r="I570" s="98"/>
      <c r="J570" s="29"/>
    </row>
    <row r="571" spans="1:10" customFormat="1" ht="16.5" x14ac:dyDescent="0.3">
      <c r="A571" s="66">
        <f t="shared" si="44"/>
        <v>4754</v>
      </c>
      <c r="B571" s="9" t="s">
        <v>909</v>
      </c>
      <c r="C571" s="66"/>
      <c r="D571" s="66"/>
      <c r="E571" s="16" t="s">
        <v>517</v>
      </c>
      <c r="F571" s="16">
        <v>3</v>
      </c>
      <c r="G571" s="16">
        <f t="shared" si="43"/>
        <v>2</v>
      </c>
      <c r="H571" s="66">
        <v>1</v>
      </c>
      <c r="I571" s="98"/>
      <c r="J571" s="29"/>
    </row>
    <row r="572" spans="1:10" ht="15.95" customHeight="1" x14ac:dyDescent="0.3">
      <c r="A572" s="66">
        <f t="shared" si="44"/>
        <v>4756</v>
      </c>
      <c r="B572" s="9" t="s">
        <v>910</v>
      </c>
      <c r="C572" s="66"/>
      <c r="D572" s="66"/>
      <c r="E572" s="16" t="s">
        <v>517</v>
      </c>
      <c r="F572" s="16">
        <v>3</v>
      </c>
      <c r="G572" s="16">
        <f t="shared" si="43"/>
        <v>2</v>
      </c>
      <c r="H572" s="66">
        <v>1</v>
      </c>
      <c r="I572" s="98"/>
    </row>
    <row r="573" spans="1:10" ht="15.95" customHeight="1" x14ac:dyDescent="0.3">
      <c r="A573" s="66">
        <f t="shared" si="44"/>
        <v>4758</v>
      </c>
      <c r="B573" s="9" t="s">
        <v>911</v>
      </c>
      <c r="C573" s="66"/>
      <c r="D573" s="66"/>
      <c r="E573" s="16" t="s">
        <v>517</v>
      </c>
      <c r="F573" s="16">
        <v>3</v>
      </c>
      <c r="G573" s="16">
        <f t="shared" si="43"/>
        <v>2</v>
      </c>
      <c r="H573" s="66">
        <v>1</v>
      </c>
      <c r="I573" s="98"/>
    </row>
    <row r="574" spans="1:10" ht="15.95" customHeight="1" x14ac:dyDescent="0.3">
      <c r="A574" s="66">
        <f t="shared" si="44"/>
        <v>4760</v>
      </c>
      <c r="B574" s="9" t="s">
        <v>912</v>
      </c>
      <c r="C574" s="66"/>
      <c r="D574" s="66"/>
      <c r="E574" s="16" t="s">
        <v>517</v>
      </c>
      <c r="F574" s="16">
        <v>3</v>
      </c>
      <c r="G574" s="16">
        <f t="shared" ref="G574:G591" si="45">IF(OR(E574="U16", E574="S16"),1,IF(E574="TS",6,2))</f>
        <v>2</v>
      </c>
      <c r="H574" s="66">
        <v>1</v>
      </c>
      <c r="I574" s="98"/>
    </row>
    <row r="575" spans="1:10" customFormat="1" ht="16.5" x14ac:dyDescent="0.3">
      <c r="A575" s="66">
        <f t="shared" si="44"/>
        <v>4762</v>
      </c>
      <c r="B575" s="9" t="s">
        <v>913</v>
      </c>
      <c r="C575" s="9"/>
      <c r="D575" s="9"/>
      <c r="E575" s="16" t="s">
        <v>517</v>
      </c>
      <c r="F575" s="16">
        <v>3</v>
      </c>
      <c r="G575" s="16">
        <f t="shared" si="45"/>
        <v>2</v>
      </c>
      <c r="H575" s="66">
        <v>1</v>
      </c>
      <c r="I575" s="98"/>
      <c r="J575" s="29"/>
    </row>
    <row r="576" spans="1:10" customFormat="1" ht="16.5" customHeight="1" x14ac:dyDescent="0.3">
      <c r="A576" s="66">
        <f t="shared" si="44"/>
        <v>4764</v>
      </c>
      <c r="B576" s="9" t="s">
        <v>132</v>
      </c>
      <c r="C576" s="9"/>
      <c r="D576" s="9"/>
      <c r="E576" s="16" t="s">
        <v>517</v>
      </c>
      <c r="F576" s="16">
        <v>3</v>
      </c>
      <c r="G576" s="16">
        <f t="shared" si="45"/>
        <v>2</v>
      </c>
      <c r="H576" s="66">
        <v>1</v>
      </c>
      <c r="I576" s="98"/>
      <c r="J576" s="29"/>
    </row>
    <row r="577" spans="1:10" customFormat="1" ht="16.5" x14ac:dyDescent="0.3">
      <c r="A577" s="66">
        <f t="shared" si="44"/>
        <v>4766</v>
      </c>
      <c r="B577" s="9" t="s">
        <v>133</v>
      </c>
      <c r="C577" s="9"/>
      <c r="D577" s="9"/>
      <c r="E577" s="16" t="s">
        <v>517</v>
      </c>
      <c r="F577" s="16">
        <v>3</v>
      </c>
      <c r="G577" s="16">
        <f t="shared" si="45"/>
        <v>2</v>
      </c>
      <c r="H577" s="66">
        <v>1</v>
      </c>
      <c r="I577" s="98"/>
      <c r="J577" s="29"/>
    </row>
    <row r="578" spans="1:10" customFormat="1" ht="16.5" x14ac:dyDescent="0.3">
      <c r="A578" s="66">
        <f t="shared" si="44"/>
        <v>4768</v>
      </c>
      <c r="B578" s="9" t="s">
        <v>914</v>
      </c>
      <c r="C578" s="9"/>
      <c r="D578" s="9"/>
      <c r="E578" s="16" t="s">
        <v>517</v>
      </c>
      <c r="F578" s="16">
        <v>3</v>
      </c>
      <c r="G578" s="16">
        <f t="shared" si="45"/>
        <v>2</v>
      </c>
      <c r="H578" s="66">
        <v>1</v>
      </c>
      <c r="I578" s="98"/>
      <c r="J578" s="29"/>
    </row>
    <row r="579" spans="1:10" customFormat="1" ht="16.5" x14ac:dyDescent="0.3">
      <c r="A579" s="66">
        <f t="shared" si="44"/>
        <v>4770</v>
      </c>
      <c r="B579" s="9" t="s">
        <v>915</v>
      </c>
      <c r="C579" s="35"/>
      <c r="D579" s="66"/>
      <c r="E579" s="16" t="s">
        <v>517</v>
      </c>
      <c r="F579" s="16">
        <v>3</v>
      </c>
      <c r="G579" s="16">
        <f t="shared" si="45"/>
        <v>2</v>
      </c>
      <c r="H579" s="66">
        <v>1</v>
      </c>
      <c r="I579" s="98"/>
      <c r="J579" s="29"/>
    </row>
    <row r="580" spans="1:10" customFormat="1" ht="16.5" x14ac:dyDescent="0.3">
      <c r="A580" s="66">
        <f t="shared" si="44"/>
        <v>4772</v>
      </c>
      <c r="B580" s="9" t="s">
        <v>916</v>
      </c>
      <c r="C580" s="35"/>
      <c r="D580" s="66"/>
      <c r="E580" s="16" t="s">
        <v>517</v>
      </c>
      <c r="F580" s="16">
        <v>3</v>
      </c>
      <c r="G580" s="16">
        <f t="shared" si="45"/>
        <v>2</v>
      </c>
      <c r="H580" s="66">
        <v>1</v>
      </c>
      <c r="I580" s="98"/>
      <c r="J580" s="29"/>
    </row>
    <row r="581" spans="1:10" customFormat="1" ht="16.5" x14ac:dyDescent="0.3">
      <c r="A581" s="66">
        <f t="shared" si="44"/>
        <v>4774</v>
      </c>
      <c r="B581" s="9" t="s">
        <v>917</v>
      </c>
      <c r="C581" s="35"/>
      <c r="D581" s="66"/>
      <c r="E581" s="16" t="s">
        <v>517</v>
      </c>
      <c r="F581" s="16">
        <v>3</v>
      </c>
      <c r="G581" s="16">
        <f t="shared" si="45"/>
        <v>2</v>
      </c>
      <c r="H581" s="66">
        <v>1</v>
      </c>
      <c r="I581" s="98"/>
      <c r="J581" s="29"/>
    </row>
    <row r="582" spans="1:10" ht="16.5" customHeight="1" x14ac:dyDescent="0.3">
      <c r="A582" s="66">
        <f t="shared" si="44"/>
        <v>4776</v>
      </c>
      <c r="B582" s="9" t="s">
        <v>918</v>
      </c>
      <c r="C582" s="35"/>
      <c r="D582" s="66"/>
      <c r="E582" s="16" t="s">
        <v>517</v>
      </c>
      <c r="F582" s="16">
        <v>3</v>
      </c>
      <c r="G582" s="16">
        <f t="shared" si="45"/>
        <v>2</v>
      </c>
      <c r="H582" s="66">
        <v>1</v>
      </c>
      <c r="I582" s="98"/>
      <c r="J582" s="10" t="s">
        <v>560</v>
      </c>
    </row>
    <row r="583" spans="1:10" ht="16.5" customHeight="1" x14ac:dyDescent="0.3">
      <c r="A583" s="66">
        <f t="shared" si="44"/>
        <v>4778</v>
      </c>
      <c r="B583" s="9" t="s">
        <v>94</v>
      </c>
      <c r="C583" s="35"/>
      <c r="D583" s="66"/>
      <c r="E583" s="16" t="s">
        <v>114</v>
      </c>
      <c r="F583" s="16">
        <v>3</v>
      </c>
      <c r="G583" s="16">
        <f t="shared" si="45"/>
        <v>1</v>
      </c>
      <c r="H583" s="66">
        <v>24</v>
      </c>
      <c r="I583" s="98"/>
    </row>
    <row r="584" spans="1:10" ht="16.5" customHeight="1" x14ac:dyDescent="0.3">
      <c r="A584" s="66">
        <f t="shared" si="44"/>
        <v>4802</v>
      </c>
      <c r="B584" s="9" t="s">
        <v>95</v>
      </c>
      <c r="C584" s="35"/>
      <c r="D584" s="66"/>
      <c r="E584" s="16" t="s">
        <v>114</v>
      </c>
      <c r="F584" s="16">
        <v>3</v>
      </c>
      <c r="G584" s="16">
        <f t="shared" si="45"/>
        <v>1</v>
      </c>
      <c r="H584" s="66">
        <v>24</v>
      </c>
      <c r="I584" s="98"/>
      <c r="J584" s="10" t="s">
        <v>561</v>
      </c>
    </row>
    <row r="585" spans="1:10" ht="16.5" customHeight="1" x14ac:dyDescent="0.3">
      <c r="A585" s="66">
        <f t="shared" si="44"/>
        <v>4826</v>
      </c>
      <c r="B585" s="9" t="s">
        <v>96</v>
      </c>
      <c r="C585" s="35"/>
      <c r="D585" s="66"/>
      <c r="E585" s="16" t="s">
        <v>114</v>
      </c>
      <c r="F585" s="16">
        <v>3</v>
      </c>
      <c r="G585" s="16">
        <f t="shared" si="45"/>
        <v>1</v>
      </c>
      <c r="H585" s="66">
        <v>24</v>
      </c>
      <c r="I585" s="98"/>
    </row>
    <row r="586" spans="1:10" ht="16.5" customHeight="1" x14ac:dyDescent="0.3">
      <c r="A586" s="66">
        <f t="shared" si="44"/>
        <v>4850</v>
      </c>
      <c r="B586" s="9" t="s">
        <v>97</v>
      </c>
      <c r="C586" s="35"/>
      <c r="D586" s="66"/>
      <c r="E586" s="16" t="s">
        <v>114</v>
      </c>
      <c r="F586" s="16">
        <v>3</v>
      </c>
      <c r="G586" s="16">
        <f t="shared" si="45"/>
        <v>1</v>
      </c>
      <c r="H586" s="66">
        <v>24</v>
      </c>
      <c r="I586" s="98"/>
    </row>
    <row r="587" spans="1:10" ht="16.5" customHeight="1" x14ac:dyDescent="0.3">
      <c r="A587" s="66">
        <f t="shared" si="44"/>
        <v>4874</v>
      </c>
      <c r="B587" s="9" t="s">
        <v>98</v>
      </c>
      <c r="C587" s="35"/>
      <c r="D587" s="66"/>
      <c r="E587" s="16" t="s">
        <v>114</v>
      </c>
      <c r="F587" s="16">
        <v>3</v>
      </c>
      <c r="G587" s="16">
        <f t="shared" si="45"/>
        <v>1</v>
      </c>
      <c r="H587" s="66">
        <v>24</v>
      </c>
      <c r="I587" s="98"/>
    </row>
    <row r="588" spans="1:10" ht="16.5" customHeight="1" x14ac:dyDescent="0.3">
      <c r="A588" s="66">
        <f t="shared" si="44"/>
        <v>4898</v>
      </c>
      <c r="B588" s="9" t="s">
        <v>99</v>
      </c>
      <c r="C588" s="35"/>
      <c r="D588" s="66"/>
      <c r="E588" s="16" t="s">
        <v>114</v>
      </c>
      <c r="F588" s="16">
        <v>3</v>
      </c>
      <c r="G588" s="16">
        <f t="shared" si="45"/>
        <v>1</v>
      </c>
      <c r="H588" s="66">
        <v>24</v>
      </c>
      <c r="I588" s="98"/>
    </row>
    <row r="589" spans="1:10" ht="16.5" customHeight="1" x14ac:dyDescent="0.3">
      <c r="A589" s="66">
        <f t="shared" si="44"/>
        <v>4922</v>
      </c>
      <c r="B589" s="9" t="s">
        <v>100</v>
      </c>
      <c r="C589" s="35"/>
      <c r="D589" s="66"/>
      <c r="E589" s="16" t="s">
        <v>114</v>
      </c>
      <c r="F589" s="16">
        <v>3</v>
      </c>
      <c r="G589" s="16">
        <f t="shared" si="45"/>
        <v>1</v>
      </c>
      <c r="H589" s="66">
        <v>24</v>
      </c>
      <c r="I589" s="98"/>
    </row>
    <row r="590" spans="1:10" ht="16.5" customHeight="1" x14ac:dyDescent="0.3">
      <c r="A590" s="66">
        <f t="shared" si="44"/>
        <v>4946</v>
      </c>
      <c r="B590" s="9" t="s">
        <v>101</v>
      </c>
      <c r="C590" s="35"/>
      <c r="D590" s="66"/>
      <c r="E590" s="16" t="s">
        <v>114</v>
      </c>
      <c r="F590" s="16">
        <v>3</v>
      </c>
      <c r="G590" s="16">
        <f t="shared" si="45"/>
        <v>1</v>
      </c>
      <c r="H590" s="66">
        <v>24</v>
      </c>
      <c r="I590" s="98"/>
    </row>
    <row r="591" spans="1:10" ht="16.5" customHeight="1" x14ac:dyDescent="0.3">
      <c r="A591" s="66">
        <f t="shared" si="44"/>
        <v>4970</v>
      </c>
      <c r="B591" s="9" t="s">
        <v>102</v>
      </c>
      <c r="C591" s="35"/>
      <c r="D591" s="66"/>
      <c r="E591" s="16" t="s">
        <v>114</v>
      </c>
      <c r="F591" s="16">
        <v>3</v>
      </c>
      <c r="G591" s="16">
        <f t="shared" si="45"/>
        <v>1</v>
      </c>
      <c r="H591" s="66">
        <v>24</v>
      </c>
      <c r="I591" s="98"/>
    </row>
    <row r="592" spans="1:10" ht="16.5" customHeight="1" x14ac:dyDescent="0.3">
      <c r="A592" s="66">
        <f t="shared" si="44"/>
        <v>4994</v>
      </c>
      <c r="B592" s="9" t="s">
        <v>545</v>
      </c>
      <c r="C592" s="66"/>
      <c r="D592" s="66"/>
      <c r="E592" s="16" t="s">
        <v>246</v>
      </c>
      <c r="F592" s="16">
        <v>3</v>
      </c>
      <c r="G592" s="16">
        <f>IF(OR(E592="U16", E592="S16"),1,IF(E592="TS",6,2))</f>
        <v>1</v>
      </c>
      <c r="H592" s="66">
        <v>6</v>
      </c>
      <c r="I592" s="98"/>
    </row>
    <row r="593" spans="1:9" ht="16.5" customHeight="1" x14ac:dyDescent="0.3">
      <c r="A593" s="122" t="s">
        <v>559</v>
      </c>
      <c r="B593" s="122"/>
      <c r="C593" s="122"/>
      <c r="D593" s="122"/>
      <c r="E593" s="122"/>
      <c r="F593" s="122"/>
      <c r="G593" s="122"/>
      <c r="H593" s="122"/>
      <c r="I593" s="104"/>
    </row>
    <row r="594" spans="1:9" ht="16.5" customHeight="1" x14ac:dyDescent="0.3">
      <c r="A594" s="73">
        <f>A592+(G592*H592)</f>
        <v>5000</v>
      </c>
      <c r="B594" s="59" t="s">
        <v>90</v>
      </c>
      <c r="C594" s="73"/>
      <c r="D594" s="73"/>
      <c r="E594" s="73" t="s">
        <v>544</v>
      </c>
      <c r="F594" s="73">
        <v>3</v>
      </c>
      <c r="G594" s="73">
        <f t="shared" ref="G594:G601" si="46">IF(OR(E594="U16", E594="S16"),1,IF(E594="TS",6,2))</f>
        <v>2</v>
      </c>
      <c r="H594" s="73">
        <v>1</v>
      </c>
      <c r="I594" s="100"/>
    </row>
    <row r="595" spans="1:9" ht="16.5" customHeight="1" x14ac:dyDescent="0.3">
      <c r="A595" s="73">
        <f t="shared" ref="A595:A651" si="47">A594+(G594*H594)</f>
        <v>5002</v>
      </c>
      <c r="B595" s="59" t="s">
        <v>919</v>
      </c>
      <c r="C595" s="73"/>
      <c r="D595" s="73"/>
      <c r="E595" s="73" t="s">
        <v>58</v>
      </c>
      <c r="F595" s="73">
        <v>3</v>
      </c>
      <c r="G595" s="73">
        <f>IF(OR(E595="U16", E595="S16"),1,IF(E595="TS",6,2))</f>
        <v>2</v>
      </c>
      <c r="H595" s="73">
        <v>1</v>
      </c>
      <c r="I595" s="100"/>
    </row>
    <row r="596" spans="1:9" ht="16.5" customHeight="1" x14ac:dyDescent="0.3">
      <c r="A596" s="73">
        <f t="shared" si="47"/>
        <v>5004</v>
      </c>
      <c r="B596" s="59" t="s">
        <v>920</v>
      </c>
      <c r="C596" s="73"/>
      <c r="D596" s="73"/>
      <c r="E596" s="73" t="s">
        <v>58</v>
      </c>
      <c r="F596" s="73">
        <v>3</v>
      </c>
      <c r="G596" s="73">
        <f t="shared" si="46"/>
        <v>2</v>
      </c>
      <c r="H596" s="73">
        <v>1</v>
      </c>
      <c r="I596" s="100"/>
    </row>
    <row r="597" spans="1:9" ht="16.5" customHeight="1" x14ac:dyDescent="0.3">
      <c r="A597" s="73">
        <f t="shared" si="47"/>
        <v>5006</v>
      </c>
      <c r="B597" s="59" t="s">
        <v>921</v>
      </c>
      <c r="C597" s="59"/>
      <c r="D597" s="59"/>
      <c r="E597" s="73" t="s">
        <v>58</v>
      </c>
      <c r="F597" s="73">
        <v>3</v>
      </c>
      <c r="G597" s="73">
        <f t="shared" si="46"/>
        <v>2</v>
      </c>
      <c r="H597" s="73">
        <v>1</v>
      </c>
      <c r="I597" s="100"/>
    </row>
    <row r="598" spans="1:9" ht="16.5" customHeight="1" x14ac:dyDescent="0.3">
      <c r="A598" s="73">
        <f t="shared" si="47"/>
        <v>5008</v>
      </c>
      <c r="B598" s="59" t="s">
        <v>922</v>
      </c>
      <c r="C598" s="59"/>
      <c r="D598" s="59"/>
      <c r="E598" s="73" t="s">
        <v>58</v>
      </c>
      <c r="F598" s="73">
        <v>3</v>
      </c>
      <c r="G598" s="73">
        <f t="shared" si="46"/>
        <v>2</v>
      </c>
      <c r="H598" s="73">
        <v>1</v>
      </c>
      <c r="I598" s="100"/>
    </row>
    <row r="599" spans="1:9" ht="16.5" customHeight="1" x14ac:dyDescent="0.3">
      <c r="A599" s="73">
        <f t="shared" si="47"/>
        <v>5010</v>
      </c>
      <c r="B599" s="59" t="s">
        <v>923</v>
      </c>
      <c r="C599" s="59"/>
      <c r="D599" s="59"/>
      <c r="E599" s="73" t="s">
        <v>58</v>
      </c>
      <c r="F599" s="73">
        <v>3</v>
      </c>
      <c r="G599" s="73">
        <f t="shared" si="46"/>
        <v>2</v>
      </c>
      <c r="H599" s="73">
        <v>4</v>
      </c>
      <c r="I599" s="100"/>
    </row>
    <row r="600" spans="1:9" ht="16.5" customHeight="1" x14ac:dyDescent="0.3">
      <c r="A600" s="73">
        <f t="shared" si="47"/>
        <v>5018</v>
      </c>
      <c r="B600" s="59" t="s">
        <v>924</v>
      </c>
      <c r="C600" s="59"/>
      <c r="D600" s="59"/>
      <c r="E600" s="73" t="s">
        <v>58</v>
      </c>
      <c r="F600" s="73">
        <v>3</v>
      </c>
      <c r="G600" s="73">
        <f t="shared" si="46"/>
        <v>2</v>
      </c>
      <c r="H600" s="73">
        <v>4</v>
      </c>
      <c r="I600" s="100"/>
    </row>
    <row r="601" spans="1:9" ht="16.5" customHeight="1" x14ac:dyDescent="0.3">
      <c r="A601" s="73">
        <f t="shared" si="47"/>
        <v>5026</v>
      </c>
      <c r="B601" s="59" t="s">
        <v>925</v>
      </c>
      <c r="C601" s="59"/>
      <c r="D601" s="59"/>
      <c r="E601" s="73" t="s">
        <v>58</v>
      </c>
      <c r="F601" s="73">
        <v>3</v>
      </c>
      <c r="G601" s="73">
        <f t="shared" si="46"/>
        <v>2</v>
      </c>
      <c r="H601" s="73">
        <v>4</v>
      </c>
      <c r="I601" s="100"/>
    </row>
    <row r="602" spans="1:9" ht="16.5" customHeight="1" x14ac:dyDescent="0.3">
      <c r="A602" s="73">
        <f t="shared" si="47"/>
        <v>5034</v>
      </c>
      <c r="B602" s="59" t="s">
        <v>926</v>
      </c>
      <c r="C602" s="59"/>
      <c r="D602" s="59"/>
      <c r="E602" s="73" t="s">
        <v>58</v>
      </c>
      <c r="F602" s="73">
        <v>3</v>
      </c>
      <c r="G602" s="73">
        <f>IF(OR(E602="U16", E602="S16"),1,IF(E602="TS",6,2))</f>
        <v>2</v>
      </c>
      <c r="H602" s="73">
        <v>4</v>
      </c>
      <c r="I602" s="100"/>
    </row>
    <row r="603" spans="1:9" ht="16.5" customHeight="1" x14ac:dyDescent="0.3">
      <c r="A603" s="73">
        <f t="shared" si="47"/>
        <v>5042</v>
      </c>
      <c r="B603" s="59" t="s">
        <v>927</v>
      </c>
      <c r="C603" s="59"/>
      <c r="D603" s="59"/>
      <c r="E603" s="73" t="s">
        <v>58</v>
      </c>
      <c r="F603" s="73">
        <v>3</v>
      </c>
      <c r="G603" s="73">
        <f>IF(OR(E603="U16", E603="S16"),1,IF(E603="TS",6,2))</f>
        <v>2</v>
      </c>
      <c r="H603" s="73">
        <v>4</v>
      </c>
      <c r="I603" s="100"/>
    </row>
    <row r="604" spans="1:9" ht="16.5" customHeight="1" x14ac:dyDescent="0.3">
      <c r="A604" s="73">
        <f t="shared" si="47"/>
        <v>5050</v>
      </c>
      <c r="B604" s="59" t="s">
        <v>928</v>
      </c>
      <c r="C604" s="59"/>
      <c r="D604" s="59"/>
      <c r="E604" s="73" t="s">
        <v>58</v>
      </c>
      <c r="F604" s="73">
        <v>3</v>
      </c>
      <c r="G604" s="73">
        <f>IF(OR(E604="U16", E604="S16"),1,IF(E604="TS",6,2))</f>
        <v>2</v>
      </c>
      <c r="H604" s="73">
        <v>4</v>
      </c>
      <c r="I604" s="100"/>
    </row>
    <row r="605" spans="1:9" ht="16.5" customHeight="1" x14ac:dyDescent="0.3">
      <c r="A605" s="73">
        <f t="shared" si="47"/>
        <v>5058</v>
      </c>
      <c r="B605" s="59" t="s">
        <v>929</v>
      </c>
      <c r="C605" s="59"/>
      <c r="D605" s="59"/>
      <c r="E605" s="73" t="s">
        <v>58</v>
      </c>
      <c r="F605" s="73">
        <v>3</v>
      </c>
      <c r="G605" s="73">
        <f t="shared" ref="G605:G628" si="48">IF(OR(E605="U16", E605="S16"),1,IF(E605="TS",6,2))</f>
        <v>2</v>
      </c>
      <c r="H605" s="73">
        <v>4</v>
      </c>
      <c r="I605" s="100"/>
    </row>
    <row r="606" spans="1:9" ht="16.5" customHeight="1" x14ac:dyDescent="0.3">
      <c r="A606" s="73">
        <f t="shared" si="47"/>
        <v>5066</v>
      </c>
      <c r="B606" s="59" t="s">
        <v>930</v>
      </c>
      <c r="C606" s="59"/>
      <c r="D606" s="59"/>
      <c r="E606" s="73" t="s">
        <v>58</v>
      </c>
      <c r="F606" s="73">
        <v>3</v>
      </c>
      <c r="G606" s="73">
        <f t="shared" si="48"/>
        <v>2</v>
      </c>
      <c r="H606" s="73">
        <v>4</v>
      </c>
      <c r="I606" s="100"/>
    </row>
    <row r="607" spans="1:9" ht="16.5" customHeight="1" x14ac:dyDescent="0.3">
      <c r="A607" s="73">
        <f t="shared" si="47"/>
        <v>5074</v>
      </c>
      <c r="B607" s="59" t="s">
        <v>931</v>
      </c>
      <c r="C607" s="59"/>
      <c r="D607" s="59"/>
      <c r="E607" s="73" t="s">
        <v>58</v>
      </c>
      <c r="F607" s="73">
        <v>3</v>
      </c>
      <c r="G607" s="73">
        <f t="shared" si="48"/>
        <v>2</v>
      </c>
      <c r="H607" s="73">
        <v>4</v>
      </c>
      <c r="I607" s="100"/>
    </row>
    <row r="608" spans="1:9" ht="16.5" customHeight="1" x14ac:dyDescent="0.3">
      <c r="A608" s="73">
        <f t="shared" si="47"/>
        <v>5082</v>
      </c>
      <c r="B608" s="59" t="s">
        <v>932</v>
      </c>
      <c r="C608" s="59"/>
      <c r="D608" s="59"/>
      <c r="E608" s="73" t="s">
        <v>58</v>
      </c>
      <c r="F608" s="73">
        <v>3</v>
      </c>
      <c r="G608" s="73">
        <f t="shared" si="48"/>
        <v>2</v>
      </c>
      <c r="H608" s="73">
        <v>4</v>
      </c>
      <c r="I608" s="100"/>
    </row>
    <row r="609" spans="1:9" ht="16.5" customHeight="1" x14ac:dyDescent="0.3">
      <c r="A609" s="73">
        <f t="shared" si="47"/>
        <v>5090</v>
      </c>
      <c r="B609" s="59" t="s">
        <v>933</v>
      </c>
      <c r="C609" s="59"/>
      <c r="D609" s="59"/>
      <c r="E609" s="73" t="s">
        <v>58</v>
      </c>
      <c r="F609" s="73">
        <v>3</v>
      </c>
      <c r="G609" s="73">
        <f t="shared" si="48"/>
        <v>2</v>
      </c>
      <c r="H609" s="73">
        <v>4</v>
      </c>
      <c r="I609" s="100"/>
    </row>
    <row r="610" spans="1:9" ht="16.5" customHeight="1" x14ac:dyDescent="0.3">
      <c r="A610" s="73">
        <f t="shared" si="47"/>
        <v>5098</v>
      </c>
      <c r="B610" s="59" t="s">
        <v>934</v>
      </c>
      <c r="C610" s="59"/>
      <c r="D610" s="59"/>
      <c r="E610" s="73" t="s">
        <v>58</v>
      </c>
      <c r="F610" s="73">
        <v>3</v>
      </c>
      <c r="G610" s="73">
        <f t="shared" si="48"/>
        <v>2</v>
      </c>
      <c r="H610" s="73">
        <v>4</v>
      </c>
      <c r="I610" s="100"/>
    </row>
    <row r="611" spans="1:9" ht="16.5" customHeight="1" x14ac:dyDescent="0.3">
      <c r="A611" s="73">
        <f t="shared" si="47"/>
        <v>5106</v>
      </c>
      <c r="B611" s="59" t="s">
        <v>935</v>
      </c>
      <c r="C611" s="59"/>
      <c r="D611" s="59"/>
      <c r="E611" s="73" t="s">
        <v>58</v>
      </c>
      <c r="F611" s="73">
        <v>3</v>
      </c>
      <c r="G611" s="73">
        <f t="shared" si="48"/>
        <v>2</v>
      </c>
      <c r="H611" s="73">
        <v>4</v>
      </c>
      <c r="I611" s="100"/>
    </row>
    <row r="612" spans="1:9" ht="16.5" customHeight="1" x14ac:dyDescent="0.3">
      <c r="A612" s="73">
        <f t="shared" si="47"/>
        <v>5114</v>
      </c>
      <c r="B612" s="59" t="s">
        <v>936</v>
      </c>
      <c r="C612" s="59"/>
      <c r="D612" s="59"/>
      <c r="E612" s="73" t="s">
        <v>58</v>
      </c>
      <c r="F612" s="73">
        <v>3</v>
      </c>
      <c r="G612" s="73">
        <f t="shared" si="48"/>
        <v>2</v>
      </c>
      <c r="H612" s="73">
        <v>4</v>
      </c>
      <c r="I612" s="100"/>
    </row>
    <row r="613" spans="1:9" ht="16.5" customHeight="1" x14ac:dyDescent="0.3">
      <c r="A613" s="73">
        <f t="shared" si="47"/>
        <v>5122</v>
      </c>
      <c r="B613" s="59" t="s">
        <v>937</v>
      </c>
      <c r="C613" s="59"/>
      <c r="D613" s="59"/>
      <c r="E613" s="73" t="s">
        <v>58</v>
      </c>
      <c r="F613" s="73">
        <v>3</v>
      </c>
      <c r="G613" s="73">
        <f t="shared" si="48"/>
        <v>2</v>
      </c>
      <c r="H613" s="73">
        <v>4</v>
      </c>
      <c r="I613" s="100"/>
    </row>
    <row r="614" spans="1:9" ht="16.5" customHeight="1" x14ac:dyDescent="0.3">
      <c r="A614" s="73">
        <f t="shared" si="47"/>
        <v>5130</v>
      </c>
      <c r="B614" s="59" t="s">
        <v>938</v>
      </c>
      <c r="C614" s="59"/>
      <c r="D614" s="59"/>
      <c r="E614" s="73" t="s">
        <v>58</v>
      </c>
      <c r="F614" s="73">
        <v>3</v>
      </c>
      <c r="G614" s="73">
        <f t="shared" si="48"/>
        <v>2</v>
      </c>
      <c r="H614" s="73">
        <v>4</v>
      </c>
      <c r="I614" s="100"/>
    </row>
    <row r="615" spans="1:9" ht="16.5" customHeight="1" x14ac:dyDescent="0.3">
      <c r="A615" s="73">
        <f t="shared" si="47"/>
        <v>5138</v>
      </c>
      <c r="B615" s="59" t="s">
        <v>939</v>
      </c>
      <c r="C615" s="59"/>
      <c r="D615" s="59"/>
      <c r="E615" s="73" t="s">
        <v>58</v>
      </c>
      <c r="F615" s="73">
        <v>3</v>
      </c>
      <c r="G615" s="73">
        <f t="shared" si="48"/>
        <v>2</v>
      </c>
      <c r="H615" s="73">
        <v>4</v>
      </c>
      <c r="I615" s="100"/>
    </row>
    <row r="616" spans="1:9" ht="16.5" customHeight="1" x14ac:dyDescent="0.3">
      <c r="A616" s="73">
        <f t="shared" si="47"/>
        <v>5146</v>
      </c>
      <c r="B616" s="59" t="s">
        <v>940</v>
      </c>
      <c r="C616" s="73"/>
      <c r="D616" s="73"/>
      <c r="E616" s="73" t="s">
        <v>58</v>
      </c>
      <c r="F616" s="73">
        <v>3</v>
      </c>
      <c r="G616" s="73">
        <f t="shared" si="48"/>
        <v>2</v>
      </c>
      <c r="H616" s="73">
        <v>4</v>
      </c>
      <c r="I616" s="100"/>
    </row>
    <row r="617" spans="1:9" ht="16.5" customHeight="1" x14ac:dyDescent="0.3">
      <c r="A617" s="73">
        <f t="shared" si="47"/>
        <v>5154</v>
      </c>
      <c r="B617" s="59" t="s">
        <v>941</v>
      </c>
      <c r="C617" s="73"/>
      <c r="D617" s="73"/>
      <c r="E617" s="73" t="s">
        <v>58</v>
      </c>
      <c r="F617" s="73">
        <v>3</v>
      </c>
      <c r="G617" s="73">
        <f t="shared" si="48"/>
        <v>2</v>
      </c>
      <c r="H617" s="73">
        <v>4</v>
      </c>
      <c r="I617" s="100"/>
    </row>
    <row r="618" spans="1:9" ht="16.5" customHeight="1" x14ac:dyDescent="0.3">
      <c r="A618" s="73">
        <f t="shared" si="47"/>
        <v>5162</v>
      </c>
      <c r="B618" s="59" t="s">
        <v>942</v>
      </c>
      <c r="C618" s="73"/>
      <c r="D618" s="73"/>
      <c r="E618" s="73" t="s">
        <v>58</v>
      </c>
      <c r="F618" s="73">
        <v>3</v>
      </c>
      <c r="G618" s="73">
        <f t="shared" si="48"/>
        <v>2</v>
      </c>
      <c r="H618" s="73">
        <v>4</v>
      </c>
      <c r="I618" s="100"/>
    </row>
    <row r="619" spans="1:9" ht="16.5" customHeight="1" x14ac:dyDescent="0.3">
      <c r="A619" s="73">
        <f t="shared" si="47"/>
        <v>5170</v>
      </c>
      <c r="B619" s="59" t="s">
        <v>943</v>
      </c>
      <c r="C619" s="73"/>
      <c r="D619" s="73"/>
      <c r="E619" s="73" t="s">
        <v>58</v>
      </c>
      <c r="F619" s="73">
        <v>3</v>
      </c>
      <c r="G619" s="73">
        <f t="shared" si="48"/>
        <v>2</v>
      </c>
      <c r="H619" s="73">
        <v>4</v>
      </c>
      <c r="I619" s="100"/>
    </row>
    <row r="620" spans="1:9" ht="16.5" customHeight="1" x14ac:dyDescent="0.3">
      <c r="A620" s="73">
        <f t="shared" si="47"/>
        <v>5178</v>
      </c>
      <c r="B620" s="59" t="s">
        <v>944</v>
      </c>
      <c r="C620" s="73"/>
      <c r="D620" s="73"/>
      <c r="E620" s="73" t="s">
        <v>58</v>
      </c>
      <c r="F620" s="73">
        <v>3</v>
      </c>
      <c r="G620" s="73">
        <f t="shared" si="48"/>
        <v>2</v>
      </c>
      <c r="H620" s="73">
        <v>4</v>
      </c>
      <c r="I620" s="100"/>
    </row>
    <row r="621" spans="1:9" ht="16.5" customHeight="1" x14ac:dyDescent="0.3">
      <c r="A621" s="73">
        <f t="shared" si="47"/>
        <v>5186</v>
      </c>
      <c r="B621" s="59" t="s">
        <v>945</v>
      </c>
      <c r="C621" s="73"/>
      <c r="D621" s="73"/>
      <c r="E621" s="73" t="s">
        <v>58</v>
      </c>
      <c r="F621" s="73">
        <v>3</v>
      </c>
      <c r="G621" s="73">
        <f t="shared" si="48"/>
        <v>2</v>
      </c>
      <c r="H621" s="73">
        <v>4</v>
      </c>
      <c r="I621" s="100"/>
    </row>
    <row r="622" spans="1:9" ht="16.5" customHeight="1" x14ac:dyDescent="0.3">
      <c r="A622" s="73">
        <f t="shared" si="47"/>
        <v>5194</v>
      </c>
      <c r="B622" s="59"/>
      <c r="C622" s="73"/>
      <c r="D622" s="73"/>
      <c r="E622" s="73" t="s">
        <v>558</v>
      </c>
      <c r="F622" s="73">
        <v>3</v>
      </c>
      <c r="G622" s="73">
        <f t="shared" si="48"/>
        <v>1</v>
      </c>
      <c r="H622" s="73">
        <v>6</v>
      </c>
      <c r="I622" s="100"/>
    </row>
    <row r="623" spans="1:9" ht="16.5" customHeight="1" x14ac:dyDescent="0.3">
      <c r="A623" s="73">
        <f t="shared" si="47"/>
        <v>5200</v>
      </c>
      <c r="B623" s="59" t="s">
        <v>90</v>
      </c>
      <c r="C623" s="73"/>
      <c r="D623" s="73"/>
      <c r="E623" s="73" t="s">
        <v>544</v>
      </c>
      <c r="F623" s="73">
        <v>3</v>
      </c>
      <c r="G623" s="73">
        <f>IF(OR(E623="U16", E623="S16"),1,IF(E623="TS",6,2))</f>
        <v>2</v>
      </c>
      <c r="H623" s="73">
        <v>1</v>
      </c>
      <c r="I623" s="100"/>
    </row>
    <row r="624" spans="1:9" ht="16.5" customHeight="1" x14ac:dyDescent="0.3">
      <c r="A624" s="73">
        <f t="shared" si="47"/>
        <v>5202</v>
      </c>
      <c r="B624" s="59" t="s">
        <v>919</v>
      </c>
      <c r="C624" s="73"/>
      <c r="D624" s="73"/>
      <c r="E624" s="73" t="s">
        <v>58</v>
      </c>
      <c r="F624" s="73">
        <v>3</v>
      </c>
      <c r="G624" s="73">
        <f t="shared" si="48"/>
        <v>2</v>
      </c>
      <c r="H624" s="73">
        <v>1</v>
      </c>
      <c r="I624" s="100"/>
    </row>
    <row r="625" spans="1:9" ht="16.5" customHeight="1" x14ac:dyDescent="0.3">
      <c r="A625" s="73">
        <f t="shared" si="47"/>
        <v>5204</v>
      </c>
      <c r="B625" s="59" t="s">
        <v>920</v>
      </c>
      <c r="C625" s="73"/>
      <c r="D625" s="73"/>
      <c r="E625" s="73" t="s">
        <v>58</v>
      </c>
      <c r="F625" s="73">
        <v>3</v>
      </c>
      <c r="G625" s="73">
        <f t="shared" si="48"/>
        <v>2</v>
      </c>
      <c r="H625" s="73">
        <v>1</v>
      </c>
      <c r="I625" s="100"/>
    </row>
    <row r="626" spans="1:9" ht="16.5" customHeight="1" x14ac:dyDescent="0.3">
      <c r="A626" s="73">
        <f t="shared" si="47"/>
        <v>5206</v>
      </c>
      <c r="B626" s="59" t="s">
        <v>921</v>
      </c>
      <c r="C626" s="59"/>
      <c r="D626" s="59"/>
      <c r="E626" s="73" t="s">
        <v>58</v>
      </c>
      <c r="F626" s="73">
        <v>3</v>
      </c>
      <c r="G626" s="73">
        <f t="shared" si="48"/>
        <v>2</v>
      </c>
      <c r="H626" s="73">
        <v>1</v>
      </c>
      <c r="I626" s="100"/>
    </row>
    <row r="627" spans="1:9" ht="16.5" customHeight="1" x14ac:dyDescent="0.3">
      <c r="A627" s="73">
        <f t="shared" si="47"/>
        <v>5208</v>
      </c>
      <c r="B627" s="59" t="s">
        <v>922</v>
      </c>
      <c r="C627" s="59"/>
      <c r="D627" s="59"/>
      <c r="E627" s="73" t="s">
        <v>58</v>
      </c>
      <c r="F627" s="73">
        <v>3</v>
      </c>
      <c r="G627" s="73">
        <f t="shared" si="48"/>
        <v>2</v>
      </c>
      <c r="H627" s="73">
        <v>1</v>
      </c>
      <c r="I627" s="100"/>
    </row>
    <row r="628" spans="1:9" ht="16.5" customHeight="1" x14ac:dyDescent="0.3">
      <c r="A628" s="73">
        <f t="shared" si="47"/>
        <v>5210</v>
      </c>
      <c r="B628" s="59" t="s">
        <v>946</v>
      </c>
      <c r="C628" s="59"/>
      <c r="D628" s="59"/>
      <c r="E628" s="73" t="s">
        <v>58</v>
      </c>
      <c r="F628" s="73">
        <v>3</v>
      </c>
      <c r="G628" s="73">
        <f t="shared" si="48"/>
        <v>2</v>
      </c>
      <c r="H628" s="73">
        <v>4</v>
      </c>
      <c r="I628" s="100"/>
    </row>
    <row r="629" spans="1:9" ht="16.5" customHeight="1" x14ac:dyDescent="0.3">
      <c r="A629" s="73">
        <f t="shared" si="47"/>
        <v>5218</v>
      </c>
      <c r="B629" s="59" t="s">
        <v>947</v>
      </c>
      <c r="C629" s="59"/>
      <c r="D629" s="59"/>
      <c r="E629" s="73" t="s">
        <v>58</v>
      </c>
      <c r="F629" s="73">
        <v>3</v>
      </c>
      <c r="G629" s="73">
        <f t="shared" ref="G629:G655" si="49">IF(OR(E629="U16", E629="S16"),1,IF(E629="TS",6,2))</f>
        <v>2</v>
      </c>
      <c r="H629" s="73">
        <v>4</v>
      </c>
      <c r="I629" s="100"/>
    </row>
    <row r="630" spans="1:9" ht="16.5" customHeight="1" x14ac:dyDescent="0.3">
      <c r="A630" s="73">
        <f t="shared" si="47"/>
        <v>5226</v>
      </c>
      <c r="B630" s="59" t="s">
        <v>948</v>
      </c>
      <c r="C630" s="59"/>
      <c r="D630" s="59"/>
      <c r="E630" s="73" t="s">
        <v>58</v>
      </c>
      <c r="F630" s="73">
        <v>3</v>
      </c>
      <c r="G630" s="73">
        <f t="shared" si="49"/>
        <v>2</v>
      </c>
      <c r="H630" s="73">
        <v>4</v>
      </c>
      <c r="I630" s="100"/>
    </row>
    <row r="631" spans="1:9" ht="16.5" customHeight="1" x14ac:dyDescent="0.3">
      <c r="A631" s="73">
        <f t="shared" si="47"/>
        <v>5234</v>
      </c>
      <c r="B631" s="59" t="s">
        <v>949</v>
      </c>
      <c r="C631" s="59"/>
      <c r="D631" s="59"/>
      <c r="E631" s="73" t="s">
        <v>58</v>
      </c>
      <c r="F631" s="73">
        <v>3</v>
      </c>
      <c r="G631" s="73">
        <f t="shared" si="49"/>
        <v>2</v>
      </c>
      <c r="H631" s="73">
        <v>4</v>
      </c>
      <c r="I631" s="100"/>
    </row>
    <row r="632" spans="1:9" ht="16.5" customHeight="1" x14ac:dyDescent="0.3">
      <c r="A632" s="73">
        <f t="shared" si="47"/>
        <v>5242</v>
      </c>
      <c r="B632" s="59" t="s">
        <v>950</v>
      </c>
      <c r="C632" s="59"/>
      <c r="D632" s="59"/>
      <c r="E632" s="73" t="s">
        <v>58</v>
      </c>
      <c r="F632" s="73">
        <v>3</v>
      </c>
      <c r="G632" s="73">
        <f t="shared" si="49"/>
        <v>2</v>
      </c>
      <c r="H632" s="73">
        <v>4</v>
      </c>
      <c r="I632" s="100"/>
    </row>
    <row r="633" spans="1:9" ht="16.5" customHeight="1" x14ac:dyDescent="0.3">
      <c r="A633" s="73">
        <f t="shared" si="47"/>
        <v>5250</v>
      </c>
      <c r="B633" s="59" t="s">
        <v>951</v>
      </c>
      <c r="C633" s="59"/>
      <c r="D633" s="59"/>
      <c r="E633" s="73" t="s">
        <v>58</v>
      </c>
      <c r="F633" s="73">
        <v>3</v>
      </c>
      <c r="G633" s="73">
        <f t="shared" si="49"/>
        <v>2</v>
      </c>
      <c r="H633" s="73">
        <v>4</v>
      </c>
      <c r="I633" s="100"/>
    </row>
    <row r="634" spans="1:9" ht="16.5" customHeight="1" x14ac:dyDescent="0.3">
      <c r="A634" s="73">
        <f t="shared" si="47"/>
        <v>5258</v>
      </c>
      <c r="B634" s="59" t="s">
        <v>952</v>
      </c>
      <c r="C634" s="59"/>
      <c r="D634" s="59"/>
      <c r="E634" s="73" t="s">
        <v>58</v>
      </c>
      <c r="F634" s="73">
        <v>3</v>
      </c>
      <c r="G634" s="73">
        <f t="shared" si="49"/>
        <v>2</v>
      </c>
      <c r="H634" s="73">
        <v>4</v>
      </c>
      <c r="I634" s="100"/>
    </row>
    <row r="635" spans="1:9" ht="16.5" customHeight="1" x14ac:dyDescent="0.3">
      <c r="A635" s="73">
        <f t="shared" si="47"/>
        <v>5266</v>
      </c>
      <c r="B635" s="59" t="s">
        <v>953</v>
      </c>
      <c r="C635" s="59"/>
      <c r="D635" s="59"/>
      <c r="E635" s="73" t="s">
        <v>58</v>
      </c>
      <c r="F635" s="73">
        <v>3</v>
      </c>
      <c r="G635" s="73">
        <f t="shared" si="49"/>
        <v>2</v>
      </c>
      <c r="H635" s="73">
        <v>4</v>
      </c>
      <c r="I635" s="100"/>
    </row>
    <row r="636" spans="1:9" ht="16.5" customHeight="1" x14ac:dyDescent="0.3">
      <c r="A636" s="73">
        <f t="shared" si="47"/>
        <v>5274</v>
      </c>
      <c r="B636" s="59" t="s">
        <v>954</v>
      </c>
      <c r="C636" s="59"/>
      <c r="D636" s="59"/>
      <c r="E636" s="73" t="s">
        <v>58</v>
      </c>
      <c r="F636" s="73">
        <v>3</v>
      </c>
      <c r="G636" s="73">
        <f t="shared" si="49"/>
        <v>2</v>
      </c>
      <c r="H636" s="73">
        <v>4</v>
      </c>
      <c r="I636" s="100"/>
    </row>
    <row r="637" spans="1:9" ht="16.5" customHeight="1" x14ac:dyDescent="0.3">
      <c r="A637" s="73">
        <f t="shared" si="47"/>
        <v>5282</v>
      </c>
      <c r="B637" s="59" t="s">
        <v>955</v>
      </c>
      <c r="C637" s="59"/>
      <c r="D637" s="59"/>
      <c r="E637" s="73" t="s">
        <v>58</v>
      </c>
      <c r="F637" s="73">
        <v>3</v>
      </c>
      <c r="G637" s="73">
        <f t="shared" si="49"/>
        <v>2</v>
      </c>
      <c r="H637" s="73">
        <v>4</v>
      </c>
      <c r="I637" s="100"/>
    </row>
    <row r="638" spans="1:9" ht="16.5" customHeight="1" x14ac:dyDescent="0.3">
      <c r="A638" s="73">
        <f t="shared" si="47"/>
        <v>5290</v>
      </c>
      <c r="B638" s="59" t="s">
        <v>956</v>
      </c>
      <c r="C638" s="59"/>
      <c r="D638" s="59"/>
      <c r="E638" s="73" t="s">
        <v>58</v>
      </c>
      <c r="F638" s="73">
        <v>3</v>
      </c>
      <c r="G638" s="73">
        <f t="shared" si="49"/>
        <v>2</v>
      </c>
      <c r="H638" s="73">
        <v>4</v>
      </c>
      <c r="I638" s="100"/>
    </row>
    <row r="639" spans="1:9" ht="16.5" customHeight="1" x14ac:dyDescent="0.3">
      <c r="A639" s="73">
        <f t="shared" si="47"/>
        <v>5298</v>
      </c>
      <c r="B639" s="59" t="s">
        <v>957</v>
      </c>
      <c r="C639" s="59"/>
      <c r="D639" s="59"/>
      <c r="E639" s="73" t="s">
        <v>58</v>
      </c>
      <c r="F639" s="73">
        <v>3</v>
      </c>
      <c r="G639" s="73">
        <f t="shared" si="49"/>
        <v>2</v>
      </c>
      <c r="H639" s="73">
        <v>4</v>
      </c>
      <c r="I639" s="100"/>
    </row>
    <row r="640" spans="1:9" ht="16.5" customHeight="1" x14ac:dyDescent="0.3">
      <c r="A640" s="73">
        <f t="shared" si="47"/>
        <v>5306</v>
      </c>
      <c r="B640" s="59" t="s">
        <v>958</v>
      </c>
      <c r="C640" s="59"/>
      <c r="D640" s="59"/>
      <c r="E640" s="73" t="s">
        <v>58</v>
      </c>
      <c r="F640" s="73">
        <v>3</v>
      </c>
      <c r="G640" s="73">
        <f t="shared" si="49"/>
        <v>2</v>
      </c>
      <c r="H640" s="73">
        <v>4</v>
      </c>
      <c r="I640" s="100"/>
    </row>
    <row r="641" spans="1:10" customFormat="1" ht="16.5" x14ac:dyDescent="0.3">
      <c r="A641" s="73">
        <f t="shared" si="47"/>
        <v>5314</v>
      </c>
      <c r="B641" s="59" t="s">
        <v>959</v>
      </c>
      <c r="C641" s="59"/>
      <c r="D641" s="59"/>
      <c r="E641" s="73" t="s">
        <v>58</v>
      </c>
      <c r="F641" s="73">
        <v>3</v>
      </c>
      <c r="G641" s="73">
        <f t="shared" si="49"/>
        <v>2</v>
      </c>
      <c r="H641" s="73">
        <v>4</v>
      </c>
      <c r="I641" s="100"/>
      <c r="J641" s="29" t="s">
        <v>566</v>
      </c>
    </row>
    <row r="642" spans="1:10" ht="15.95" customHeight="1" x14ac:dyDescent="0.3">
      <c r="A642" s="73">
        <f t="shared" si="47"/>
        <v>5322</v>
      </c>
      <c r="B642" s="59" t="s">
        <v>960</v>
      </c>
      <c r="C642" s="59"/>
      <c r="D642" s="59"/>
      <c r="E642" s="73" t="s">
        <v>58</v>
      </c>
      <c r="F642" s="73">
        <v>3</v>
      </c>
      <c r="G642" s="73">
        <f t="shared" si="49"/>
        <v>2</v>
      </c>
      <c r="H642" s="73">
        <v>4</v>
      </c>
      <c r="I642" s="100"/>
    </row>
    <row r="643" spans="1:10" ht="15.95" customHeight="1" x14ac:dyDescent="0.3">
      <c r="A643" s="73">
        <f t="shared" si="47"/>
        <v>5330</v>
      </c>
      <c r="B643" s="59" t="s">
        <v>961</v>
      </c>
      <c r="C643" s="59"/>
      <c r="D643" s="59"/>
      <c r="E643" s="73" t="s">
        <v>58</v>
      </c>
      <c r="F643" s="73">
        <v>3</v>
      </c>
      <c r="G643" s="73">
        <f t="shared" si="49"/>
        <v>2</v>
      </c>
      <c r="H643" s="73">
        <v>4</v>
      </c>
      <c r="I643" s="100"/>
    </row>
    <row r="644" spans="1:10" ht="15.95" customHeight="1" x14ac:dyDescent="0.3">
      <c r="A644" s="73">
        <f t="shared" si="47"/>
        <v>5338</v>
      </c>
      <c r="B644" s="59" t="s">
        <v>962</v>
      </c>
      <c r="C644" s="59"/>
      <c r="D644" s="59"/>
      <c r="E644" s="73" t="s">
        <v>58</v>
      </c>
      <c r="F644" s="73">
        <v>3</v>
      </c>
      <c r="G644" s="73">
        <f t="shared" si="49"/>
        <v>2</v>
      </c>
      <c r="H644" s="73">
        <v>4</v>
      </c>
      <c r="I644" s="100"/>
    </row>
    <row r="645" spans="1:10" customFormat="1" ht="16.5" x14ac:dyDescent="0.3">
      <c r="A645" s="73">
        <f t="shared" si="47"/>
        <v>5346</v>
      </c>
      <c r="B645" s="59" t="s">
        <v>963</v>
      </c>
      <c r="C645" s="73"/>
      <c r="D645" s="73"/>
      <c r="E645" s="73" t="s">
        <v>58</v>
      </c>
      <c r="F645" s="73">
        <v>3</v>
      </c>
      <c r="G645" s="73">
        <f t="shared" si="49"/>
        <v>2</v>
      </c>
      <c r="H645" s="73">
        <v>4</v>
      </c>
      <c r="I645" s="100"/>
      <c r="J645" s="29"/>
    </row>
    <row r="646" spans="1:10" customFormat="1" ht="16.5" customHeight="1" x14ac:dyDescent="0.3">
      <c r="A646" s="73">
        <f t="shared" si="47"/>
        <v>5354</v>
      </c>
      <c r="B646" s="59" t="s">
        <v>964</v>
      </c>
      <c r="C646" s="73"/>
      <c r="D646" s="73"/>
      <c r="E646" s="73" t="s">
        <v>58</v>
      </c>
      <c r="F646" s="73">
        <v>3</v>
      </c>
      <c r="G646" s="73">
        <f t="shared" si="49"/>
        <v>2</v>
      </c>
      <c r="H646" s="73">
        <v>4</v>
      </c>
      <c r="I646" s="100"/>
      <c r="J646" s="29"/>
    </row>
    <row r="647" spans="1:10" customFormat="1" ht="16.5" x14ac:dyDescent="0.3">
      <c r="A647" s="73">
        <f t="shared" si="47"/>
        <v>5362</v>
      </c>
      <c r="B647" s="59" t="s">
        <v>965</v>
      </c>
      <c r="C647" s="73"/>
      <c r="D647" s="73"/>
      <c r="E647" s="73" t="s">
        <v>58</v>
      </c>
      <c r="F647" s="73">
        <v>3</v>
      </c>
      <c r="G647" s="73">
        <f t="shared" si="49"/>
        <v>2</v>
      </c>
      <c r="H647" s="73">
        <v>4</v>
      </c>
      <c r="I647" s="100"/>
      <c r="J647" s="29"/>
    </row>
    <row r="648" spans="1:10" customFormat="1" ht="16.5" x14ac:dyDescent="0.3">
      <c r="A648" s="73">
        <f t="shared" si="47"/>
        <v>5370</v>
      </c>
      <c r="B648" s="59" t="s">
        <v>966</v>
      </c>
      <c r="C648" s="73"/>
      <c r="D648" s="73"/>
      <c r="E648" s="73" t="s">
        <v>58</v>
      </c>
      <c r="F648" s="73">
        <v>3</v>
      </c>
      <c r="G648" s="73">
        <f t="shared" si="49"/>
        <v>2</v>
      </c>
      <c r="H648" s="73">
        <v>4</v>
      </c>
      <c r="I648" s="100"/>
      <c r="J648" s="29"/>
    </row>
    <row r="649" spans="1:10" customFormat="1" ht="16.5" x14ac:dyDescent="0.3">
      <c r="A649" s="73">
        <f t="shared" si="47"/>
        <v>5378</v>
      </c>
      <c r="B649" s="59" t="s">
        <v>967</v>
      </c>
      <c r="C649" s="73"/>
      <c r="D649" s="73"/>
      <c r="E649" s="73" t="s">
        <v>58</v>
      </c>
      <c r="F649" s="73">
        <v>3</v>
      </c>
      <c r="G649" s="73">
        <f t="shared" si="49"/>
        <v>2</v>
      </c>
      <c r="H649" s="73">
        <v>4</v>
      </c>
      <c r="I649" s="100"/>
      <c r="J649" s="29"/>
    </row>
    <row r="650" spans="1:10" customFormat="1" ht="16.5" x14ac:dyDescent="0.3">
      <c r="A650" s="73">
        <f t="shared" si="47"/>
        <v>5386</v>
      </c>
      <c r="B650" s="59" t="s">
        <v>968</v>
      </c>
      <c r="C650" s="73"/>
      <c r="D650" s="73"/>
      <c r="E650" s="73" t="s">
        <v>58</v>
      </c>
      <c r="F650" s="73">
        <v>3</v>
      </c>
      <c r="G650" s="73">
        <f t="shared" si="49"/>
        <v>2</v>
      </c>
      <c r="H650" s="73">
        <v>4</v>
      </c>
      <c r="I650" s="100"/>
      <c r="J650" s="29"/>
    </row>
    <row r="651" spans="1:10" customFormat="1" ht="16.5" x14ac:dyDescent="0.3">
      <c r="A651" s="73">
        <f t="shared" si="47"/>
        <v>5394</v>
      </c>
      <c r="B651" s="59"/>
      <c r="C651" s="73"/>
      <c r="D651" s="73"/>
      <c r="E651" s="73" t="s">
        <v>558</v>
      </c>
      <c r="F651" s="73">
        <v>3</v>
      </c>
      <c r="G651" s="73">
        <f t="shared" si="49"/>
        <v>1</v>
      </c>
      <c r="H651" s="73">
        <v>6</v>
      </c>
      <c r="I651" s="100"/>
      <c r="J651" s="29"/>
    </row>
    <row r="652" spans="1:10" customFormat="1" ht="16.5" x14ac:dyDescent="0.3">
      <c r="A652" s="122" t="s">
        <v>562</v>
      </c>
      <c r="B652" s="122"/>
      <c r="C652" s="122"/>
      <c r="D652" s="122"/>
      <c r="E652" s="122"/>
      <c r="F652" s="122"/>
      <c r="G652" s="122"/>
      <c r="H652" s="122"/>
      <c r="I652" s="104"/>
      <c r="J652" s="29"/>
    </row>
    <row r="653" spans="1:10" customFormat="1" ht="16.5" x14ac:dyDescent="0.3">
      <c r="A653" s="66">
        <f>A651+(G651*H651)</f>
        <v>5400</v>
      </c>
      <c r="B653" s="9" t="s">
        <v>565</v>
      </c>
      <c r="C653" s="66"/>
      <c r="D653" s="66"/>
      <c r="E653" s="16" t="s">
        <v>564</v>
      </c>
      <c r="F653" s="16">
        <v>3</v>
      </c>
      <c r="G653" s="16">
        <f t="shared" si="49"/>
        <v>2</v>
      </c>
      <c r="H653" s="66">
        <v>1</v>
      </c>
      <c r="I653" s="98"/>
      <c r="J653" s="29"/>
    </row>
    <row r="654" spans="1:10" customFormat="1" ht="16.5" x14ac:dyDescent="0.3">
      <c r="A654" s="66">
        <f>A653+(G653*H653)</f>
        <v>5402</v>
      </c>
      <c r="B654" s="9" t="s">
        <v>265</v>
      </c>
      <c r="C654" s="66"/>
      <c r="D654" s="66"/>
      <c r="E654" s="16" t="s">
        <v>59</v>
      </c>
      <c r="F654" s="16">
        <v>3</v>
      </c>
      <c r="G654" s="16">
        <f>IF(OR(E654="U16", E654="S16"),1,IF(E654="TS",6,2))</f>
        <v>2</v>
      </c>
      <c r="H654" s="66">
        <v>96</v>
      </c>
      <c r="I654" s="98"/>
      <c r="J654" s="29"/>
    </row>
    <row r="655" spans="1:10" customFormat="1" ht="16.5" x14ac:dyDescent="0.3">
      <c r="A655" s="66">
        <f>A654+(G654*H654)</f>
        <v>5594</v>
      </c>
      <c r="B655" s="9" t="s">
        <v>571</v>
      </c>
      <c r="C655" s="66"/>
      <c r="D655" s="66"/>
      <c r="E655" s="16" t="s">
        <v>563</v>
      </c>
      <c r="F655" s="16">
        <v>3</v>
      </c>
      <c r="G655" s="16">
        <f t="shared" si="49"/>
        <v>1</v>
      </c>
      <c r="H655" s="66">
        <v>6</v>
      </c>
      <c r="I655" s="98"/>
      <c r="J655" s="29"/>
    </row>
    <row r="656" spans="1:10" customFormat="1" ht="16.5" x14ac:dyDescent="0.3">
      <c r="A656" s="122" t="s">
        <v>569</v>
      </c>
      <c r="B656" s="122"/>
      <c r="C656" s="122"/>
      <c r="D656" s="122"/>
      <c r="E656" s="122"/>
      <c r="F656" s="122"/>
      <c r="G656" s="122"/>
      <c r="H656" s="122"/>
      <c r="I656" s="104"/>
      <c r="J656" s="29"/>
    </row>
    <row r="657" spans="1:10" customFormat="1" ht="16.5" x14ac:dyDescent="0.3">
      <c r="A657" s="66">
        <f>A655+(G655*H655)</f>
        <v>5600</v>
      </c>
      <c r="B657" s="9" t="s">
        <v>400</v>
      </c>
      <c r="C657" s="66"/>
      <c r="D657" s="66"/>
      <c r="E657" s="16" t="s">
        <v>114</v>
      </c>
      <c r="F657" s="16">
        <v>3</v>
      </c>
      <c r="G657" s="16">
        <f t="shared" ref="G657:G681" si="50">IF(OR(E657="U16", E657="S16"),1,IF(E657="TS",6,2))</f>
        <v>1</v>
      </c>
      <c r="H657" s="66">
        <v>1</v>
      </c>
      <c r="I657" s="98"/>
      <c r="J657" s="29"/>
    </row>
    <row r="658" spans="1:10" customFormat="1" ht="15.95" customHeight="1" x14ac:dyDescent="0.3">
      <c r="A658" s="66">
        <f t="shared" ref="A658:A708" si="51">A657+(G657*H657)</f>
        <v>5601</v>
      </c>
      <c r="B658" s="9" t="s">
        <v>401</v>
      </c>
      <c r="C658" s="66"/>
      <c r="D658" s="66"/>
      <c r="E658" s="16" t="s">
        <v>114</v>
      </c>
      <c r="F658" s="16">
        <v>3</v>
      </c>
      <c r="G658" s="16">
        <f t="shared" si="50"/>
        <v>1</v>
      </c>
      <c r="H658" s="66">
        <v>1</v>
      </c>
      <c r="I658" s="98"/>
      <c r="J658" s="29"/>
    </row>
    <row r="659" spans="1:10" customFormat="1" ht="16.5" x14ac:dyDescent="0.3">
      <c r="A659" s="66">
        <f t="shared" si="51"/>
        <v>5602</v>
      </c>
      <c r="B659" s="9" t="s">
        <v>117</v>
      </c>
      <c r="C659" s="66"/>
      <c r="D659" s="66"/>
      <c r="E659" s="16" t="s">
        <v>92</v>
      </c>
      <c r="F659" s="16">
        <v>3</v>
      </c>
      <c r="G659" s="16">
        <f t="shared" si="50"/>
        <v>2</v>
      </c>
      <c r="H659" s="66">
        <v>1</v>
      </c>
      <c r="I659" s="98"/>
      <c r="J659" s="29"/>
    </row>
    <row r="660" spans="1:10" customFormat="1" ht="16.5" x14ac:dyDescent="0.3">
      <c r="A660" s="117">
        <f t="shared" si="51"/>
        <v>5604</v>
      </c>
      <c r="B660" s="149" t="s">
        <v>30</v>
      </c>
      <c r="C660" s="116" t="s">
        <v>1153</v>
      </c>
      <c r="D660" s="117"/>
      <c r="E660" s="16" t="s">
        <v>58</v>
      </c>
      <c r="F660" s="16">
        <v>3</v>
      </c>
      <c r="G660" s="16">
        <f t="shared" ref="G660:G661" si="52">IF(OR(E660="U16", E660="S16"),1,IF(E660="TS",6,2))</f>
        <v>2</v>
      </c>
      <c r="H660" s="117">
        <v>1</v>
      </c>
      <c r="I660" s="98"/>
      <c r="J660" s="29"/>
    </row>
    <row r="661" spans="1:10" customFormat="1" ht="16.5" x14ac:dyDescent="0.3">
      <c r="A661" s="117">
        <f t="shared" si="51"/>
        <v>5606</v>
      </c>
      <c r="B661" s="150"/>
      <c r="C661" s="116" t="s">
        <v>1152</v>
      </c>
      <c r="D661" s="117"/>
      <c r="E661" s="16" t="s">
        <v>91</v>
      </c>
      <c r="F661" s="16">
        <v>3</v>
      </c>
      <c r="G661" s="16">
        <f t="shared" si="52"/>
        <v>2</v>
      </c>
      <c r="H661" s="117">
        <v>1</v>
      </c>
      <c r="I661" s="98"/>
      <c r="J661" s="29"/>
    </row>
    <row r="662" spans="1:10" customFormat="1" ht="16.5" x14ac:dyDescent="0.3">
      <c r="A662" s="117">
        <f t="shared" si="51"/>
        <v>5608</v>
      </c>
      <c r="B662" s="150"/>
      <c r="C662" s="116" t="s">
        <v>1154</v>
      </c>
      <c r="D662" s="117"/>
      <c r="E662" s="16" t="s">
        <v>58</v>
      </c>
      <c r="F662" s="16">
        <v>3</v>
      </c>
      <c r="G662" s="16">
        <f t="shared" ref="G662:G663" si="53">IF(OR(E662="U16", E662="S16"),1,IF(E662="TS",6,2))</f>
        <v>2</v>
      </c>
      <c r="H662" s="117">
        <v>1</v>
      </c>
      <c r="I662" s="98"/>
      <c r="J662" s="29"/>
    </row>
    <row r="663" spans="1:10" customFormat="1" ht="16.5" x14ac:dyDescent="0.3">
      <c r="A663" s="117">
        <f t="shared" si="51"/>
        <v>5610</v>
      </c>
      <c r="B663" s="151"/>
      <c r="C663" s="116" t="s">
        <v>1155</v>
      </c>
      <c r="D663" s="117"/>
      <c r="E663" s="16" t="s">
        <v>91</v>
      </c>
      <c r="F663" s="16">
        <v>3</v>
      </c>
      <c r="G663" s="16">
        <f t="shared" si="53"/>
        <v>2</v>
      </c>
      <c r="H663" s="117">
        <v>1</v>
      </c>
      <c r="I663" s="98"/>
      <c r="J663" s="29"/>
    </row>
    <row r="664" spans="1:10" customFormat="1" ht="16.5" x14ac:dyDescent="0.3">
      <c r="A664" s="117">
        <f t="shared" si="51"/>
        <v>5612</v>
      </c>
      <c r="B664" s="9" t="s">
        <v>198</v>
      </c>
      <c r="C664" s="66"/>
      <c r="D664" s="66"/>
      <c r="E664" s="16" t="s">
        <v>58</v>
      </c>
      <c r="F664" s="16">
        <v>3</v>
      </c>
      <c r="G664" s="16">
        <f t="shared" si="50"/>
        <v>2</v>
      </c>
      <c r="H664" s="66">
        <v>4</v>
      </c>
      <c r="I664" s="98"/>
      <c r="J664" s="29"/>
    </row>
    <row r="665" spans="1:10" customFormat="1" ht="16.5" x14ac:dyDescent="0.3">
      <c r="A665" s="117">
        <f t="shared" si="51"/>
        <v>5620</v>
      </c>
      <c r="B665" s="9" t="s">
        <v>154</v>
      </c>
      <c r="C665" s="66"/>
      <c r="D665" s="66"/>
      <c r="E665" s="16" t="s">
        <v>59</v>
      </c>
      <c r="F665" s="16">
        <v>3</v>
      </c>
      <c r="G665" s="16">
        <f t="shared" si="50"/>
        <v>2</v>
      </c>
      <c r="H665" s="66">
        <v>4</v>
      </c>
      <c r="I665" s="98"/>
      <c r="J665" s="29"/>
    </row>
    <row r="666" spans="1:10" customFormat="1" ht="16.5" x14ac:dyDescent="0.3">
      <c r="A666" s="117">
        <f t="shared" si="51"/>
        <v>5628</v>
      </c>
      <c r="B666" s="9" t="s">
        <v>155</v>
      </c>
      <c r="C666" s="66"/>
      <c r="D666" s="66"/>
      <c r="E666" s="16" t="s">
        <v>59</v>
      </c>
      <c r="F666" s="16">
        <v>3</v>
      </c>
      <c r="G666" s="16">
        <f t="shared" si="50"/>
        <v>2</v>
      </c>
      <c r="H666" s="66">
        <v>4</v>
      </c>
      <c r="I666" s="98"/>
      <c r="J666" s="29"/>
    </row>
    <row r="667" spans="1:10" customFormat="1" ht="16.5" x14ac:dyDescent="0.3">
      <c r="A667" s="66">
        <f t="shared" si="51"/>
        <v>5636</v>
      </c>
      <c r="B667" s="9" t="s">
        <v>156</v>
      </c>
      <c r="C667" s="66"/>
      <c r="D667" s="66"/>
      <c r="E667" s="16" t="s">
        <v>59</v>
      </c>
      <c r="F667" s="16">
        <v>3</v>
      </c>
      <c r="G667" s="16">
        <f t="shared" si="50"/>
        <v>2</v>
      </c>
      <c r="H667" s="66">
        <v>4</v>
      </c>
      <c r="I667" s="98"/>
      <c r="J667" s="29"/>
    </row>
    <row r="668" spans="1:10" customFormat="1" ht="16.5" x14ac:dyDescent="0.3">
      <c r="A668" s="66">
        <f t="shared" si="51"/>
        <v>5644</v>
      </c>
      <c r="B668" s="9" t="s">
        <v>157</v>
      </c>
      <c r="C668" s="66"/>
      <c r="D668" s="66"/>
      <c r="E668" s="16" t="s">
        <v>59</v>
      </c>
      <c r="F668" s="16">
        <v>3</v>
      </c>
      <c r="G668" s="16">
        <f t="shared" si="50"/>
        <v>2</v>
      </c>
      <c r="H668" s="66">
        <v>4</v>
      </c>
      <c r="I668" s="98"/>
      <c r="J668" s="29"/>
    </row>
    <row r="669" spans="1:10" customFormat="1" ht="16.5" x14ac:dyDescent="0.3">
      <c r="A669" s="66">
        <f t="shared" si="51"/>
        <v>5652</v>
      </c>
      <c r="B669" s="9" t="s">
        <v>158</v>
      </c>
      <c r="C669" s="66"/>
      <c r="D669" s="66"/>
      <c r="E669" s="16" t="s">
        <v>59</v>
      </c>
      <c r="F669" s="16">
        <v>3</v>
      </c>
      <c r="G669" s="16">
        <f t="shared" si="50"/>
        <v>2</v>
      </c>
      <c r="H669" s="66">
        <v>4</v>
      </c>
      <c r="I669" s="98"/>
      <c r="J669" s="29"/>
    </row>
    <row r="670" spans="1:10" customFormat="1" ht="16.5" x14ac:dyDescent="0.3">
      <c r="A670" s="66">
        <f t="shared" si="51"/>
        <v>5660</v>
      </c>
      <c r="B670" s="9" t="s">
        <v>159</v>
      </c>
      <c r="C670" s="66"/>
      <c r="D670" s="66"/>
      <c r="E670" s="16" t="s">
        <v>59</v>
      </c>
      <c r="F670" s="16">
        <v>3</v>
      </c>
      <c r="G670" s="16">
        <f t="shared" si="50"/>
        <v>2</v>
      </c>
      <c r="H670" s="66">
        <v>4</v>
      </c>
      <c r="I670" s="98"/>
      <c r="J670" s="29"/>
    </row>
    <row r="671" spans="1:10" customFormat="1" ht="16.5" x14ac:dyDescent="0.3">
      <c r="A671" s="66">
        <f t="shared" si="51"/>
        <v>5668</v>
      </c>
      <c r="B671" s="9" t="s">
        <v>160</v>
      </c>
      <c r="C671" s="66"/>
      <c r="D671" s="66"/>
      <c r="E671" s="16" t="s">
        <v>59</v>
      </c>
      <c r="F671" s="16">
        <v>3</v>
      </c>
      <c r="G671" s="16">
        <f t="shared" si="50"/>
        <v>2</v>
      </c>
      <c r="H671" s="66">
        <v>4</v>
      </c>
      <c r="I671" s="98"/>
      <c r="J671" s="29"/>
    </row>
    <row r="672" spans="1:10" customFormat="1" ht="16.5" x14ac:dyDescent="0.3">
      <c r="A672" s="66">
        <f t="shared" si="51"/>
        <v>5676</v>
      </c>
      <c r="B672" s="9" t="s">
        <v>161</v>
      </c>
      <c r="C672" s="66"/>
      <c r="D672" s="66"/>
      <c r="E672" s="16" t="s">
        <v>59</v>
      </c>
      <c r="F672" s="16">
        <v>3</v>
      </c>
      <c r="G672" s="16">
        <f t="shared" si="50"/>
        <v>2</v>
      </c>
      <c r="H672" s="66">
        <v>4</v>
      </c>
      <c r="I672" s="98"/>
      <c r="J672" s="29"/>
    </row>
    <row r="673" spans="1:10" customFormat="1" ht="16.5" x14ac:dyDescent="0.3">
      <c r="A673" s="66">
        <f t="shared" si="51"/>
        <v>5684</v>
      </c>
      <c r="B673" s="9" t="s">
        <v>0</v>
      </c>
      <c r="C673" s="66"/>
      <c r="D673" s="66"/>
      <c r="E673" s="16" t="s">
        <v>59</v>
      </c>
      <c r="F673" s="16">
        <v>3</v>
      </c>
      <c r="G673" s="16">
        <f t="shared" si="50"/>
        <v>2</v>
      </c>
      <c r="H673" s="66">
        <v>4</v>
      </c>
      <c r="I673" s="98"/>
      <c r="J673" s="29"/>
    </row>
    <row r="674" spans="1:10" customFormat="1" ht="16.5" x14ac:dyDescent="0.3">
      <c r="A674" s="66">
        <f t="shared" si="51"/>
        <v>5692</v>
      </c>
      <c r="B674" s="9" t="s">
        <v>119</v>
      </c>
      <c r="C674" s="66"/>
      <c r="D674" s="66"/>
      <c r="E674" s="16" t="s">
        <v>59</v>
      </c>
      <c r="F674" s="16">
        <v>3</v>
      </c>
      <c r="G674" s="16">
        <f t="shared" si="50"/>
        <v>2</v>
      </c>
      <c r="H674" s="66">
        <v>4</v>
      </c>
      <c r="I674" s="98"/>
      <c r="J674" s="29"/>
    </row>
    <row r="675" spans="1:10" customFormat="1" ht="16.5" x14ac:dyDescent="0.3">
      <c r="A675" s="66">
        <f t="shared" si="51"/>
        <v>5700</v>
      </c>
      <c r="B675" s="9" t="s">
        <v>120</v>
      </c>
      <c r="C675" s="66"/>
      <c r="D675" s="66"/>
      <c r="E675" s="16" t="s">
        <v>59</v>
      </c>
      <c r="F675" s="16">
        <v>3</v>
      </c>
      <c r="G675" s="16">
        <f t="shared" si="50"/>
        <v>2</v>
      </c>
      <c r="H675" s="66">
        <v>4</v>
      </c>
      <c r="I675" s="98"/>
      <c r="J675" s="29"/>
    </row>
    <row r="676" spans="1:10" customFormat="1" ht="16.5" x14ac:dyDescent="0.3">
      <c r="A676" s="66">
        <f t="shared" si="51"/>
        <v>5708</v>
      </c>
      <c r="B676" s="9" t="s">
        <v>129</v>
      </c>
      <c r="C676" s="66"/>
      <c r="D676" s="66"/>
      <c r="E676" s="16" t="s">
        <v>59</v>
      </c>
      <c r="F676" s="16">
        <v>3</v>
      </c>
      <c r="G676" s="16">
        <f t="shared" si="50"/>
        <v>2</v>
      </c>
      <c r="H676" s="66">
        <v>4</v>
      </c>
      <c r="I676" s="98"/>
      <c r="J676" s="29"/>
    </row>
    <row r="677" spans="1:10" customFormat="1" ht="16.5" x14ac:dyDescent="0.3">
      <c r="A677" s="66">
        <f t="shared" si="51"/>
        <v>5716</v>
      </c>
      <c r="B677" s="9" t="s">
        <v>131</v>
      </c>
      <c r="C677" s="66"/>
      <c r="D677" s="66"/>
      <c r="E677" s="16" t="s">
        <v>59</v>
      </c>
      <c r="F677" s="16">
        <v>3</v>
      </c>
      <c r="G677" s="16">
        <f t="shared" si="50"/>
        <v>2</v>
      </c>
      <c r="H677" s="66">
        <v>4</v>
      </c>
      <c r="I677" s="98"/>
      <c r="J677" s="29"/>
    </row>
    <row r="678" spans="1:10" customFormat="1" ht="16.5" x14ac:dyDescent="0.3">
      <c r="A678" s="66">
        <f t="shared" si="51"/>
        <v>5724</v>
      </c>
      <c r="B678" s="9" t="s">
        <v>122</v>
      </c>
      <c r="C678" s="66"/>
      <c r="D678" s="66"/>
      <c r="E678" s="16" t="s">
        <v>59</v>
      </c>
      <c r="F678" s="16">
        <v>3</v>
      </c>
      <c r="G678" s="16">
        <f t="shared" si="50"/>
        <v>2</v>
      </c>
      <c r="H678" s="66">
        <v>4</v>
      </c>
      <c r="I678" s="98"/>
      <c r="J678" s="29"/>
    </row>
    <row r="679" spans="1:10" customFormat="1" ht="16.5" x14ac:dyDescent="0.3">
      <c r="A679" s="66">
        <f t="shared" si="51"/>
        <v>5732</v>
      </c>
      <c r="B679" s="9" t="s">
        <v>130</v>
      </c>
      <c r="C679" s="66"/>
      <c r="D679" s="66"/>
      <c r="E679" s="16" t="s">
        <v>59</v>
      </c>
      <c r="F679" s="16">
        <v>3</v>
      </c>
      <c r="G679" s="16">
        <f t="shared" si="50"/>
        <v>2</v>
      </c>
      <c r="H679" s="66">
        <v>4</v>
      </c>
      <c r="I679" s="98"/>
      <c r="J679" s="29"/>
    </row>
    <row r="680" spans="1:10" customFormat="1" ht="16.5" x14ac:dyDescent="0.3">
      <c r="A680" s="66">
        <f t="shared" si="51"/>
        <v>5740</v>
      </c>
      <c r="B680" s="9" t="s">
        <v>60</v>
      </c>
      <c r="C680" s="66"/>
      <c r="D680" s="66"/>
      <c r="E680" s="16" t="s">
        <v>59</v>
      </c>
      <c r="F680" s="16">
        <v>3</v>
      </c>
      <c r="G680" s="16">
        <f t="shared" si="50"/>
        <v>2</v>
      </c>
      <c r="H680" s="66">
        <v>4</v>
      </c>
      <c r="I680" s="98"/>
      <c r="J680" s="29"/>
    </row>
    <row r="681" spans="1:10" customFormat="1" ht="16.5" x14ac:dyDescent="0.3">
      <c r="A681" s="66">
        <f t="shared" si="51"/>
        <v>5748</v>
      </c>
      <c r="B681" s="9" t="s">
        <v>3</v>
      </c>
      <c r="C681" s="66"/>
      <c r="D681" s="66"/>
      <c r="E681" s="16" t="s">
        <v>58</v>
      </c>
      <c r="F681" s="16">
        <v>3</v>
      </c>
      <c r="G681" s="16">
        <f t="shared" si="50"/>
        <v>2</v>
      </c>
      <c r="H681" s="66">
        <v>4</v>
      </c>
      <c r="I681" s="98"/>
      <c r="J681" s="29"/>
    </row>
    <row r="682" spans="1:10" customFormat="1" ht="16.5" x14ac:dyDescent="0.3">
      <c r="A682" s="66">
        <f t="shared" si="51"/>
        <v>5756</v>
      </c>
      <c r="B682" s="9" t="s">
        <v>4</v>
      </c>
      <c r="C682" s="66"/>
      <c r="D682" s="66"/>
      <c r="E682" s="16" t="s">
        <v>59</v>
      </c>
      <c r="F682" s="16">
        <v>3</v>
      </c>
      <c r="G682" s="16">
        <f>IF(OR(E682="U16", E682="S16"),1,IF(E682="TS",6,2))</f>
        <v>2</v>
      </c>
      <c r="H682" s="66">
        <v>4</v>
      </c>
      <c r="I682" s="98"/>
      <c r="J682" s="29"/>
    </row>
    <row r="683" spans="1:10" customFormat="1" ht="16.5" x14ac:dyDescent="0.3">
      <c r="A683" s="66">
        <f t="shared" si="51"/>
        <v>5764</v>
      </c>
      <c r="B683" s="9" t="s">
        <v>61</v>
      </c>
      <c r="C683" s="66"/>
      <c r="D683" s="66"/>
      <c r="E683" s="16" t="s">
        <v>59</v>
      </c>
      <c r="F683" s="16">
        <v>3</v>
      </c>
      <c r="G683" s="16">
        <f>IF(OR(E683="U16", E683="S16"),1,IF(E683="TS",6,2))</f>
        <v>2</v>
      </c>
      <c r="H683" s="66">
        <v>4</v>
      </c>
      <c r="I683" s="98"/>
      <c r="J683" s="29"/>
    </row>
    <row r="684" spans="1:10" customFormat="1" ht="16.5" x14ac:dyDescent="0.3">
      <c r="A684" s="66">
        <f t="shared" si="51"/>
        <v>5772</v>
      </c>
      <c r="B684" s="9" t="s">
        <v>62</v>
      </c>
      <c r="C684" s="66"/>
      <c r="D684" s="66"/>
      <c r="E684" s="16" t="s">
        <v>59</v>
      </c>
      <c r="F684" s="16">
        <v>3</v>
      </c>
      <c r="G684" s="16">
        <f>IF(OR(E684="U16", E684="S16"),1,IF(E684="TS",6,2))</f>
        <v>2</v>
      </c>
      <c r="H684" s="66">
        <v>4</v>
      </c>
      <c r="I684" s="98"/>
      <c r="J684" s="29"/>
    </row>
    <row r="685" spans="1:10" customFormat="1" ht="16.5" x14ac:dyDescent="0.3">
      <c r="A685" s="66">
        <f t="shared" si="51"/>
        <v>5780</v>
      </c>
      <c r="B685" s="9" t="s">
        <v>63</v>
      </c>
      <c r="C685" s="66"/>
      <c r="D685" s="66"/>
      <c r="E685" s="16" t="s">
        <v>59</v>
      </c>
      <c r="F685" s="16">
        <v>3</v>
      </c>
      <c r="G685" s="16">
        <f>IF(OR(E685="U16", E685="S16"),1,IF(E685="TS",6,2))</f>
        <v>2</v>
      </c>
      <c r="H685" s="66">
        <v>4</v>
      </c>
      <c r="I685" s="98"/>
      <c r="J685" s="29"/>
    </row>
    <row r="686" spans="1:10" customFormat="1" ht="16.5" x14ac:dyDescent="0.3">
      <c r="A686" s="66">
        <f t="shared" si="51"/>
        <v>5788</v>
      </c>
      <c r="B686" s="9" t="s">
        <v>64</v>
      </c>
      <c r="C686" s="66"/>
      <c r="D686" s="66"/>
      <c r="E686" s="16" t="s">
        <v>59</v>
      </c>
      <c r="F686" s="16">
        <v>3</v>
      </c>
      <c r="G686" s="16">
        <f t="shared" ref="G686:G703" si="54">IF(OR(E686="U16", E686="S16"),1,IF(E686="TS",6,2))</f>
        <v>2</v>
      </c>
      <c r="H686" s="66">
        <v>4</v>
      </c>
      <c r="I686" s="98"/>
      <c r="J686" s="29"/>
    </row>
    <row r="687" spans="1:10" customFormat="1" ht="16.5" x14ac:dyDescent="0.3">
      <c r="A687" s="66">
        <f t="shared" si="51"/>
        <v>5796</v>
      </c>
      <c r="B687" s="9" t="s">
        <v>65</v>
      </c>
      <c r="C687" s="66"/>
      <c r="D687" s="66"/>
      <c r="E687" s="16" t="s">
        <v>59</v>
      </c>
      <c r="F687" s="16">
        <v>3</v>
      </c>
      <c r="G687" s="16">
        <f t="shared" si="54"/>
        <v>2</v>
      </c>
      <c r="H687" s="66">
        <v>4</v>
      </c>
      <c r="I687" s="98"/>
      <c r="J687" s="29"/>
    </row>
    <row r="688" spans="1:10" customFormat="1" ht="16.5" x14ac:dyDescent="0.3">
      <c r="A688" s="66">
        <f t="shared" si="51"/>
        <v>5804</v>
      </c>
      <c r="B688" s="9" t="s">
        <v>66</v>
      </c>
      <c r="C688" s="66"/>
      <c r="D688" s="66"/>
      <c r="E688" s="16" t="s">
        <v>59</v>
      </c>
      <c r="F688" s="16">
        <v>3</v>
      </c>
      <c r="G688" s="16">
        <f t="shared" si="54"/>
        <v>2</v>
      </c>
      <c r="H688" s="66">
        <v>4</v>
      </c>
      <c r="I688" s="98"/>
      <c r="J688" s="29"/>
    </row>
    <row r="689" spans="1:10" ht="15.95" customHeight="1" x14ac:dyDescent="0.3">
      <c r="A689" s="66">
        <f t="shared" si="51"/>
        <v>5812</v>
      </c>
      <c r="B689" s="9" t="s">
        <v>6</v>
      </c>
      <c r="C689" s="66"/>
      <c r="D689" s="66"/>
      <c r="E689" s="16" t="s">
        <v>59</v>
      </c>
      <c r="F689" s="16">
        <v>3</v>
      </c>
      <c r="G689" s="16">
        <f t="shared" si="54"/>
        <v>2</v>
      </c>
      <c r="H689" s="66">
        <v>4</v>
      </c>
      <c r="I689" s="98"/>
    </row>
    <row r="690" spans="1:10" customFormat="1" ht="16.5" x14ac:dyDescent="0.3">
      <c r="A690" s="66">
        <f t="shared" si="51"/>
        <v>5820</v>
      </c>
      <c r="B690" s="9" t="s">
        <v>7</v>
      </c>
      <c r="C690" s="66"/>
      <c r="D690" s="66"/>
      <c r="E690" s="16" t="s">
        <v>59</v>
      </c>
      <c r="F690" s="16">
        <v>3</v>
      </c>
      <c r="G690" s="16">
        <f t="shared" si="54"/>
        <v>2</v>
      </c>
      <c r="H690" s="66">
        <v>4</v>
      </c>
      <c r="I690" s="98"/>
      <c r="J690" s="29"/>
    </row>
    <row r="691" spans="1:10" customFormat="1" ht="16.5" x14ac:dyDescent="0.3">
      <c r="A691" s="66">
        <f t="shared" si="51"/>
        <v>5828</v>
      </c>
      <c r="B691" s="9" t="s">
        <v>67</v>
      </c>
      <c r="C691" s="66"/>
      <c r="D691" s="66"/>
      <c r="E691" s="16" t="s">
        <v>59</v>
      </c>
      <c r="F691" s="16">
        <v>3</v>
      </c>
      <c r="G691" s="16">
        <f t="shared" si="54"/>
        <v>2</v>
      </c>
      <c r="H691" s="66">
        <v>4</v>
      </c>
      <c r="I691" s="98"/>
      <c r="J691" s="29"/>
    </row>
    <row r="692" spans="1:10" customFormat="1" ht="16.5" x14ac:dyDescent="0.3">
      <c r="A692" s="66">
        <f t="shared" si="51"/>
        <v>5836</v>
      </c>
      <c r="B692" s="9" t="s">
        <v>135</v>
      </c>
      <c r="C692" s="66"/>
      <c r="D692" s="66"/>
      <c r="E692" s="16" t="s">
        <v>59</v>
      </c>
      <c r="F692" s="16">
        <v>3</v>
      </c>
      <c r="G692" s="16">
        <f t="shared" si="54"/>
        <v>2</v>
      </c>
      <c r="H692" s="66">
        <v>4</v>
      </c>
      <c r="I692" s="98"/>
      <c r="J692" s="29"/>
    </row>
    <row r="693" spans="1:10" customFormat="1" ht="16.5" x14ac:dyDescent="0.3">
      <c r="A693" s="66">
        <f t="shared" si="51"/>
        <v>5844</v>
      </c>
      <c r="B693" s="9" t="s">
        <v>136</v>
      </c>
      <c r="C693" s="66"/>
      <c r="D693" s="66"/>
      <c r="E693" s="16" t="s">
        <v>59</v>
      </c>
      <c r="F693" s="16">
        <v>3</v>
      </c>
      <c r="G693" s="16">
        <f t="shared" si="54"/>
        <v>2</v>
      </c>
      <c r="H693" s="66">
        <v>4</v>
      </c>
      <c r="I693" s="98"/>
      <c r="J693" s="29"/>
    </row>
    <row r="694" spans="1:10" customFormat="1" ht="16.5" x14ac:dyDescent="0.3">
      <c r="A694" s="66">
        <f t="shared" si="51"/>
        <v>5852</v>
      </c>
      <c r="B694" s="9" t="s">
        <v>137</v>
      </c>
      <c r="C694" s="66"/>
      <c r="D694" s="66"/>
      <c r="E694" s="16" t="s">
        <v>59</v>
      </c>
      <c r="F694" s="16">
        <v>3</v>
      </c>
      <c r="G694" s="16">
        <f t="shared" si="54"/>
        <v>2</v>
      </c>
      <c r="H694" s="66">
        <v>4</v>
      </c>
      <c r="I694" s="98"/>
      <c r="J694" s="29"/>
    </row>
    <row r="695" spans="1:10" customFormat="1" ht="16.5" x14ac:dyDescent="0.3">
      <c r="A695" s="66">
        <f t="shared" si="51"/>
        <v>5860</v>
      </c>
      <c r="B695" s="9" t="s">
        <v>81</v>
      </c>
      <c r="C695" s="66"/>
      <c r="D695" s="66"/>
      <c r="E695" s="16" t="s">
        <v>59</v>
      </c>
      <c r="F695" s="16">
        <v>3</v>
      </c>
      <c r="G695" s="16">
        <f t="shared" si="54"/>
        <v>2</v>
      </c>
      <c r="H695" s="66">
        <v>4</v>
      </c>
      <c r="I695" s="98"/>
      <c r="J695" s="29"/>
    </row>
    <row r="696" spans="1:10" customFormat="1" ht="16.5" x14ac:dyDescent="0.3">
      <c r="A696" s="66">
        <f t="shared" si="51"/>
        <v>5868</v>
      </c>
      <c r="B696" s="9" t="s">
        <v>237</v>
      </c>
      <c r="C696" s="66"/>
      <c r="D696" s="66"/>
      <c r="E696" s="16" t="s">
        <v>59</v>
      </c>
      <c r="F696" s="16">
        <v>3</v>
      </c>
      <c r="G696" s="16">
        <f t="shared" si="54"/>
        <v>2</v>
      </c>
      <c r="H696" s="66">
        <v>4</v>
      </c>
      <c r="I696" s="98"/>
      <c r="J696" s="29"/>
    </row>
    <row r="697" spans="1:10" customFormat="1" ht="16.5" x14ac:dyDescent="0.3">
      <c r="A697" s="66">
        <f t="shared" si="51"/>
        <v>5876</v>
      </c>
      <c r="B697" s="9" t="s">
        <v>238</v>
      </c>
      <c r="C697" s="66"/>
      <c r="D697" s="66"/>
      <c r="E697" s="16" t="s">
        <v>59</v>
      </c>
      <c r="F697" s="16">
        <v>3</v>
      </c>
      <c r="G697" s="16">
        <f t="shared" si="54"/>
        <v>2</v>
      </c>
      <c r="H697" s="66">
        <v>4</v>
      </c>
      <c r="I697" s="98"/>
      <c r="J697" s="29"/>
    </row>
    <row r="698" spans="1:10" customFormat="1" ht="16.5" x14ac:dyDescent="0.3">
      <c r="A698" s="66">
        <f t="shared" si="51"/>
        <v>5884</v>
      </c>
      <c r="B698" s="9" t="s">
        <v>239</v>
      </c>
      <c r="C698" s="66"/>
      <c r="D698" s="66"/>
      <c r="E698" s="16" t="s">
        <v>59</v>
      </c>
      <c r="F698" s="16">
        <v>3</v>
      </c>
      <c r="G698" s="16">
        <f t="shared" si="54"/>
        <v>2</v>
      </c>
      <c r="H698" s="66">
        <v>4</v>
      </c>
      <c r="I698" s="98"/>
      <c r="J698" s="29"/>
    </row>
    <row r="699" spans="1:10" customFormat="1" ht="16.5" x14ac:dyDescent="0.3">
      <c r="A699" s="66">
        <f t="shared" si="51"/>
        <v>5892</v>
      </c>
      <c r="B699" s="9" t="s">
        <v>240</v>
      </c>
      <c r="C699" s="66"/>
      <c r="D699" s="66"/>
      <c r="E699" s="16" t="s">
        <v>59</v>
      </c>
      <c r="F699" s="16">
        <v>3</v>
      </c>
      <c r="G699" s="16">
        <f t="shared" si="54"/>
        <v>2</v>
      </c>
      <c r="H699" s="66">
        <v>4</v>
      </c>
      <c r="I699" s="98"/>
      <c r="J699" s="29"/>
    </row>
    <row r="700" spans="1:10" customFormat="1" ht="16.5" x14ac:dyDescent="0.3">
      <c r="A700" s="66">
        <f t="shared" si="51"/>
        <v>5900</v>
      </c>
      <c r="B700" s="9" t="s">
        <v>241</v>
      </c>
      <c r="C700" s="66"/>
      <c r="D700" s="66"/>
      <c r="E700" s="16" t="s">
        <v>59</v>
      </c>
      <c r="F700" s="16">
        <v>3</v>
      </c>
      <c r="G700" s="16">
        <f t="shared" si="54"/>
        <v>2</v>
      </c>
      <c r="H700" s="66">
        <v>4</v>
      </c>
      <c r="I700" s="98"/>
      <c r="J700" s="29"/>
    </row>
    <row r="701" spans="1:10" customFormat="1" ht="16.5" x14ac:dyDescent="0.3">
      <c r="A701" s="66">
        <f t="shared" si="51"/>
        <v>5908</v>
      </c>
      <c r="B701" s="9" t="s">
        <v>242</v>
      </c>
      <c r="C701" s="66"/>
      <c r="D701" s="66"/>
      <c r="E701" s="16" t="s">
        <v>59</v>
      </c>
      <c r="F701" s="16">
        <v>3</v>
      </c>
      <c r="G701" s="16">
        <f t="shared" si="54"/>
        <v>2</v>
      </c>
      <c r="H701" s="66">
        <v>4</v>
      </c>
      <c r="I701" s="98"/>
      <c r="J701" s="29"/>
    </row>
    <row r="702" spans="1:10" customFormat="1" ht="16.5" customHeight="1" x14ac:dyDescent="0.3">
      <c r="A702" s="66">
        <f t="shared" si="51"/>
        <v>5916</v>
      </c>
      <c r="B702" s="9" t="s">
        <v>243</v>
      </c>
      <c r="C702" s="66"/>
      <c r="D702" s="66"/>
      <c r="E702" s="16" t="s">
        <v>59</v>
      </c>
      <c r="F702" s="16">
        <v>3</v>
      </c>
      <c r="G702" s="16">
        <f t="shared" si="54"/>
        <v>2</v>
      </c>
      <c r="H702" s="66">
        <v>4</v>
      </c>
      <c r="I702" s="98"/>
      <c r="J702" s="29"/>
    </row>
    <row r="703" spans="1:10" customFormat="1" ht="16.5" x14ac:dyDescent="0.3">
      <c r="A703" s="66">
        <f t="shared" si="51"/>
        <v>5924</v>
      </c>
      <c r="B703" s="9" t="s">
        <v>25</v>
      </c>
      <c r="C703" s="66"/>
      <c r="D703" s="66"/>
      <c r="E703" s="16" t="s">
        <v>59</v>
      </c>
      <c r="F703" s="16">
        <v>3</v>
      </c>
      <c r="G703" s="16">
        <f t="shared" si="54"/>
        <v>2</v>
      </c>
      <c r="H703" s="66">
        <v>4</v>
      </c>
      <c r="I703" s="98"/>
      <c r="J703" s="29"/>
    </row>
    <row r="704" spans="1:10" customFormat="1" ht="16.5" customHeight="1" x14ac:dyDescent="0.3">
      <c r="A704" s="66">
        <f t="shared" si="51"/>
        <v>5932</v>
      </c>
      <c r="B704" s="9" t="s">
        <v>26</v>
      </c>
      <c r="C704" s="66"/>
      <c r="D704" s="66"/>
      <c r="E704" s="16" t="s">
        <v>59</v>
      </c>
      <c r="F704" s="16">
        <v>3</v>
      </c>
      <c r="G704" s="16">
        <f>IF(OR(E704="U16", E704="S16"),1,IF(E704="TS",6,2))</f>
        <v>2</v>
      </c>
      <c r="H704" s="66">
        <v>4</v>
      </c>
      <c r="I704" s="98"/>
      <c r="J704" s="29"/>
    </row>
    <row r="705" spans="1:10" customFormat="1" ht="16.5" customHeight="1" x14ac:dyDescent="0.3">
      <c r="A705" s="66">
        <f t="shared" si="51"/>
        <v>5940</v>
      </c>
      <c r="B705" s="9" t="s">
        <v>402</v>
      </c>
      <c r="C705" s="66"/>
      <c r="D705" s="66"/>
      <c r="E705" s="16" t="s">
        <v>259</v>
      </c>
      <c r="F705" s="16">
        <v>3</v>
      </c>
      <c r="G705" s="16">
        <f>IF(OR(E705="U16", E705="S16"),1,IF(E705="TS",6,2))</f>
        <v>2</v>
      </c>
      <c r="H705" s="66">
        <v>1</v>
      </c>
      <c r="I705" s="98"/>
      <c r="J705" s="29"/>
    </row>
    <row r="706" spans="1:10" customFormat="1" ht="16.5" customHeight="1" x14ac:dyDescent="0.3">
      <c r="A706" s="66">
        <f t="shared" si="51"/>
        <v>5942</v>
      </c>
      <c r="B706" s="9" t="s">
        <v>196</v>
      </c>
      <c r="C706" s="66"/>
      <c r="D706" s="66"/>
      <c r="E706" s="16" t="s">
        <v>123</v>
      </c>
      <c r="F706" s="16">
        <v>3</v>
      </c>
      <c r="G706" s="16">
        <f>IF(OR(E706="U16", E706="S16"),1,IF(E706="TS",6,2))</f>
        <v>1</v>
      </c>
      <c r="H706" s="66">
        <v>1</v>
      </c>
      <c r="I706" s="98"/>
      <c r="J706" s="29"/>
    </row>
    <row r="707" spans="1:10" customFormat="1" ht="16.5" customHeight="1" x14ac:dyDescent="0.3">
      <c r="A707" s="66">
        <f t="shared" si="51"/>
        <v>5943</v>
      </c>
      <c r="B707" s="9" t="s">
        <v>398</v>
      </c>
      <c r="C707" s="66"/>
      <c r="D707" s="66"/>
      <c r="E707" s="16" t="s">
        <v>123</v>
      </c>
      <c r="F707" s="16">
        <v>3</v>
      </c>
      <c r="G707" s="16">
        <f>IF(OR(E707="U16", E707="S16"),1,IF(E707="TS",6,2))</f>
        <v>1</v>
      </c>
      <c r="H707" s="66">
        <v>1</v>
      </c>
      <c r="I707" s="98"/>
      <c r="J707" s="29"/>
    </row>
    <row r="708" spans="1:10" customFormat="1" ht="16.5" customHeight="1" x14ac:dyDescent="0.3">
      <c r="A708" s="66">
        <f t="shared" si="51"/>
        <v>5944</v>
      </c>
      <c r="B708" s="9"/>
      <c r="C708" s="66"/>
      <c r="D708" s="66"/>
      <c r="E708" s="16" t="s">
        <v>123</v>
      </c>
      <c r="F708" s="16">
        <v>3</v>
      </c>
      <c r="G708" s="16">
        <f>IF(OR(E708="U16", E708="S16"),1,IF(E708="TS",6,2))</f>
        <v>1</v>
      </c>
      <c r="H708" s="66">
        <v>6</v>
      </c>
      <c r="I708" s="98"/>
      <c r="J708" s="29"/>
    </row>
    <row r="709" spans="1:10" ht="13.5" customHeight="1" x14ac:dyDescent="0.3">
      <c r="A709" s="122" t="s">
        <v>1063</v>
      </c>
      <c r="B709" s="122"/>
      <c r="C709" s="122"/>
      <c r="D709" s="122"/>
      <c r="E709" s="122"/>
      <c r="F709" s="122"/>
      <c r="G709" s="122"/>
      <c r="H709" s="122"/>
      <c r="I709" s="104"/>
      <c r="J709" s="72"/>
    </row>
    <row r="710" spans="1:10" ht="13.5" customHeight="1" x14ac:dyDescent="0.3">
      <c r="A710" s="66">
        <f>A708+(G708*H708)</f>
        <v>5950</v>
      </c>
      <c r="B710" s="15" t="s">
        <v>400</v>
      </c>
      <c r="C710" s="66"/>
      <c r="D710" s="66"/>
      <c r="E710" s="16" t="s">
        <v>123</v>
      </c>
      <c r="F710" s="16">
        <v>3</v>
      </c>
      <c r="G710" s="16">
        <f t="shared" ref="G710:G722" si="55">IF(OR(E710="U16", E710="S16"),1,IF(E710="TS",6,2))</f>
        <v>1</v>
      </c>
      <c r="H710" s="66">
        <v>1</v>
      </c>
      <c r="I710" s="98"/>
      <c r="J710" s="72"/>
    </row>
    <row r="711" spans="1:10" ht="13.5" customHeight="1" x14ac:dyDescent="0.3">
      <c r="A711" s="66">
        <f t="shared" ref="A711:A754" si="56">A710+(G710*H710)</f>
        <v>5951</v>
      </c>
      <c r="B711" s="15" t="s">
        <v>401</v>
      </c>
      <c r="C711" s="66"/>
      <c r="D711" s="66"/>
      <c r="E711" s="16" t="s">
        <v>123</v>
      </c>
      <c r="F711" s="16">
        <v>3</v>
      </c>
      <c r="G711" s="16">
        <f t="shared" si="55"/>
        <v>1</v>
      </c>
      <c r="H711" s="66">
        <v>1</v>
      </c>
      <c r="I711" s="98"/>
      <c r="J711" s="72"/>
    </row>
    <row r="712" spans="1:10" ht="13.5" customHeight="1" x14ac:dyDescent="0.3">
      <c r="A712" s="66">
        <f t="shared" si="56"/>
        <v>5952</v>
      </c>
      <c r="B712" s="22" t="s">
        <v>1064</v>
      </c>
      <c r="C712" s="66"/>
      <c r="D712" s="66"/>
      <c r="E712" s="16" t="s">
        <v>123</v>
      </c>
      <c r="F712" s="16">
        <v>3</v>
      </c>
      <c r="G712" s="16">
        <f t="shared" si="55"/>
        <v>1</v>
      </c>
      <c r="H712" s="66">
        <v>1</v>
      </c>
      <c r="I712" s="98"/>
      <c r="J712" s="72"/>
    </row>
    <row r="713" spans="1:10" ht="13.5" customHeight="1" x14ac:dyDescent="0.3">
      <c r="A713" s="66">
        <f t="shared" si="56"/>
        <v>5953</v>
      </c>
      <c r="B713" s="15" t="s">
        <v>1111</v>
      </c>
      <c r="C713" s="66"/>
      <c r="D713" s="66"/>
      <c r="E713" s="16" t="s">
        <v>123</v>
      </c>
      <c r="F713" s="16">
        <v>3</v>
      </c>
      <c r="G713" s="16">
        <f t="shared" si="55"/>
        <v>1</v>
      </c>
      <c r="H713" s="66">
        <v>1</v>
      </c>
      <c r="I713" s="98"/>
      <c r="J713" s="72"/>
    </row>
    <row r="714" spans="1:10" ht="13.5" customHeight="1" x14ac:dyDescent="0.3">
      <c r="A714" s="66">
        <f t="shared" si="56"/>
        <v>5954</v>
      </c>
      <c r="B714" s="128" t="s">
        <v>1065</v>
      </c>
      <c r="C714" s="3" t="s">
        <v>1066</v>
      </c>
      <c r="D714" s="66"/>
      <c r="E714" s="66" t="s">
        <v>91</v>
      </c>
      <c r="F714" s="66">
        <v>3</v>
      </c>
      <c r="G714" s="66">
        <f t="shared" si="55"/>
        <v>2</v>
      </c>
      <c r="H714" s="66">
        <v>1</v>
      </c>
      <c r="I714" s="98"/>
      <c r="J714" s="72"/>
    </row>
    <row r="715" spans="1:10" ht="13.5" customHeight="1" x14ac:dyDescent="0.3">
      <c r="A715" s="66">
        <f t="shared" si="56"/>
        <v>5956</v>
      </c>
      <c r="B715" s="128"/>
      <c r="C715" s="3" t="s">
        <v>442</v>
      </c>
      <c r="D715" s="66"/>
      <c r="E715" s="66" t="s">
        <v>123</v>
      </c>
      <c r="F715" s="66">
        <v>3</v>
      </c>
      <c r="G715" s="66">
        <f t="shared" si="55"/>
        <v>1</v>
      </c>
      <c r="H715" s="66">
        <v>1</v>
      </c>
      <c r="I715" s="98"/>
      <c r="J715" s="72"/>
    </row>
    <row r="716" spans="1:10" ht="13.5" customHeight="1" x14ac:dyDescent="0.3">
      <c r="A716" s="66">
        <f t="shared" si="56"/>
        <v>5957</v>
      </c>
      <c r="B716" s="128"/>
      <c r="C716" s="3" t="s">
        <v>443</v>
      </c>
      <c r="D716" s="66"/>
      <c r="E716" s="66" t="s">
        <v>123</v>
      </c>
      <c r="F716" s="66">
        <v>3</v>
      </c>
      <c r="G716" s="66">
        <f t="shared" si="55"/>
        <v>1</v>
      </c>
      <c r="H716" s="66">
        <v>1</v>
      </c>
      <c r="I716" s="98"/>
      <c r="J716" s="72"/>
    </row>
    <row r="717" spans="1:10" ht="13.5" customHeight="1" x14ac:dyDescent="0.3">
      <c r="A717" s="66">
        <f t="shared" si="56"/>
        <v>5958</v>
      </c>
      <c r="B717" s="128"/>
      <c r="C717" s="3" t="s">
        <v>1067</v>
      </c>
      <c r="D717" s="9" t="s">
        <v>1068</v>
      </c>
      <c r="E717" s="66" t="s">
        <v>123</v>
      </c>
      <c r="F717" s="66">
        <v>3</v>
      </c>
      <c r="G717" s="66">
        <f t="shared" si="55"/>
        <v>1</v>
      </c>
      <c r="H717" s="66">
        <v>1</v>
      </c>
      <c r="I717" s="98"/>
      <c r="J717" s="72"/>
    </row>
    <row r="718" spans="1:10" ht="13.5" customHeight="1" x14ac:dyDescent="0.3">
      <c r="A718" s="66">
        <f t="shared" si="56"/>
        <v>5959</v>
      </c>
      <c r="B718" s="128"/>
      <c r="C718" s="3" t="s">
        <v>440</v>
      </c>
      <c r="D718" s="66"/>
      <c r="E718" s="66" t="s">
        <v>123</v>
      </c>
      <c r="F718" s="66">
        <v>3</v>
      </c>
      <c r="G718" s="66">
        <f t="shared" si="55"/>
        <v>1</v>
      </c>
      <c r="H718" s="66">
        <v>1</v>
      </c>
      <c r="I718" s="98"/>
      <c r="J718" s="72"/>
    </row>
    <row r="719" spans="1:10" ht="13.5" customHeight="1" x14ac:dyDescent="0.3">
      <c r="A719" s="66">
        <f t="shared" si="56"/>
        <v>5960</v>
      </c>
      <c r="B719" s="128"/>
      <c r="C719" s="3" t="s">
        <v>441</v>
      </c>
      <c r="D719" s="66"/>
      <c r="E719" s="66" t="s">
        <v>437</v>
      </c>
      <c r="F719" s="66">
        <v>3</v>
      </c>
      <c r="G719" s="66">
        <f t="shared" si="55"/>
        <v>2</v>
      </c>
      <c r="H719" s="66">
        <v>1</v>
      </c>
      <c r="I719" s="98"/>
      <c r="J719" s="72"/>
    </row>
    <row r="720" spans="1:10" ht="13.5" customHeight="1" x14ac:dyDescent="0.3">
      <c r="A720" s="66">
        <f t="shared" si="56"/>
        <v>5962</v>
      </c>
      <c r="B720" s="128"/>
      <c r="C720" s="3" t="s">
        <v>272</v>
      </c>
      <c r="D720" s="66"/>
      <c r="E720" s="66" t="s">
        <v>437</v>
      </c>
      <c r="F720" s="66">
        <v>3</v>
      </c>
      <c r="G720" s="66">
        <f t="shared" si="55"/>
        <v>2</v>
      </c>
      <c r="H720" s="66">
        <v>1</v>
      </c>
      <c r="I720" s="98"/>
      <c r="J720" s="72"/>
    </row>
    <row r="721" spans="1:10" ht="13.5" customHeight="1" x14ac:dyDescent="0.3">
      <c r="A721" s="66">
        <f t="shared" si="56"/>
        <v>5964</v>
      </c>
      <c r="B721" s="128"/>
      <c r="C721" s="3" t="s">
        <v>273</v>
      </c>
      <c r="D721" s="66"/>
      <c r="E721" s="66" t="s">
        <v>437</v>
      </c>
      <c r="F721" s="66">
        <v>3</v>
      </c>
      <c r="G721" s="66">
        <f t="shared" si="55"/>
        <v>2</v>
      </c>
      <c r="H721" s="66">
        <v>1</v>
      </c>
      <c r="I721" s="98"/>
      <c r="J721" s="72"/>
    </row>
    <row r="722" spans="1:10" ht="13.5" customHeight="1" x14ac:dyDescent="0.3">
      <c r="A722" s="66">
        <f t="shared" si="56"/>
        <v>5966</v>
      </c>
      <c r="B722" s="128"/>
      <c r="C722" s="3" t="s">
        <v>1069</v>
      </c>
      <c r="D722" s="66"/>
      <c r="E722" s="66" t="s">
        <v>437</v>
      </c>
      <c r="F722" s="66">
        <v>3</v>
      </c>
      <c r="G722" s="66">
        <f t="shared" si="55"/>
        <v>2</v>
      </c>
      <c r="H722" s="66">
        <v>1</v>
      </c>
      <c r="I722" s="98"/>
      <c r="J722" s="72"/>
    </row>
    <row r="723" spans="1:10" ht="13.5" customHeight="1" x14ac:dyDescent="0.3">
      <c r="A723" s="66">
        <f t="shared" si="56"/>
        <v>5968</v>
      </c>
      <c r="B723" s="9" t="s">
        <v>1070</v>
      </c>
      <c r="C723" s="66"/>
      <c r="D723" s="66"/>
      <c r="E723" s="66" t="s">
        <v>123</v>
      </c>
      <c r="F723" s="16">
        <v>3</v>
      </c>
      <c r="G723" s="66">
        <v>1</v>
      </c>
      <c r="H723" s="66">
        <v>14</v>
      </c>
      <c r="I723" s="98"/>
      <c r="J723" s="72"/>
    </row>
    <row r="724" spans="1:10" ht="13.5" customHeight="1" x14ac:dyDescent="0.3">
      <c r="A724" s="66">
        <f t="shared" si="56"/>
        <v>5982</v>
      </c>
      <c r="B724" s="9" t="s">
        <v>1071</v>
      </c>
      <c r="C724" s="66"/>
      <c r="D724" s="66"/>
      <c r="E724" s="66" t="s">
        <v>123</v>
      </c>
      <c r="F724" s="16">
        <v>3</v>
      </c>
      <c r="G724" s="66">
        <v>1</v>
      </c>
      <c r="H724" s="66">
        <v>14</v>
      </c>
      <c r="I724" s="98"/>
      <c r="J724" s="72"/>
    </row>
    <row r="725" spans="1:10" ht="13.5" customHeight="1" x14ac:dyDescent="0.3">
      <c r="A725" s="66">
        <f t="shared" si="56"/>
        <v>5996</v>
      </c>
      <c r="B725" s="9" t="s">
        <v>1072</v>
      </c>
      <c r="C725" s="66"/>
      <c r="D725" s="66"/>
      <c r="E725" s="66" t="s">
        <v>123</v>
      </c>
      <c r="F725" s="16">
        <v>3</v>
      </c>
      <c r="G725" s="66">
        <v>1</v>
      </c>
      <c r="H725" s="66">
        <v>14</v>
      </c>
      <c r="I725" s="98"/>
      <c r="J725" s="72"/>
    </row>
    <row r="726" spans="1:10" ht="13.5" customHeight="1" x14ac:dyDescent="0.3">
      <c r="A726" s="66">
        <f t="shared" si="56"/>
        <v>6010</v>
      </c>
      <c r="B726" s="9" t="s">
        <v>1073</v>
      </c>
      <c r="C726" s="66"/>
      <c r="D726" s="66"/>
      <c r="E726" s="66" t="s">
        <v>123</v>
      </c>
      <c r="F726" s="16">
        <v>3</v>
      </c>
      <c r="G726" s="66">
        <v>1</v>
      </c>
      <c r="H726" s="66">
        <v>14</v>
      </c>
      <c r="I726" s="98"/>
      <c r="J726" s="72"/>
    </row>
    <row r="727" spans="1:10" ht="13.5" customHeight="1" x14ac:dyDescent="0.3">
      <c r="A727" s="66">
        <f t="shared" si="56"/>
        <v>6024</v>
      </c>
      <c r="B727" s="9" t="s">
        <v>1074</v>
      </c>
      <c r="C727" s="66"/>
      <c r="D727" s="66"/>
      <c r="E727" s="66" t="s">
        <v>123</v>
      </c>
      <c r="F727" s="16">
        <v>3</v>
      </c>
      <c r="G727" s="66">
        <v>1</v>
      </c>
      <c r="H727" s="66">
        <v>14</v>
      </c>
      <c r="I727" s="98"/>
      <c r="J727" s="72"/>
    </row>
    <row r="728" spans="1:10" ht="13.5" customHeight="1" x14ac:dyDescent="0.3">
      <c r="A728" s="66">
        <f t="shared" si="56"/>
        <v>6038</v>
      </c>
      <c r="B728" s="9" t="s">
        <v>1075</v>
      </c>
      <c r="C728" s="66"/>
      <c r="D728" s="66"/>
      <c r="E728" s="66" t="s">
        <v>123</v>
      </c>
      <c r="F728" s="16">
        <v>3</v>
      </c>
      <c r="G728" s="66">
        <v>1</v>
      </c>
      <c r="H728" s="66">
        <v>14</v>
      </c>
      <c r="I728" s="98"/>
      <c r="J728" s="72"/>
    </row>
    <row r="729" spans="1:10" ht="13.5" customHeight="1" x14ac:dyDescent="0.3">
      <c r="A729" s="66">
        <f t="shared" si="56"/>
        <v>6052</v>
      </c>
      <c r="B729" s="9" t="s">
        <v>1076</v>
      </c>
      <c r="C729" s="66"/>
      <c r="D729" s="66"/>
      <c r="E729" s="66" t="s">
        <v>123</v>
      </c>
      <c r="F729" s="16">
        <v>3</v>
      </c>
      <c r="G729" s="66">
        <v>1</v>
      </c>
      <c r="H729" s="66">
        <v>14</v>
      </c>
      <c r="I729" s="98"/>
      <c r="J729" s="72"/>
    </row>
    <row r="730" spans="1:10" ht="13.5" customHeight="1" x14ac:dyDescent="0.3">
      <c r="A730" s="66">
        <f t="shared" si="56"/>
        <v>6066</v>
      </c>
      <c r="B730" s="9" t="s">
        <v>1077</v>
      </c>
      <c r="C730" s="66"/>
      <c r="D730" s="66"/>
      <c r="E730" s="66" t="s">
        <v>123</v>
      </c>
      <c r="F730" s="16">
        <v>3</v>
      </c>
      <c r="G730" s="66">
        <v>1</v>
      </c>
      <c r="H730" s="66">
        <v>14</v>
      </c>
      <c r="I730" s="98"/>
      <c r="J730" s="72"/>
    </row>
    <row r="731" spans="1:10" ht="13.5" customHeight="1" x14ac:dyDescent="0.3">
      <c r="A731" s="66">
        <f t="shared" si="56"/>
        <v>6080</v>
      </c>
      <c r="B731" s="9" t="s">
        <v>1078</v>
      </c>
      <c r="C731" s="66"/>
      <c r="D731" s="66"/>
      <c r="E731" s="66" t="s">
        <v>123</v>
      </c>
      <c r="F731" s="16">
        <v>3</v>
      </c>
      <c r="G731" s="66">
        <v>1</v>
      </c>
      <c r="H731" s="66">
        <v>14</v>
      </c>
      <c r="I731" s="98"/>
      <c r="J731" s="72"/>
    </row>
    <row r="732" spans="1:10" ht="13.5" customHeight="1" x14ac:dyDescent="0.3">
      <c r="A732" s="66">
        <f t="shared" si="56"/>
        <v>6094</v>
      </c>
      <c r="B732" s="9" t="s">
        <v>1079</v>
      </c>
      <c r="C732" s="66"/>
      <c r="D732" s="66"/>
      <c r="E732" s="66" t="s">
        <v>123</v>
      </c>
      <c r="F732" s="16">
        <v>3</v>
      </c>
      <c r="G732" s="66">
        <v>1</v>
      </c>
      <c r="H732" s="66">
        <v>14</v>
      </c>
      <c r="I732" s="98"/>
      <c r="J732" s="72"/>
    </row>
    <row r="733" spans="1:10" ht="13.5" customHeight="1" x14ac:dyDescent="0.3">
      <c r="A733" s="66">
        <f t="shared" si="56"/>
        <v>6108</v>
      </c>
      <c r="B733" s="9" t="s">
        <v>1080</v>
      </c>
      <c r="C733" s="66"/>
      <c r="D733" s="66"/>
      <c r="E733" s="66" t="s">
        <v>123</v>
      </c>
      <c r="F733" s="16">
        <v>3</v>
      </c>
      <c r="G733" s="66">
        <v>1</v>
      </c>
      <c r="H733" s="66">
        <v>14</v>
      </c>
      <c r="I733" s="98"/>
      <c r="J733" s="72"/>
    </row>
    <row r="734" spans="1:10" ht="13.5" customHeight="1" x14ac:dyDescent="0.3">
      <c r="A734" s="66">
        <f t="shared" si="56"/>
        <v>6122</v>
      </c>
      <c r="B734" s="9" t="s">
        <v>1081</v>
      </c>
      <c r="C734" s="66"/>
      <c r="D734" s="66"/>
      <c r="E734" s="66" t="s">
        <v>123</v>
      </c>
      <c r="F734" s="16">
        <v>3</v>
      </c>
      <c r="G734" s="66">
        <v>1</v>
      </c>
      <c r="H734" s="66">
        <v>14</v>
      </c>
      <c r="I734" s="98"/>
      <c r="J734" s="72"/>
    </row>
    <row r="735" spans="1:10" ht="13.5" customHeight="1" x14ac:dyDescent="0.3">
      <c r="A735" s="66">
        <f t="shared" si="56"/>
        <v>6136</v>
      </c>
      <c r="B735" s="9" t="s">
        <v>1082</v>
      </c>
      <c r="C735" s="66"/>
      <c r="D735" s="66"/>
      <c r="E735" s="66" t="s">
        <v>123</v>
      </c>
      <c r="F735" s="16">
        <v>3</v>
      </c>
      <c r="G735" s="66">
        <v>1</v>
      </c>
      <c r="H735" s="66">
        <v>14</v>
      </c>
      <c r="I735" s="98"/>
      <c r="J735" s="72"/>
    </row>
    <row r="736" spans="1:10" ht="13.5" customHeight="1" x14ac:dyDescent="0.3">
      <c r="A736" s="66">
        <f t="shared" si="56"/>
        <v>6150</v>
      </c>
      <c r="B736" s="9" t="s">
        <v>1083</v>
      </c>
      <c r="C736" s="66"/>
      <c r="D736" s="66"/>
      <c r="E736" s="66" t="s">
        <v>123</v>
      </c>
      <c r="F736" s="16">
        <v>3</v>
      </c>
      <c r="G736" s="66">
        <v>1</v>
      </c>
      <c r="H736" s="66">
        <v>14</v>
      </c>
      <c r="I736" s="98"/>
      <c r="J736" s="72"/>
    </row>
    <row r="737" spans="1:10" ht="13.5" customHeight="1" x14ac:dyDescent="0.3">
      <c r="A737" s="66">
        <f t="shared" si="56"/>
        <v>6164</v>
      </c>
      <c r="B737" s="9" t="s">
        <v>1084</v>
      </c>
      <c r="C737" s="66"/>
      <c r="D737" s="66"/>
      <c r="E737" s="66" t="s">
        <v>123</v>
      </c>
      <c r="F737" s="16">
        <v>3</v>
      </c>
      <c r="G737" s="66">
        <v>1</v>
      </c>
      <c r="H737" s="66">
        <v>14</v>
      </c>
      <c r="I737" s="98"/>
      <c r="J737" s="72"/>
    </row>
    <row r="738" spans="1:10" ht="13.5" customHeight="1" x14ac:dyDescent="0.3">
      <c r="A738" s="66">
        <f t="shared" si="56"/>
        <v>6178</v>
      </c>
      <c r="B738" s="9" t="s">
        <v>1085</v>
      </c>
      <c r="C738" s="66"/>
      <c r="D738" s="66"/>
      <c r="E738" s="66" t="s">
        <v>123</v>
      </c>
      <c r="F738" s="16">
        <v>3</v>
      </c>
      <c r="G738" s="66">
        <v>1</v>
      </c>
      <c r="H738" s="66">
        <v>14</v>
      </c>
      <c r="I738" s="98"/>
      <c r="J738" s="72"/>
    </row>
    <row r="739" spans="1:10" ht="13.5" customHeight="1" x14ac:dyDescent="0.3">
      <c r="A739" s="66">
        <f t="shared" si="56"/>
        <v>6192</v>
      </c>
      <c r="B739" s="9" t="s">
        <v>1086</v>
      </c>
      <c r="C739" s="66"/>
      <c r="D739" s="66"/>
      <c r="E739" s="66" t="s">
        <v>123</v>
      </c>
      <c r="F739" s="16">
        <v>3</v>
      </c>
      <c r="G739" s="66">
        <v>1</v>
      </c>
      <c r="H739" s="66">
        <v>14</v>
      </c>
      <c r="I739" s="98"/>
      <c r="J739" s="72"/>
    </row>
    <row r="740" spans="1:10" ht="13.5" customHeight="1" x14ac:dyDescent="0.3">
      <c r="A740" s="66">
        <f t="shared" si="56"/>
        <v>6206</v>
      </c>
      <c r="B740" s="9" t="s">
        <v>1087</v>
      </c>
      <c r="C740" s="66"/>
      <c r="D740" s="66"/>
      <c r="E740" s="66" t="s">
        <v>123</v>
      </c>
      <c r="F740" s="16">
        <v>3</v>
      </c>
      <c r="G740" s="66">
        <v>1</v>
      </c>
      <c r="H740" s="66">
        <v>14</v>
      </c>
      <c r="I740" s="98"/>
      <c r="J740" s="72"/>
    </row>
    <row r="741" spans="1:10" ht="13.5" customHeight="1" x14ac:dyDescent="0.3">
      <c r="A741" s="66">
        <f t="shared" si="56"/>
        <v>6220</v>
      </c>
      <c r="B741" s="9" t="s">
        <v>1088</v>
      </c>
      <c r="C741" s="66"/>
      <c r="D741" s="66"/>
      <c r="E741" s="66" t="s">
        <v>123</v>
      </c>
      <c r="F741" s="16">
        <v>3</v>
      </c>
      <c r="G741" s="66">
        <v>1</v>
      </c>
      <c r="H741" s="66">
        <v>14</v>
      </c>
      <c r="I741" s="98"/>
      <c r="J741" s="72"/>
    </row>
    <row r="742" spans="1:10" ht="13.5" customHeight="1" x14ac:dyDescent="0.3">
      <c r="A742" s="66">
        <f t="shared" si="56"/>
        <v>6234</v>
      </c>
      <c r="B742" s="9" t="s">
        <v>1089</v>
      </c>
      <c r="C742" s="66"/>
      <c r="D742" s="66"/>
      <c r="E742" s="66" t="s">
        <v>123</v>
      </c>
      <c r="F742" s="16">
        <v>3</v>
      </c>
      <c r="G742" s="66">
        <v>1</v>
      </c>
      <c r="H742" s="66">
        <v>14</v>
      </c>
      <c r="I742" s="98"/>
      <c r="J742" s="72"/>
    </row>
    <row r="743" spans="1:10" ht="13.5" customHeight="1" x14ac:dyDescent="0.3">
      <c r="A743" s="66">
        <f t="shared" si="56"/>
        <v>6248</v>
      </c>
      <c r="B743" s="9" t="s">
        <v>1090</v>
      </c>
      <c r="C743" s="66"/>
      <c r="D743" s="66"/>
      <c r="E743" s="66" t="s">
        <v>123</v>
      </c>
      <c r="F743" s="16">
        <v>3</v>
      </c>
      <c r="G743" s="66">
        <v>1</v>
      </c>
      <c r="H743" s="66">
        <v>14</v>
      </c>
      <c r="I743" s="98"/>
      <c r="J743" s="72"/>
    </row>
    <row r="744" spans="1:10" ht="13.5" customHeight="1" x14ac:dyDescent="0.3">
      <c r="A744" s="66">
        <f t="shared" si="56"/>
        <v>6262</v>
      </c>
      <c r="B744" s="9" t="s">
        <v>1091</v>
      </c>
      <c r="C744" s="66"/>
      <c r="D744" s="66"/>
      <c r="E744" s="66" t="s">
        <v>123</v>
      </c>
      <c r="F744" s="16">
        <v>3</v>
      </c>
      <c r="G744" s="66">
        <v>1</v>
      </c>
      <c r="H744" s="66">
        <v>14</v>
      </c>
      <c r="I744" s="98"/>
      <c r="J744" s="72"/>
    </row>
    <row r="745" spans="1:10" ht="13.5" customHeight="1" x14ac:dyDescent="0.3">
      <c r="A745" s="66">
        <f t="shared" si="56"/>
        <v>6276</v>
      </c>
      <c r="B745" s="9" t="s">
        <v>1092</v>
      </c>
      <c r="C745" s="66"/>
      <c r="D745" s="66"/>
      <c r="E745" s="66" t="s">
        <v>123</v>
      </c>
      <c r="F745" s="16">
        <v>3</v>
      </c>
      <c r="G745" s="66">
        <v>1</v>
      </c>
      <c r="H745" s="66">
        <v>14</v>
      </c>
      <c r="I745" s="98"/>
      <c r="J745" s="72"/>
    </row>
    <row r="746" spans="1:10" ht="13.5" customHeight="1" x14ac:dyDescent="0.3">
      <c r="A746" s="66">
        <f t="shared" si="56"/>
        <v>6290</v>
      </c>
      <c r="B746" s="9" t="s">
        <v>1093</v>
      </c>
      <c r="C746" s="66"/>
      <c r="D746" s="66"/>
      <c r="E746" s="66" t="s">
        <v>123</v>
      </c>
      <c r="F746" s="16">
        <v>3</v>
      </c>
      <c r="G746" s="66">
        <v>1</v>
      </c>
      <c r="H746" s="66">
        <v>14</v>
      </c>
      <c r="I746" s="98"/>
      <c r="J746" s="72"/>
    </row>
    <row r="747" spans="1:10" ht="13.5" customHeight="1" x14ac:dyDescent="0.3">
      <c r="A747" s="66">
        <f t="shared" si="56"/>
        <v>6304</v>
      </c>
      <c r="B747" s="9" t="s">
        <v>1094</v>
      </c>
      <c r="C747" s="66"/>
      <c r="D747" s="66"/>
      <c r="E747" s="66" t="s">
        <v>123</v>
      </c>
      <c r="F747" s="16">
        <v>3</v>
      </c>
      <c r="G747" s="66">
        <v>1</v>
      </c>
      <c r="H747" s="66">
        <v>14</v>
      </c>
      <c r="I747" s="98"/>
      <c r="J747" s="72"/>
    </row>
    <row r="748" spans="1:10" ht="13.5" customHeight="1" x14ac:dyDescent="0.3">
      <c r="A748" s="66">
        <f t="shared" si="56"/>
        <v>6318</v>
      </c>
      <c r="B748" s="9" t="s">
        <v>1095</v>
      </c>
      <c r="C748" s="66"/>
      <c r="D748" s="66"/>
      <c r="E748" s="66" t="s">
        <v>123</v>
      </c>
      <c r="F748" s="16">
        <v>3</v>
      </c>
      <c r="G748" s="66">
        <v>1</v>
      </c>
      <c r="H748" s="66">
        <v>14</v>
      </c>
      <c r="I748" s="98"/>
      <c r="J748" s="72"/>
    </row>
    <row r="749" spans="1:10" ht="13.5" customHeight="1" x14ac:dyDescent="0.3">
      <c r="A749" s="66">
        <f t="shared" si="56"/>
        <v>6332</v>
      </c>
      <c r="B749" s="9" t="s">
        <v>1096</v>
      </c>
      <c r="C749" s="66"/>
      <c r="D749" s="66"/>
      <c r="E749" s="66" t="s">
        <v>123</v>
      </c>
      <c r="F749" s="16">
        <v>3</v>
      </c>
      <c r="G749" s="66">
        <v>1</v>
      </c>
      <c r="H749" s="66">
        <v>14</v>
      </c>
      <c r="I749" s="98"/>
      <c r="J749" s="72"/>
    </row>
    <row r="750" spans="1:10" ht="13.5" customHeight="1" x14ac:dyDescent="0.3">
      <c r="A750" s="66">
        <f t="shared" si="56"/>
        <v>6346</v>
      </c>
      <c r="B750" s="9" t="s">
        <v>1097</v>
      </c>
      <c r="C750" s="66"/>
      <c r="D750" s="66"/>
      <c r="E750" s="66" t="s">
        <v>123</v>
      </c>
      <c r="F750" s="16">
        <v>3</v>
      </c>
      <c r="G750" s="66">
        <v>1</v>
      </c>
      <c r="H750" s="66">
        <v>14</v>
      </c>
      <c r="I750" s="98"/>
      <c r="J750" s="72"/>
    </row>
    <row r="751" spans="1:10" ht="13.5" customHeight="1" x14ac:dyDescent="0.3">
      <c r="A751" s="66">
        <f t="shared" si="56"/>
        <v>6360</v>
      </c>
      <c r="B751" s="9" t="s">
        <v>1098</v>
      </c>
      <c r="C751" s="66"/>
      <c r="D751" s="66"/>
      <c r="E751" s="66" t="s">
        <v>123</v>
      </c>
      <c r="F751" s="16">
        <v>3</v>
      </c>
      <c r="G751" s="66">
        <v>1</v>
      </c>
      <c r="H751" s="66">
        <v>14</v>
      </c>
      <c r="I751" s="98"/>
      <c r="J751" s="72"/>
    </row>
    <row r="752" spans="1:10" ht="13.5" customHeight="1" x14ac:dyDescent="0.3">
      <c r="A752" s="66">
        <f t="shared" si="56"/>
        <v>6374</v>
      </c>
      <c r="B752" s="9" t="s">
        <v>1099</v>
      </c>
      <c r="C752" s="66"/>
      <c r="D752" s="66"/>
      <c r="E752" s="66" t="s">
        <v>123</v>
      </c>
      <c r="F752" s="16">
        <v>3</v>
      </c>
      <c r="G752" s="66">
        <v>1</v>
      </c>
      <c r="H752" s="66">
        <v>14</v>
      </c>
      <c r="I752" s="98"/>
      <c r="J752" s="72"/>
    </row>
    <row r="753" spans="1:10" ht="13.5" customHeight="1" x14ac:dyDescent="0.3">
      <c r="A753" s="66">
        <f t="shared" si="56"/>
        <v>6388</v>
      </c>
      <c r="B753" s="9" t="s">
        <v>1100</v>
      </c>
      <c r="C753" s="66"/>
      <c r="D753" s="66"/>
      <c r="E753" s="66" t="s">
        <v>123</v>
      </c>
      <c r="F753" s="16">
        <v>3</v>
      </c>
      <c r="G753" s="66">
        <v>1</v>
      </c>
      <c r="H753" s="66">
        <v>14</v>
      </c>
      <c r="I753" s="98"/>
      <c r="J753" s="72"/>
    </row>
    <row r="754" spans="1:10" ht="13.5" customHeight="1" x14ac:dyDescent="0.3">
      <c r="A754" s="66">
        <f t="shared" si="56"/>
        <v>6402</v>
      </c>
      <c r="B754" s="9"/>
      <c r="C754" s="66"/>
      <c r="D754" s="66"/>
      <c r="E754" s="66" t="s">
        <v>123</v>
      </c>
      <c r="F754" s="16">
        <v>3</v>
      </c>
      <c r="G754" s="66">
        <v>1</v>
      </c>
      <c r="H754" s="66">
        <v>8</v>
      </c>
      <c r="I754" s="98"/>
      <c r="J754" s="72"/>
    </row>
    <row r="755" spans="1:10" ht="13.5" customHeight="1" x14ac:dyDescent="0.3">
      <c r="A755" s="122" t="s">
        <v>1101</v>
      </c>
      <c r="B755" s="122"/>
      <c r="C755" s="122"/>
      <c r="D755" s="122"/>
      <c r="E755" s="122"/>
      <c r="F755" s="122"/>
      <c r="G755" s="122"/>
      <c r="H755" s="122"/>
      <c r="I755" s="104"/>
      <c r="J755" s="72"/>
    </row>
    <row r="756" spans="1:10" ht="13.5" customHeight="1" x14ac:dyDescent="0.3">
      <c r="A756" s="66">
        <f>A754+G754*H754</f>
        <v>6410</v>
      </c>
      <c r="B756" s="15" t="s">
        <v>400</v>
      </c>
      <c r="C756" s="66"/>
      <c r="D756" s="66"/>
      <c r="E756" s="16" t="s">
        <v>123</v>
      </c>
      <c r="F756" s="16">
        <v>3</v>
      </c>
      <c r="G756" s="16">
        <f t="shared" ref="G756:G768" si="57">IF(OR(E756="U16", E756="S16"),1,IF(E756="TS",6,2))</f>
        <v>1</v>
      </c>
      <c r="H756" s="66">
        <v>1</v>
      </c>
      <c r="I756" s="98"/>
      <c r="J756" s="72"/>
    </row>
    <row r="757" spans="1:10" ht="13.5" customHeight="1" x14ac:dyDescent="0.3">
      <c r="A757" s="66">
        <f t="shared" ref="A757:A800" si="58">A756+(G756*H756)</f>
        <v>6411</v>
      </c>
      <c r="B757" s="15" t="s">
        <v>401</v>
      </c>
      <c r="C757" s="66"/>
      <c r="D757" s="66"/>
      <c r="E757" s="16" t="s">
        <v>123</v>
      </c>
      <c r="F757" s="16">
        <v>3</v>
      </c>
      <c r="G757" s="16">
        <f t="shared" si="57"/>
        <v>1</v>
      </c>
      <c r="H757" s="66">
        <v>1</v>
      </c>
      <c r="I757" s="98"/>
      <c r="J757" s="72"/>
    </row>
    <row r="758" spans="1:10" ht="13.5" customHeight="1" x14ac:dyDescent="0.3">
      <c r="A758" s="66">
        <f t="shared" si="58"/>
        <v>6412</v>
      </c>
      <c r="B758" s="22" t="s">
        <v>1064</v>
      </c>
      <c r="C758" s="66"/>
      <c r="D758" s="66"/>
      <c r="E758" s="16" t="s">
        <v>123</v>
      </c>
      <c r="F758" s="16">
        <v>3</v>
      </c>
      <c r="G758" s="16">
        <f t="shared" si="57"/>
        <v>1</v>
      </c>
      <c r="H758" s="66">
        <v>1</v>
      </c>
      <c r="I758" s="98"/>
      <c r="J758" s="72"/>
    </row>
    <row r="759" spans="1:10" ht="13.5" customHeight="1" x14ac:dyDescent="0.3">
      <c r="A759" s="66">
        <f t="shared" si="58"/>
        <v>6413</v>
      </c>
      <c r="B759" s="15" t="s">
        <v>196</v>
      </c>
      <c r="C759" s="66"/>
      <c r="D759" s="66"/>
      <c r="E759" s="16" t="s">
        <v>123</v>
      </c>
      <c r="F759" s="16">
        <v>3</v>
      </c>
      <c r="G759" s="16">
        <f t="shared" si="57"/>
        <v>1</v>
      </c>
      <c r="H759" s="66">
        <v>1</v>
      </c>
      <c r="I759" s="98"/>
      <c r="J759" s="72"/>
    </row>
    <row r="760" spans="1:10" ht="13.5" customHeight="1" x14ac:dyDescent="0.3">
      <c r="A760" s="66">
        <f t="shared" si="58"/>
        <v>6414</v>
      </c>
      <c r="B760" s="128" t="s">
        <v>1065</v>
      </c>
      <c r="C760" s="3" t="s">
        <v>1066</v>
      </c>
      <c r="D760" s="66"/>
      <c r="E760" s="66" t="s">
        <v>91</v>
      </c>
      <c r="F760" s="66">
        <v>3</v>
      </c>
      <c r="G760" s="66">
        <f t="shared" si="57"/>
        <v>2</v>
      </c>
      <c r="H760" s="66">
        <v>1</v>
      </c>
      <c r="I760" s="98"/>
      <c r="J760" s="72"/>
    </row>
    <row r="761" spans="1:10" ht="13.5" customHeight="1" x14ac:dyDescent="0.3">
      <c r="A761" s="66">
        <f t="shared" si="58"/>
        <v>6416</v>
      </c>
      <c r="B761" s="128"/>
      <c r="C761" s="3" t="s">
        <v>442</v>
      </c>
      <c r="D761" s="66"/>
      <c r="E761" s="66" t="s">
        <v>123</v>
      </c>
      <c r="F761" s="66">
        <v>3</v>
      </c>
      <c r="G761" s="66">
        <f t="shared" si="57"/>
        <v>1</v>
      </c>
      <c r="H761" s="66">
        <v>1</v>
      </c>
      <c r="I761" s="98"/>
      <c r="J761" s="72"/>
    </row>
    <row r="762" spans="1:10" ht="13.5" customHeight="1" x14ac:dyDescent="0.3">
      <c r="A762" s="66">
        <f t="shared" si="58"/>
        <v>6417</v>
      </c>
      <c r="B762" s="128"/>
      <c r="C762" s="3" t="s">
        <v>443</v>
      </c>
      <c r="D762" s="66"/>
      <c r="E762" s="66" t="s">
        <v>123</v>
      </c>
      <c r="F762" s="66">
        <v>3</v>
      </c>
      <c r="G762" s="66">
        <f t="shared" si="57"/>
        <v>1</v>
      </c>
      <c r="H762" s="66">
        <v>1</v>
      </c>
      <c r="I762" s="98"/>
      <c r="J762" s="72"/>
    </row>
    <row r="763" spans="1:10" ht="13.5" customHeight="1" x14ac:dyDescent="0.3">
      <c r="A763" s="66">
        <f t="shared" si="58"/>
        <v>6418</v>
      </c>
      <c r="B763" s="128"/>
      <c r="C763" s="3" t="s">
        <v>1067</v>
      </c>
      <c r="D763" s="9" t="s">
        <v>1068</v>
      </c>
      <c r="E763" s="66" t="s">
        <v>123</v>
      </c>
      <c r="F763" s="66">
        <v>3</v>
      </c>
      <c r="G763" s="66">
        <f t="shared" si="57"/>
        <v>1</v>
      </c>
      <c r="H763" s="66">
        <v>1</v>
      </c>
      <c r="I763" s="98"/>
      <c r="J763" s="72"/>
    </row>
    <row r="764" spans="1:10" ht="13.5" customHeight="1" x14ac:dyDescent="0.3">
      <c r="A764" s="66">
        <f t="shared" si="58"/>
        <v>6419</v>
      </c>
      <c r="B764" s="128"/>
      <c r="C764" s="3" t="s">
        <v>440</v>
      </c>
      <c r="D764" s="66"/>
      <c r="E764" s="66" t="s">
        <v>123</v>
      </c>
      <c r="F764" s="66">
        <v>3</v>
      </c>
      <c r="G764" s="66">
        <f t="shared" si="57"/>
        <v>1</v>
      </c>
      <c r="H764" s="66">
        <v>1</v>
      </c>
      <c r="I764" s="98"/>
      <c r="J764" s="72"/>
    </row>
    <row r="765" spans="1:10" ht="13.5" customHeight="1" x14ac:dyDescent="0.3">
      <c r="A765" s="66">
        <f t="shared" si="58"/>
        <v>6420</v>
      </c>
      <c r="B765" s="128"/>
      <c r="C765" s="3" t="s">
        <v>441</v>
      </c>
      <c r="D765" s="66"/>
      <c r="E765" s="66" t="s">
        <v>437</v>
      </c>
      <c r="F765" s="66">
        <v>3</v>
      </c>
      <c r="G765" s="66">
        <f t="shared" si="57"/>
        <v>2</v>
      </c>
      <c r="H765" s="66">
        <v>1</v>
      </c>
      <c r="I765" s="98"/>
      <c r="J765" s="72"/>
    </row>
    <row r="766" spans="1:10" ht="13.5" customHeight="1" x14ac:dyDescent="0.3">
      <c r="A766" s="66">
        <f t="shared" si="58"/>
        <v>6422</v>
      </c>
      <c r="B766" s="128"/>
      <c r="C766" s="3" t="s">
        <v>272</v>
      </c>
      <c r="D766" s="66"/>
      <c r="E766" s="66" t="s">
        <v>437</v>
      </c>
      <c r="F766" s="66">
        <v>3</v>
      </c>
      <c r="G766" s="66">
        <f t="shared" si="57"/>
        <v>2</v>
      </c>
      <c r="H766" s="66">
        <v>1</v>
      </c>
      <c r="I766" s="98"/>
      <c r="J766" s="72"/>
    </row>
    <row r="767" spans="1:10" ht="13.5" customHeight="1" x14ac:dyDescent="0.3">
      <c r="A767" s="66">
        <f t="shared" si="58"/>
        <v>6424</v>
      </c>
      <c r="B767" s="128"/>
      <c r="C767" s="3" t="s">
        <v>273</v>
      </c>
      <c r="D767" s="66"/>
      <c r="E767" s="66" t="s">
        <v>437</v>
      </c>
      <c r="F767" s="66">
        <v>3</v>
      </c>
      <c r="G767" s="66">
        <f t="shared" si="57"/>
        <v>2</v>
      </c>
      <c r="H767" s="66">
        <v>1</v>
      </c>
      <c r="I767" s="98"/>
      <c r="J767" s="72"/>
    </row>
    <row r="768" spans="1:10" ht="13.5" customHeight="1" x14ac:dyDescent="0.3">
      <c r="A768" s="66">
        <f t="shared" si="58"/>
        <v>6426</v>
      </c>
      <c r="B768" s="128"/>
      <c r="C768" s="3" t="s">
        <v>1069</v>
      </c>
      <c r="D768" s="66"/>
      <c r="E768" s="66" t="s">
        <v>437</v>
      </c>
      <c r="F768" s="66">
        <v>3</v>
      </c>
      <c r="G768" s="66">
        <f t="shared" si="57"/>
        <v>2</v>
      </c>
      <c r="H768" s="66">
        <v>1</v>
      </c>
      <c r="I768" s="98"/>
      <c r="J768" s="72"/>
    </row>
    <row r="769" spans="1:10" ht="13.5" customHeight="1" x14ac:dyDescent="0.3">
      <c r="A769" s="66">
        <f t="shared" si="58"/>
        <v>6428</v>
      </c>
      <c r="B769" s="9" t="s">
        <v>1070</v>
      </c>
      <c r="C769" s="66"/>
      <c r="D769" s="66"/>
      <c r="E769" s="66" t="s">
        <v>123</v>
      </c>
      <c r="F769" s="16">
        <v>3</v>
      </c>
      <c r="G769" s="66">
        <v>1</v>
      </c>
      <c r="H769" s="66">
        <v>14</v>
      </c>
      <c r="I769" s="98"/>
      <c r="J769" s="72"/>
    </row>
    <row r="770" spans="1:10" ht="13.5" customHeight="1" x14ac:dyDescent="0.3">
      <c r="A770" s="66">
        <f t="shared" si="58"/>
        <v>6442</v>
      </c>
      <c r="B770" s="9" t="s">
        <v>1071</v>
      </c>
      <c r="C770" s="66"/>
      <c r="D770" s="66"/>
      <c r="E770" s="66" t="s">
        <v>123</v>
      </c>
      <c r="F770" s="16">
        <v>3</v>
      </c>
      <c r="G770" s="66">
        <v>1</v>
      </c>
      <c r="H770" s="66">
        <v>14</v>
      </c>
      <c r="I770" s="98"/>
      <c r="J770" s="72"/>
    </row>
    <row r="771" spans="1:10" ht="13.5" customHeight="1" x14ac:dyDescent="0.3">
      <c r="A771" s="66">
        <f t="shared" si="58"/>
        <v>6456</v>
      </c>
      <c r="B771" s="9" t="s">
        <v>1072</v>
      </c>
      <c r="C771" s="66"/>
      <c r="D771" s="66"/>
      <c r="E771" s="66" t="s">
        <v>123</v>
      </c>
      <c r="F771" s="16">
        <v>3</v>
      </c>
      <c r="G771" s="66">
        <v>1</v>
      </c>
      <c r="H771" s="66">
        <v>14</v>
      </c>
      <c r="I771" s="98"/>
      <c r="J771" s="72"/>
    </row>
    <row r="772" spans="1:10" ht="13.5" customHeight="1" x14ac:dyDescent="0.3">
      <c r="A772" s="66">
        <f t="shared" si="58"/>
        <v>6470</v>
      </c>
      <c r="B772" s="9" t="s">
        <v>1073</v>
      </c>
      <c r="C772" s="66"/>
      <c r="D772" s="66"/>
      <c r="E772" s="66" t="s">
        <v>123</v>
      </c>
      <c r="F772" s="16">
        <v>3</v>
      </c>
      <c r="G772" s="66">
        <v>1</v>
      </c>
      <c r="H772" s="66">
        <v>14</v>
      </c>
      <c r="I772" s="98"/>
      <c r="J772" s="72"/>
    </row>
    <row r="773" spans="1:10" ht="13.5" customHeight="1" x14ac:dyDescent="0.3">
      <c r="A773" s="66">
        <f t="shared" si="58"/>
        <v>6484</v>
      </c>
      <c r="B773" s="9" t="s">
        <v>1074</v>
      </c>
      <c r="C773" s="66"/>
      <c r="D773" s="66"/>
      <c r="E773" s="66" t="s">
        <v>123</v>
      </c>
      <c r="F773" s="16">
        <v>3</v>
      </c>
      <c r="G773" s="66">
        <v>1</v>
      </c>
      <c r="H773" s="66">
        <v>14</v>
      </c>
      <c r="I773" s="98"/>
      <c r="J773" s="72"/>
    </row>
    <row r="774" spans="1:10" ht="13.5" customHeight="1" x14ac:dyDescent="0.3">
      <c r="A774" s="66">
        <f t="shared" si="58"/>
        <v>6498</v>
      </c>
      <c r="B774" s="9" t="s">
        <v>1075</v>
      </c>
      <c r="C774" s="66"/>
      <c r="D774" s="66"/>
      <c r="E774" s="66" t="s">
        <v>123</v>
      </c>
      <c r="F774" s="16">
        <v>3</v>
      </c>
      <c r="G774" s="66">
        <v>1</v>
      </c>
      <c r="H774" s="66">
        <v>14</v>
      </c>
      <c r="I774" s="98"/>
      <c r="J774" s="72"/>
    </row>
    <row r="775" spans="1:10" ht="13.5" customHeight="1" x14ac:dyDescent="0.3">
      <c r="A775" s="66">
        <f t="shared" si="58"/>
        <v>6512</v>
      </c>
      <c r="B775" s="9" t="s">
        <v>1076</v>
      </c>
      <c r="C775" s="66"/>
      <c r="D775" s="66"/>
      <c r="E775" s="66" t="s">
        <v>123</v>
      </c>
      <c r="F775" s="16">
        <v>3</v>
      </c>
      <c r="G775" s="66">
        <v>1</v>
      </c>
      <c r="H775" s="66">
        <v>14</v>
      </c>
      <c r="I775" s="98"/>
      <c r="J775" s="72"/>
    </row>
    <row r="776" spans="1:10" ht="13.5" customHeight="1" x14ac:dyDescent="0.3">
      <c r="A776" s="66">
        <f t="shared" si="58"/>
        <v>6526</v>
      </c>
      <c r="B776" s="9" t="s">
        <v>1077</v>
      </c>
      <c r="C776" s="66"/>
      <c r="D776" s="66"/>
      <c r="E776" s="66" t="s">
        <v>123</v>
      </c>
      <c r="F776" s="16">
        <v>3</v>
      </c>
      <c r="G776" s="66">
        <v>1</v>
      </c>
      <c r="H776" s="66">
        <v>14</v>
      </c>
      <c r="I776" s="98"/>
      <c r="J776" s="72"/>
    </row>
    <row r="777" spans="1:10" ht="13.5" customHeight="1" x14ac:dyDescent="0.3">
      <c r="A777" s="66">
        <f t="shared" si="58"/>
        <v>6540</v>
      </c>
      <c r="B777" s="9" t="s">
        <v>1078</v>
      </c>
      <c r="C777" s="66"/>
      <c r="D777" s="66"/>
      <c r="E777" s="66" t="s">
        <v>123</v>
      </c>
      <c r="F777" s="16">
        <v>3</v>
      </c>
      <c r="G777" s="66">
        <v>1</v>
      </c>
      <c r="H777" s="66">
        <v>14</v>
      </c>
      <c r="I777" s="98"/>
      <c r="J777" s="72"/>
    </row>
    <row r="778" spans="1:10" ht="13.5" customHeight="1" x14ac:dyDescent="0.3">
      <c r="A778" s="66">
        <f t="shared" si="58"/>
        <v>6554</v>
      </c>
      <c r="B778" s="9" t="s">
        <v>1079</v>
      </c>
      <c r="C778" s="66"/>
      <c r="D778" s="66"/>
      <c r="E778" s="66" t="s">
        <v>123</v>
      </c>
      <c r="F778" s="16">
        <v>3</v>
      </c>
      <c r="G778" s="66">
        <v>1</v>
      </c>
      <c r="H778" s="66">
        <v>14</v>
      </c>
      <c r="I778" s="98"/>
      <c r="J778" s="72"/>
    </row>
    <row r="779" spans="1:10" ht="13.5" customHeight="1" x14ac:dyDescent="0.3">
      <c r="A779" s="66">
        <f t="shared" si="58"/>
        <v>6568</v>
      </c>
      <c r="B779" s="9" t="s">
        <v>1080</v>
      </c>
      <c r="C779" s="66"/>
      <c r="D779" s="66"/>
      <c r="E779" s="66" t="s">
        <v>123</v>
      </c>
      <c r="F779" s="16">
        <v>3</v>
      </c>
      <c r="G779" s="66">
        <v>1</v>
      </c>
      <c r="H779" s="66">
        <v>14</v>
      </c>
      <c r="I779" s="98"/>
      <c r="J779" s="72"/>
    </row>
    <row r="780" spans="1:10" ht="13.5" customHeight="1" x14ac:dyDescent="0.3">
      <c r="A780" s="66">
        <f t="shared" si="58"/>
        <v>6582</v>
      </c>
      <c r="B780" s="9" t="s">
        <v>1081</v>
      </c>
      <c r="C780" s="66"/>
      <c r="D780" s="66"/>
      <c r="E780" s="66" t="s">
        <v>123</v>
      </c>
      <c r="F780" s="16">
        <v>3</v>
      </c>
      <c r="G780" s="66">
        <v>1</v>
      </c>
      <c r="H780" s="66">
        <v>14</v>
      </c>
      <c r="I780" s="98"/>
      <c r="J780" s="72"/>
    </row>
    <row r="781" spans="1:10" ht="13.5" customHeight="1" x14ac:dyDescent="0.3">
      <c r="A781" s="66">
        <f t="shared" si="58"/>
        <v>6596</v>
      </c>
      <c r="B781" s="9" t="s">
        <v>1082</v>
      </c>
      <c r="C781" s="66"/>
      <c r="D781" s="66"/>
      <c r="E781" s="66" t="s">
        <v>123</v>
      </c>
      <c r="F781" s="16">
        <v>3</v>
      </c>
      <c r="G781" s="66">
        <v>1</v>
      </c>
      <c r="H781" s="66">
        <v>14</v>
      </c>
      <c r="I781" s="98"/>
      <c r="J781" s="72"/>
    </row>
    <row r="782" spans="1:10" ht="13.5" customHeight="1" x14ac:dyDescent="0.3">
      <c r="A782" s="66">
        <f t="shared" si="58"/>
        <v>6610</v>
      </c>
      <c r="B782" s="9" t="s">
        <v>1083</v>
      </c>
      <c r="C782" s="66"/>
      <c r="D782" s="66"/>
      <c r="E782" s="66" t="s">
        <v>123</v>
      </c>
      <c r="F782" s="16">
        <v>3</v>
      </c>
      <c r="G782" s="66">
        <v>1</v>
      </c>
      <c r="H782" s="66">
        <v>14</v>
      </c>
      <c r="I782" s="98"/>
      <c r="J782" s="72"/>
    </row>
    <row r="783" spans="1:10" ht="13.5" customHeight="1" x14ac:dyDescent="0.3">
      <c r="A783" s="66">
        <f t="shared" si="58"/>
        <v>6624</v>
      </c>
      <c r="B783" s="9" t="s">
        <v>1084</v>
      </c>
      <c r="C783" s="66"/>
      <c r="D783" s="66"/>
      <c r="E783" s="66" t="s">
        <v>123</v>
      </c>
      <c r="F783" s="16">
        <v>3</v>
      </c>
      <c r="G783" s="66">
        <v>1</v>
      </c>
      <c r="H783" s="66">
        <v>14</v>
      </c>
      <c r="I783" s="98"/>
      <c r="J783" s="72"/>
    </row>
    <row r="784" spans="1:10" ht="13.5" customHeight="1" x14ac:dyDescent="0.3">
      <c r="A784" s="66">
        <f t="shared" si="58"/>
        <v>6638</v>
      </c>
      <c r="B784" s="9" t="s">
        <v>1085</v>
      </c>
      <c r="C784" s="66"/>
      <c r="D784" s="66"/>
      <c r="E784" s="66" t="s">
        <v>123</v>
      </c>
      <c r="F784" s="16">
        <v>3</v>
      </c>
      <c r="G784" s="66">
        <v>1</v>
      </c>
      <c r="H784" s="66">
        <v>14</v>
      </c>
      <c r="I784" s="98"/>
      <c r="J784" s="72"/>
    </row>
    <row r="785" spans="1:10" ht="13.5" customHeight="1" x14ac:dyDescent="0.3">
      <c r="A785" s="66">
        <f t="shared" si="58"/>
        <v>6652</v>
      </c>
      <c r="B785" s="9" t="s">
        <v>1086</v>
      </c>
      <c r="C785" s="66"/>
      <c r="D785" s="66"/>
      <c r="E785" s="66" t="s">
        <v>123</v>
      </c>
      <c r="F785" s="16">
        <v>3</v>
      </c>
      <c r="G785" s="66">
        <v>1</v>
      </c>
      <c r="H785" s="66">
        <v>14</v>
      </c>
      <c r="I785" s="98"/>
      <c r="J785" s="72"/>
    </row>
    <row r="786" spans="1:10" ht="13.5" customHeight="1" x14ac:dyDescent="0.3">
      <c r="A786" s="66">
        <f t="shared" si="58"/>
        <v>6666</v>
      </c>
      <c r="B786" s="9" t="s">
        <v>1087</v>
      </c>
      <c r="C786" s="66"/>
      <c r="D786" s="66"/>
      <c r="E786" s="66" t="s">
        <v>123</v>
      </c>
      <c r="F786" s="16">
        <v>3</v>
      </c>
      <c r="G786" s="66">
        <v>1</v>
      </c>
      <c r="H786" s="66">
        <v>14</v>
      </c>
      <c r="I786" s="98"/>
      <c r="J786" s="72"/>
    </row>
    <row r="787" spans="1:10" ht="13.5" customHeight="1" x14ac:dyDescent="0.3">
      <c r="A787" s="66">
        <f t="shared" si="58"/>
        <v>6680</v>
      </c>
      <c r="B787" s="9" t="s">
        <v>1088</v>
      </c>
      <c r="C787" s="66"/>
      <c r="D787" s="66"/>
      <c r="E787" s="66" t="s">
        <v>123</v>
      </c>
      <c r="F787" s="16">
        <v>3</v>
      </c>
      <c r="G787" s="66">
        <v>1</v>
      </c>
      <c r="H787" s="66">
        <v>14</v>
      </c>
      <c r="I787" s="98"/>
      <c r="J787" s="72"/>
    </row>
    <row r="788" spans="1:10" ht="13.5" customHeight="1" x14ac:dyDescent="0.3">
      <c r="A788" s="66">
        <f t="shared" si="58"/>
        <v>6694</v>
      </c>
      <c r="B788" s="9" t="s">
        <v>1089</v>
      </c>
      <c r="C788" s="66"/>
      <c r="D788" s="66"/>
      <c r="E788" s="66" t="s">
        <v>123</v>
      </c>
      <c r="F788" s="16">
        <v>3</v>
      </c>
      <c r="G788" s="66">
        <v>1</v>
      </c>
      <c r="H788" s="66">
        <v>14</v>
      </c>
      <c r="I788" s="98"/>
      <c r="J788" s="72"/>
    </row>
    <row r="789" spans="1:10" ht="13.5" customHeight="1" x14ac:dyDescent="0.3">
      <c r="A789" s="66">
        <f t="shared" si="58"/>
        <v>6708</v>
      </c>
      <c r="B789" s="9" t="s">
        <v>1090</v>
      </c>
      <c r="C789" s="66"/>
      <c r="D789" s="66"/>
      <c r="E789" s="66" t="s">
        <v>123</v>
      </c>
      <c r="F789" s="16">
        <v>3</v>
      </c>
      <c r="G789" s="66">
        <v>1</v>
      </c>
      <c r="H789" s="66">
        <v>14</v>
      </c>
      <c r="I789" s="98"/>
      <c r="J789" s="72"/>
    </row>
    <row r="790" spans="1:10" ht="13.5" customHeight="1" x14ac:dyDescent="0.3">
      <c r="A790" s="66">
        <f t="shared" si="58"/>
        <v>6722</v>
      </c>
      <c r="B790" s="9" t="s">
        <v>1091</v>
      </c>
      <c r="C790" s="66"/>
      <c r="D790" s="66"/>
      <c r="E790" s="66" t="s">
        <v>123</v>
      </c>
      <c r="F790" s="16">
        <v>3</v>
      </c>
      <c r="G790" s="66">
        <v>1</v>
      </c>
      <c r="H790" s="66">
        <v>14</v>
      </c>
      <c r="I790" s="98"/>
      <c r="J790" s="72"/>
    </row>
    <row r="791" spans="1:10" ht="13.5" customHeight="1" x14ac:dyDescent="0.3">
      <c r="A791" s="66">
        <f t="shared" si="58"/>
        <v>6736</v>
      </c>
      <c r="B791" s="9" t="s">
        <v>1092</v>
      </c>
      <c r="C791" s="66"/>
      <c r="D791" s="66"/>
      <c r="E791" s="66" t="s">
        <v>123</v>
      </c>
      <c r="F791" s="16">
        <v>3</v>
      </c>
      <c r="G791" s="66">
        <v>1</v>
      </c>
      <c r="H791" s="66">
        <v>14</v>
      </c>
      <c r="I791" s="98"/>
      <c r="J791" s="72"/>
    </row>
    <row r="792" spans="1:10" ht="13.5" customHeight="1" x14ac:dyDescent="0.3">
      <c r="A792" s="66">
        <f t="shared" si="58"/>
        <v>6750</v>
      </c>
      <c r="B792" s="9" t="s">
        <v>1093</v>
      </c>
      <c r="C792" s="66"/>
      <c r="D792" s="66"/>
      <c r="E792" s="66" t="s">
        <v>123</v>
      </c>
      <c r="F792" s="16">
        <v>3</v>
      </c>
      <c r="G792" s="66">
        <v>1</v>
      </c>
      <c r="H792" s="66">
        <v>14</v>
      </c>
      <c r="I792" s="98"/>
      <c r="J792" s="72"/>
    </row>
    <row r="793" spans="1:10" ht="13.5" customHeight="1" x14ac:dyDescent="0.3">
      <c r="A793" s="66">
        <f t="shared" si="58"/>
        <v>6764</v>
      </c>
      <c r="B793" s="9" t="s">
        <v>1094</v>
      </c>
      <c r="C793" s="66"/>
      <c r="D793" s="66"/>
      <c r="E793" s="66" t="s">
        <v>123</v>
      </c>
      <c r="F793" s="16">
        <v>3</v>
      </c>
      <c r="G793" s="66">
        <v>1</v>
      </c>
      <c r="H793" s="66">
        <v>14</v>
      </c>
      <c r="I793" s="98"/>
      <c r="J793" s="72"/>
    </row>
    <row r="794" spans="1:10" ht="13.5" customHeight="1" x14ac:dyDescent="0.3">
      <c r="A794" s="66">
        <f t="shared" si="58"/>
        <v>6778</v>
      </c>
      <c r="B794" s="9" t="s">
        <v>1095</v>
      </c>
      <c r="C794" s="66"/>
      <c r="D794" s="66"/>
      <c r="E794" s="66" t="s">
        <v>123</v>
      </c>
      <c r="F794" s="16">
        <v>3</v>
      </c>
      <c r="G794" s="66">
        <v>1</v>
      </c>
      <c r="H794" s="66">
        <v>14</v>
      </c>
      <c r="I794" s="98"/>
      <c r="J794" s="72"/>
    </row>
    <row r="795" spans="1:10" ht="13.5" customHeight="1" x14ac:dyDescent="0.3">
      <c r="A795" s="66">
        <f t="shared" si="58"/>
        <v>6792</v>
      </c>
      <c r="B795" s="9" t="s">
        <v>1096</v>
      </c>
      <c r="C795" s="66"/>
      <c r="D795" s="66"/>
      <c r="E795" s="66" t="s">
        <v>123</v>
      </c>
      <c r="F795" s="16">
        <v>3</v>
      </c>
      <c r="G795" s="66">
        <v>1</v>
      </c>
      <c r="H795" s="66">
        <v>14</v>
      </c>
      <c r="I795" s="98"/>
      <c r="J795" s="72"/>
    </row>
    <row r="796" spans="1:10" ht="13.5" customHeight="1" x14ac:dyDescent="0.3">
      <c r="A796" s="66">
        <f t="shared" si="58"/>
        <v>6806</v>
      </c>
      <c r="B796" s="9" t="s">
        <v>1097</v>
      </c>
      <c r="C796" s="66"/>
      <c r="D796" s="66"/>
      <c r="E796" s="66" t="s">
        <v>123</v>
      </c>
      <c r="F796" s="16">
        <v>3</v>
      </c>
      <c r="G796" s="66">
        <v>1</v>
      </c>
      <c r="H796" s="66">
        <v>14</v>
      </c>
      <c r="I796" s="98"/>
      <c r="J796" s="72"/>
    </row>
    <row r="797" spans="1:10" ht="13.5" customHeight="1" x14ac:dyDescent="0.3">
      <c r="A797" s="66">
        <f t="shared" si="58"/>
        <v>6820</v>
      </c>
      <c r="B797" s="9" t="s">
        <v>1098</v>
      </c>
      <c r="C797" s="66"/>
      <c r="D797" s="66"/>
      <c r="E797" s="66" t="s">
        <v>123</v>
      </c>
      <c r="F797" s="16">
        <v>3</v>
      </c>
      <c r="G797" s="66">
        <v>1</v>
      </c>
      <c r="H797" s="66">
        <v>14</v>
      </c>
      <c r="I797" s="98"/>
      <c r="J797" s="72"/>
    </row>
    <row r="798" spans="1:10" ht="13.5" customHeight="1" x14ac:dyDescent="0.3">
      <c r="A798" s="66">
        <f t="shared" si="58"/>
        <v>6834</v>
      </c>
      <c r="B798" s="9" t="s">
        <v>1099</v>
      </c>
      <c r="C798" s="66"/>
      <c r="D798" s="66"/>
      <c r="E798" s="66" t="s">
        <v>123</v>
      </c>
      <c r="F798" s="16">
        <v>3</v>
      </c>
      <c r="G798" s="66">
        <v>1</v>
      </c>
      <c r="H798" s="66">
        <v>14</v>
      </c>
      <c r="I798" s="98"/>
      <c r="J798" s="72"/>
    </row>
    <row r="799" spans="1:10" ht="13.5" customHeight="1" x14ac:dyDescent="0.3">
      <c r="A799" s="66">
        <f t="shared" si="58"/>
        <v>6848</v>
      </c>
      <c r="B799" s="9" t="s">
        <v>1100</v>
      </c>
      <c r="C799" s="66"/>
      <c r="D799" s="66"/>
      <c r="E799" s="66" t="s">
        <v>123</v>
      </c>
      <c r="F799" s="16">
        <v>3</v>
      </c>
      <c r="G799" s="66">
        <v>1</v>
      </c>
      <c r="H799" s="66">
        <v>14</v>
      </c>
      <c r="I799" s="98"/>
      <c r="J799" s="72"/>
    </row>
    <row r="800" spans="1:10" ht="13.5" customHeight="1" x14ac:dyDescent="0.3">
      <c r="A800" s="66">
        <f t="shared" si="58"/>
        <v>6862</v>
      </c>
      <c r="B800" s="9"/>
      <c r="C800" s="66"/>
      <c r="D800" s="66"/>
      <c r="E800" s="66" t="s">
        <v>123</v>
      </c>
      <c r="F800" s="16">
        <v>3</v>
      </c>
      <c r="G800" s="66">
        <v>1</v>
      </c>
      <c r="H800" s="66">
        <v>8</v>
      </c>
      <c r="I800" s="98"/>
      <c r="J800" s="72"/>
    </row>
    <row r="801" spans="1:10" ht="15.95" customHeight="1" x14ac:dyDescent="0.3">
      <c r="A801" s="127" t="s">
        <v>657</v>
      </c>
      <c r="B801" s="127"/>
      <c r="C801" s="127"/>
      <c r="D801" s="127"/>
      <c r="E801" s="127"/>
      <c r="F801" s="127"/>
      <c r="G801" s="127"/>
      <c r="H801" s="127"/>
      <c r="I801" s="110"/>
    </row>
    <row r="802" spans="1:10" ht="13.5" customHeight="1" thickBot="1" x14ac:dyDescent="0.35">
      <c r="A802" s="132" t="s">
        <v>515</v>
      </c>
      <c r="B802" s="132"/>
      <c r="C802" s="132"/>
      <c r="D802" s="132"/>
      <c r="E802" s="132"/>
      <c r="F802" s="132"/>
      <c r="G802" s="132"/>
      <c r="H802" s="132"/>
      <c r="I802" s="104"/>
    </row>
    <row r="803" spans="1:10" ht="15" customHeight="1" x14ac:dyDescent="0.3">
      <c r="A803" s="78">
        <f>A800+(G800*H800)</f>
        <v>6870</v>
      </c>
      <c r="B803" s="79" t="s">
        <v>204</v>
      </c>
      <c r="C803" s="80" t="s">
        <v>582</v>
      </c>
      <c r="D803" s="80"/>
      <c r="E803" s="81" t="s">
        <v>123</v>
      </c>
      <c r="F803" s="81" t="s">
        <v>1062</v>
      </c>
      <c r="G803" s="81">
        <f t="shared" ref="G803:G817" si="59">IF(OR(E803="U16", E803="S16"),1,IF(E803="TS",6,2))</f>
        <v>1</v>
      </c>
      <c r="H803" s="82">
        <v>1</v>
      </c>
      <c r="I803" s="98"/>
    </row>
    <row r="804" spans="1:10" ht="15" customHeight="1" x14ac:dyDescent="0.3">
      <c r="A804" s="83">
        <f t="shared" ref="A804:A815" si="60">A803+(G803*H803)</f>
        <v>6871</v>
      </c>
      <c r="B804" s="11" t="s">
        <v>205</v>
      </c>
      <c r="C804" s="35" t="s">
        <v>587</v>
      </c>
      <c r="D804" s="35"/>
      <c r="E804" s="16" t="s">
        <v>123</v>
      </c>
      <c r="F804" s="16" t="s">
        <v>1062</v>
      </c>
      <c r="G804" s="16">
        <f t="shared" si="59"/>
        <v>1</v>
      </c>
      <c r="H804" s="84">
        <v>1</v>
      </c>
      <c r="I804" s="98"/>
    </row>
    <row r="805" spans="1:10" ht="48.75" customHeight="1" x14ac:dyDescent="0.3">
      <c r="A805" s="83">
        <f t="shared" si="60"/>
        <v>6872</v>
      </c>
      <c r="B805" s="11" t="s">
        <v>208</v>
      </c>
      <c r="C805" s="35" t="s">
        <v>596</v>
      </c>
      <c r="D805" s="35"/>
      <c r="E805" s="16" t="s">
        <v>123</v>
      </c>
      <c r="F805" s="16" t="s">
        <v>1061</v>
      </c>
      <c r="G805" s="16">
        <f t="shared" si="59"/>
        <v>1</v>
      </c>
      <c r="H805" s="84">
        <v>1</v>
      </c>
      <c r="I805" s="98"/>
    </row>
    <row r="806" spans="1:10" ht="15" customHeight="1" x14ac:dyDescent="0.3">
      <c r="A806" s="83">
        <f t="shared" si="60"/>
        <v>6873</v>
      </c>
      <c r="B806" s="11" t="s">
        <v>588</v>
      </c>
      <c r="C806" s="35"/>
      <c r="D806" s="35"/>
      <c r="E806" s="16" t="s">
        <v>123</v>
      </c>
      <c r="F806" s="16" t="s">
        <v>1061</v>
      </c>
      <c r="G806" s="16">
        <f>IF(OR(E806="U16", E806="S16"),1,IF(E806="TS",6,2))</f>
        <v>1</v>
      </c>
      <c r="H806" s="84">
        <v>1</v>
      </c>
      <c r="I806" s="98"/>
    </row>
    <row r="807" spans="1:10" ht="15" customHeight="1" thickBot="1" x14ac:dyDescent="0.35">
      <c r="A807" s="85">
        <f t="shared" si="60"/>
        <v>6874</v>
      </c>
      <c r="B807" s="86" t="s">
        <v>589</v>
      </c>
      <c r="C807" s="87"/>
      <c r="D807" s="87"/>
      <c r="E807" s="88" t="s">
        <v>123</v>
      </c>
      <c r="F807" s="88" t="s">
        <v>1061</v>
      </c>
      <c r="G807" s="88">
        <f>IF(OR(E807="U16", E807="S16"),1,IF(E807="TS",6,2))</f>
        <v>1</v>
      </c>
      <c r="H807" s="89">
        <v>2</v>
      </c>
      <c r="I807" s="98"/>
    </row>
    <row r="808" spans="1:10" ht="15" customHeight="1" x14ac:dyDescent="0.3">
      <c r="A808" s="78">
        <f t="shared" si="60"/>
        <v>6876</v>
      </c>
      <c r="B808" s="79" t="s">
        <v>218</v>
      </c>
      <c r="C808" s="80" t="s">
        <v>584</v>
      </c>
      <c r="D808" s="80"/>
      <c r="E808" s="81" t="s">
        <v>123</v>
      </c>
      <c r="F808" s="81" t="s">
        <v>1061</v>
      </c>
      <c r="G808" s="81">
        <f t="shared" si="59"/>
        <v>1</v>
      </c>
      <c r="H808" s="82">
        <v>1</v>
      </c>
      <c r="I808" s="98"/>
    </row>
    <row r="809" spans="1:10" ht="15" customHeight="1" x14ac:dyDescent="0.3">
      <c r="A809" s="83">
        <f t="shared" si="60"/>
        <v>6877</v>
      </c>
      <c r="B809" s="11" t="s">
        <v>206</v>
      </c>
      <c r="C809" s="35" t="s">
        <v>587</v>
      </c>
      <c r="D809" s="35"/>
      <c r="E809" s="16" t="s">
        <v>123</v>
      </c>
      <c r="F809" s="16" t="s">
        <v>1061</v>
      </c>
      <c r="G809" s="16">
        <f t="shared" si="59"/>
        <v>1</v>
      </c>
      <c r="H809" s="84">
        <v>1</v>
      </c>
      <c r="I809" s="98"/>
    </row>
    <row r="810" spans="1:10" ht="58.5" customHeight="1" x14ac:dyDescent="0.3">
      <c r="A810" s="83">
        <f t="shared" si="60"/>
        <v>6878</v>
      </c>
      <c r="B810" s="11" t="s">
        <v>208</v>
      </c>
      <c r="C810" s="35" t="s">
        <v>596</v>
      </c>
      <c r="D810" s="35"/>
      <c r="E810" s="16" t="s">
        <v>123</v>
      </c>
      <c r="F810" s="16" t="s">
        <v>1061</v>
      </c>
      <c r="G810" s="16">
        <f t="shared" si="59"/>
        <v>1</v>
      </c>
      <c r="H810" s="84">
        <v>1</v>
      </c>
      <c r="I810" s="98"/>
    </row>
    <row r="811" spans="1:10" ht="15" customHeight="1" x14ac:dyDescent="0.3">
      <c r="A811" s="83">
        <f t="shared" si="60"/>
        <v>6879</v>
      </c>
      <c r="B811" s="11" t="s">
        <v>588</v>
      </c>
      <c r="C811" s="35"/>
      <c r="D811" s="35"/>
      <c r="E811" s="16" t="s">
        <v>123</v>
      </c>
      <c r="F811" s="16" t="s">
        <v>1061</v>
      </c>
      <c r="G811" s="16">
        <f t="shared" si="59"/>
        <v>1</v>
      </c>
      <c r="H811" s="84">
        <v>1</v>
      </c>
      <c r="I811" s="98"/>
    </row>
    <row r="812" spans="1:10" ht="15" customHeight="1" thickBot="1" x14ac:dyDescent="0.35">
      <c r="A812" s="85">
        <f t="shared" si="60"/>
        <v>6880</v>
      </c>
      <c r="B812" s="86"/>
      <c r="C812" s="87"/>
      <c r="D812" s="87"/>
      <c r="E812" s="88" t="s">
        <v>123</v>
      </c>
      <c r="F812" s="88" t="s">
        <v>1061</v>
      </c>
      <c r="G812" s="88">
        <f t="shared" si="59"/>
        <v>1</v>
      </c>
      <c r="H812" s="89">
        <v>2</v>
      </c>
      <c r="I812" s="98"/>
    </row>
    <row r="813" spans="1:10" ht="15" customHeight="1" x14ac:dyDescent="0.3">
      <c r="A813" s="78">
        <f t="shared" si="60"/>
        <v>6882</v>
      </c>
      <c r="B813" s="79" t="s">
        <v>583</v>
      </c>
      <c r="C813" s="80" t="s">
        <v>585</v>
      </c>
      <c r="D813" s="80"/>
      <c r="E813" s="81" t="s">
        <v>123</v>
      </c>
      <c r="F813" s="81" t="s">
        <v>1061</v>
      </c>
      <c r="G813" s="81">
        <f t="shared" si="59"/>
        <v>1</v>
      </c>
      <c r="H813" s="82">
        <v>1</v>
      </c>
      <c r="I813" s="98"/>
      <c r="J813" s="10" t="s">
        <v>578</v>
      </c>
    </row>
    <row r="814" spans="1:10" ht="15" customHeight="1" x14ac:dyDescent="0.3">
      <c r="A814" s="83">
        <f t="shared" si="60"/>
        <v>6883</v>
      </c>
      <c r="B814" s="11" t="s">
        <v>207</v>
      </c>
      <c r="C814" s="35" t="s">
        <v>587</v>
      </c>
      <c r="D814" s="35"/>
      <c r="E814" s="16" t="s">
        <v>123</v>
      </c>
      <c r="F814" s="16" t="s">
        <v>1061</v>
      </c>
      <c r="G814" s="16">
        <f t="shared" si="59"/>
        <v>1</v>
      </c>
      <c r="H814" s="84">
        <v>1</v>
      </c>
      <c r="I814" s="98"/>
    </row>
    <row r="815" spans="1:10" ht="50.25" customHeight="1" x14ac:dyDescent="0.3">
      <c r="A815" s="83">
        <f t="shared" si="60"/>
        <v>6884</v>
      </c>
      <c r="B815" s="11" t="s">
        <v>208</v>
      </c>
      <c r="C815" s="35" t="s">
        <v>596</v>
      </c>
      <c r="D815" s="35"/>
      <c r="E815" s="16" t="s">
        <v>123</v>
      </c>
      <c r="F815" s="16" t="s">
        <v>1061</v>
      </c>
      <c r="G815" s="16">
        <f t="shared" si="59"/>
        <v>1</v>
      </c>
      <c r="H815" s="84">
        <v>1</v>
      </c>
      <c r="I815" s="98"/>
    </row>
    <row r="816" spans="1:10" ht="15" customHeight="1" x14ac:dyDescent="0.3">
      <c r="A816" s="83">
        <f t="shared" ref="A816:A822" si="61">A815+(G815*H815)</f>
        <v>6885</v>
      </c>
      <c r="B816" s="11" t="s">
        <v>588</v>
      </c>
      <c r="C816" s="35"/>
      <c r="D816" s="35"/>
      <c r="E816" s="16" t="s">
        <v>123</v>
      </c>
      <c r="F816" s="16" t="s">
        <v>1061</v>
      </c>
      <c r="G816" s="16">
        <f t="shared" si="59"/>
        <v>1</v>
      </c>
      <c r="H816" s="84">
        <v>1</v>
      </c>
      <c r="I816" s="98"/>
    </row>
    <row r="817" spans="1:9" ht="15" customHeight="1" thickBot="1" x14ac:dyDescent="0.35">
      <c r="A817" s="85">
        <f t="shared" si="61"/>
        <v>6886</v>
      </c>
      <c r="B817" s="86"/>
      <c r="C817" s="87"/>
      <c r="D817" s="87"/>
      <c r="E817" s="88" t="s">
        <v>123</v>
      </c>
      <c r="F817" s="88" t="s">
        <v>1061</v>
      </c>
      <c r="G817" s="88">
        <f t="shared" si="59"/>
        <v>1</v>
      </c>
      <c r="H817" s="89">
        <v>2</v>
      </c>
      <c r="I817" s="98"/>
    </row>
    <row r="818" spans="1:9" ht="15" customHeight="1" x14ac:dyDescent="0.3">
      <c r="A818" s="78">
        <f t="shared" si="61"/>
        <v>6888</v>
      </c>
      <c r="B818" s="79" t="s">
        <v>219</v>
      </c>
      <c r="C818" s="80" t="s">
        <v>586</v>
      </c>
      <c r="D818" s="80"/>
      <c r="E818" s="81" t="s">
        <v>123</v>
      </c>
      <c r="F818" s="81" t="s">
        <v>1061</v>
      </c>
      <c r="G818" s="81">
        <f>IF(OR(E818="U16", E818="S16"),1,IF(E818="TS",6,2))</f>
        <v>1</v>
      </c>
      <c r="H818" s="82">
        <v>1</v>
      </c>
      <c r="I818" s="98"/>
    </row>
    <row r="819" spans="1:9" ht="15" customHeight="1" x14ac:dyDescent="0.3">
      <c r="A819" s="83">
        <f t="shared" si="61"/>
        <v>6889</v>
      </c>
      <c r="B819" s="11" t="s">
        <v>220</v>
      </c>
      <c r="C819" s="35" t="s">
        <v>587</v>
      </c>
      <c r="D819" s="35"/>
      <c r="E819" s="16" t="s">
        <v>123</v>
      </c>
      <c r="F819" s="16" t="s">
        <v>1061</v>
      </c>
      <c r="G819" s="16">
        <f>IF(OR(E819="U16", E819="S16"),1,IF(E819="TS",6,2))</f>
        <v>1</v>
      </c>
      <c r="H819" s="84">
        <v>1</v>
      </c>
      <c r="I819" s="98"/>
    </row>
    <row r="820" spans="1:9" ht="42" customHeight="1" x14ac:dyDescent="0.3">
      <c r="A820" s="83">
        <f t="shared" si="61"/>
        <v>6890</v>
      </c>
      <c r="B820" s="11" t="s">
        <v>208</v>
      </c>
      <c r="C820" s="35" t="s">
        <v>596</v>
      </c>
      <c r="D820" s="35"/>
      <c r="E820" s="16" t="s">
        <v>123</v>
      </c>
      <c r="F820" s="16" t="s">
        <v>1061</v>
      </c>
      <c r="G820" s="16">
        <f>IF(OR(E820="U16", E820="S16"),1,IF(E820="TS",6,2))</f>
        <v>1</v>
      </c>
      <c r="H820" s="84">
        <v>1</v>
      </c>
      <c r="I820" s="98"/>
    </row>
    <row r="821" spans="1:9" ht="15" customHeight="1" x14ac:dyDescent="0.3">
      <c r="A821" s="83">
        <f t="shared" si="61"/>
        <v>6891</v>
      </c>
      <c r="B821" s="11" t="s">
        <v>588</v>
      </c>
      <c r="C821" s="35"/>
      <c r="D821" s="35"/>
      <c r="E821" s="16" t="s">
        <v>123</v>
      </c>
      <c r="F821" s="16" t="s">
        <v>1061</v>
      </c>
      <c r="G821" s="16">
        <f>IF(OR(E821="U16", E821="S16"),1,IF(E821="TS",6,2))</f>
        <v>1</v>
      </c>
      <c r="H821" s="84">
        <v>1</v>
      </c>
      <c r="I821" s="98"/>
    </row>
    <row r="822" spans="1:9" ht="15" customHeight="1" thickBot="1" x14ac:dyDescent="0.35">
      <c r="A822" s="85">
        <f t="shared" si="61"/>
        <v>6892</v>
      </c>
      <c r="B822" s="86"/>
      <c r="C822" s="90"/>
      <c r="D822" s="90"/>
      <c r="E822" s="88" t="s">
        <v>123</v>
      </c>
      <c r="F822" s="88" t="s">
        <v>1061</v>
      </c>
      <c r="G822" s="88">
        <f>IF(OR(E822="U16", E822="S16"),1,IF(E822="TS",6,2))</f>
        <v>1</v>
      </c>
      <c r="H822" s="89">
        <v>2</v>
      </c>
      <c r="I822" s="98"/>
    </row>
    <row r="823" spans="1:9" ht="13.5" customHeight="1" x14ac:dyDescent="0.3">
      <c r="A823" s="131" t="s">
        <v>385</v>
      </c>
      <c r="B823" s="131"/>
      <c r="C823" s="131"/>
      <c r="D823" s="131"/>
      <c r="E823" s="131"/>
      <c r="F823" s="131"/>
      <c r="G823" s="131"/>
      <c r="H823" s="131"/>
      <c r="I823" s="104"/>
    </row>
    <row r="824" spans="1:9" ht="13.5" customHeight="1" x14ac:dyDescent="0.3">
      <c r="A824" s="66">
        <f>A822+(G822*H822)</f>
        <v>6894</v>
      </c>
      <c r="B824" s="11" t="s">
        <v>390</v>
      </c>
      <c r="C824" s="35" t="s">
        <v>581</v>
      </c>
      <c r="D824" s="35"/>
      <c r="E824" s="16" t="s">
        <v>123</v>
      </c>
      <c r="F824" s="16" t="s">
        <v>1061</v>
      </c>
      <c r="G824" s="16">
        <f t="shared" ref="G824:G832" si="62">IF(OR(E824="U16", E824="S16"),1,IF(E824="TS",6,2))</f>
        <v>1</v>
      </c>
      <c r="H824" s="66">
        <v>1</v>
      </c>
      <c r="I824" s="98"/>
    </row>
    <row r="825" spans="1:9" ht="13.5" customHeight="1" x14ac:dyDescent="0.3">
      <c r="A825" s="66">
        <f>A824+(G824*H824)</f>
        <v>6895</v>
      </c>
      <c r="B825" s="11" t="s">
        <v>391</v>
      </c>
      <c r="C825" s="35" t="s">
        <v>579</v>
      </c>
      <c r="D825" s="35"/>
      <c r="E825" s="16" t="s">
        <v>123</v>
      </c>
      <c r="F825" s="16" t="s">
        <v>1061</v>
      </c>
      <c r="G825" s="16">
        <f t="shared" si="62"/>
        <v>1</v>
      </c>
      <c r="H825" s="66">
        <v>1</v>
      </c>
      <c r="I825" s="98"/>
    </row>
    <row r="826" spans="1:9" ht="13.5" customHeight="1" x14ac:dyDescent="0.3">
      <c r="A826" s="66">
        <f t="shared" ref="A826:A832" si="63">A825+(G825*H825)</f>
        <v>6896</v>
      </c>
      <c r="B826" s="11" t="s">
        <v>392</v>
      </c>
      <c r="C826" s="35" t="s">
        <v>580</v>
      </c>
      <c r="D826" s="35"/>
      <c r="E826" s="16" t="s">
        <v>123</v>
      </c>
      <c r="F826" s="16" t="s">
        <v>1061</v>
      </c>
      <c r="G826" s="16">
        <f t="shared" si="62"/>
        <v>1</v>
      </c>
      <c r="H826" s="66">
        <v>1</v>
      </c>
      <c r="I826" s="98"/>
    </row>
    <row r="827" spans="1:9" ht="13.5" customHeight="1" x14ac:dyDescent="0.3">
      <c r="A827" s="66">
        <f t="shared" si="63"/>
        <v>6897</v>
      </c>
      <c r="B827" s="11" t="s">
        <v>393</v>
      </c>
      <c r="C827" s="35" t="s">
        <v>594</v>
      </c>
      <c r="D827" s="35"/>
      <c r="E827" s="16" t="s">
        <v>123</v>
      </c>
      <c r="F827" s="16" t="s">
        <v>1061</v>
      </c>
      <c r="G827" s="16">
        <f t="shared" si="62"/>
        <v>1</v>
      </c>
      <c r="H827" s="66">
        <v>1</v>
      </c>
      <c r="I827" s="98"/>
    </row>
    <row r="828" spans="1:9" ht="13.5" customHeight="1" x14ac:dyDescent="0.3">
      <c r="A828" s="66">
        <f t="shared" si="63"/>
        <v>6898</v>
      </c>
      <c r="B828" s="11" t="s">
        <v>386</v>
      </c>
      <c r="C828" s="35" t="s">
        <v>581</v>
      </c>
      <c r="D828" s="35"/>
      <c r="E828" s="16" t="s">
        <v>123</v>
      </c>
      <c r="F828" s="16" t="s">
        <v>1061</v>
      </c>
      <c r="G828" s="16">
        <f t="shared" si="62"/>
        <v>1</v>
      </c>
      <c r="H828" s="66">
        <v>1</v>
      </c>
      <c r="I828" s="98"/>
    </row>
    <row r="829" spans="1:9" ht="13.5" customHeight="1" x14ac:dyDescent="0.3">
      <c r="A829" s="66">
        <f t="shared" si="63"/>
        <v>6899</v>
      </c>
      <c r="B829" s="11" t="s">
        <v>387</v>
      </c>
      <c r="C829" s="35" t="s">
        <v>579</v>
      </c>
      <c r="D829" s="35"/>
      <c r="E829" s="16" t="s">
        <v>123</v>
      </c>
      <c r="F829" s="16" t="s">
        <v>1061</v>
      </c>
      <c r="G829" s="16">
        <f t="shared" si="62"/>
        <v>1</v>
      </c>
      <c r="H829" s="66">
        <v>1</v>
      </c>
      <c r="I829" s="98"/>
    </row>
    <row r="830" spans="1:9" ht="13.5" customHeight="1" x14ac:dyDescent="0.3">
      <c r="A830" s="66">
        <f t="shared" si="63"/>
        <v>6900</v>
      </c>
      <c r="B830" s="11" t="s">
        <v>388</v>
      </c>
      <c r="C830" s="35" t="s">
        <v>580</v>
      </c>
      <c r="D830" s="35"/>
      <c r="E830" s="16" t="s">
        <v>123</v>
      </c>
      <c r="F830" s="16" t="s">
        <v>1061</v>
      </c>
      <c r="G830" s="16">
        <f t="shared" si="62"/>
        <v>1</v>
      </c>
      <c r="H830" s="66">
        <v>1</v>
      </c>
      <c r="I830" s="98"/>
    </row>
    <row r="831" spans="1:9" ht="13.5" customHeight="1" x14ac:dyDescent="0.3">
      <c r="A831" s="66">
        <f t="shared" si="63"/>
        <v>6901</v>
      </c>
      <c r="B831" s="11" t="s">
        <v>389</v>
      </c>
      <c r="C831" s="35" t="s">
        <v>595</v>
      </c>
      <c r="D831" s="35"/>
      <c r="E831" s="16" t="s">
        <v>123</v>
      </c>
      <c r="F831" s="16" t="s">
        <v>1061</v>
      </c>
      <c r="G831" s="16">
        <f t="shared" si="62"/>
        <v>1</v>
      </c>
      <c r="H831" s="66">
        <v>1</v>
      </c>
      <c r="I831" s="98"/>
    </row>
    <row r="832" spans="1:9" ht="13.5" customHeight="1" x14ac:dyDescent="0.3">
      <c r="A832" s="66">
        <f t="shared" si="63"/>
        <v>6902</v>
      </c>
      <c r="B832" s="11"/>
      <c r="C832" s="66"/>
      <c r="D832" s="66"/>
      <c r="E832" s="16" t="s">
        <v>123</v>
      </c>
      <c r="F832" s="16" t="s">
        <v>1061</v>
      </c>
      <c r="G832" s="16">
        <f t="shared" si="62"/>
        <v>1</v>
      </c>
      <c r="H832" s="66">
        <v>12</v>
      </c>
      <c r="I832" s="98"/>
    </row>
    <row r="833" spans="1:9" ht="13.5" customHeight="1" x14ac:dyDescent="0.3">
      <c r="A833" s="122" t="s">
        <v>512</v>
      </c>
      <c r="B833" s="122"/>
      <c r="C833" s="122"/>
      <c r="D833" s="122"/>
      <c r="E833" s="122"/>
      <c r="F833" s="122"/>
      <c r="G833" s="122"/>
      <c r="H833" s="122"/>
      <c r="I833" s="104"/>
    </row>
    <row r="834" spans="1:9" ht="13.5" customHeight="1" x14ac:dyDescent="0.3">
      <c r="A834" s="134" t="s">
        <v>513</v>
      </c>
      <c r="B834" s="134"/>
      <c r="C834" s="134"/>
      <c r="D834" s="134"/>
      <c r="E834" s="134"/>
      <c r="F834" s="134"/>
      <c r="G834" s="134"/>
      <c r="H834" s="134"/>
      <c r="I834" s="111"/>
    </row>
    <row r="835" spans="1:9" ht="13.5" customHeight="1" x14ac:dyDescent="0.3">
      <c r="A835" s="66">
        <f>A832+G832*H832</f>
        <v>6914</v>
      </c>
      <c r="B835" s="13" t="s">
        <v>224</v>
      </c>
      <c r="C835" s="66"/>
      <c r="D835" s="66"/>
      <c r="E835" s="16" t="s">
        <v>123</v>
      </c>
      <c r="F835" s="16" t="s">
        <v>1061</v>
      </c>
      <c r="G835" s="16">
        <f>IF(OR(E835="U16", E835="S16"),1,IF(E835="TS",6,2))</f>
        <v>1</v>
      </c>
      <c r="H835" s="66">
        <v>1</v>
      </c>
      <c r="I835" s="98"/>
    </row>
    <row r="836" spans="1:9" ht="13.5" customHeight="1" x14ac:dyDescent="0.3">
      <c r="A836" s="66">
        <f>A835+(G835*H835)</f>
        <v>6915</v>
      </c>
      <c r="B836" s="13" t="s">
        <v>225</v>
      </c>
      <c r="C836" s="66"/>
      <c r="D836" s="66"/>
      <c r="E836" s="16" t="s">
        <v>123</v>
      </c>
      <c r="F836" s="16" t="s">
        <v>1061</v>
      </c>
      <c r="G836" s="16">
        <f>IF(OR(E836="U16", E836="S16"),1,IF(E836="TS",6,2))</f>
        <v>1</v>
      </c>
      <c r="H836" s="66">
        <v>1</v>
      </c>
      <c r="I836" s="98"/>
    </row>
    <row r="837" spans="1:9" ht="13.5" customHeight="1" x14ac:dyDescent="0.3">
      <c r="A837" s="66">
        <f>A836+(G836*H836)</f>
        <v>6916</v>
      </c>
      <c r="B837" s="13" t="s">
        <v>226</v>
      </c>
      <c r="C837" s="66"/>
      <c r="D837" s="66"/>
      <c r="E837" s="16" t="s">
        <v>123</v>
      </c>
      <c r="F837" s="16" t="s">
        <v>1061</v>
      </c>
      <c r="G837" s="16">
        <f>IF(OR(E837="U16", E837="S16"),1,IF(E837="TS",6,2))</f>
        <v>1</v>
      </c>
      <c r="H837" s="66">
        <v>1</v>
      </c>
      <c r="I837" s="98"/>
    </row>
    <row r="838" spans="1:9" ht="13.5" customHeight="1" x14ac:dyDescent="0.3">
      <c r="A838" s="66">
        <f>A837+(G837*H837)</f>
        <v>6917</v>
      </c>
      <c r="B838" s="13" t="s">
        <v>227</v>
      </c>
      <c r="C838" s="66"/>
      <c r="D838" s="66"/>
      <c r="E838" s="16" t="s">
        <v>123</v>
      </c>
      <c r="F838" s="16" t="s">
        <v>1061</v>
      </c>
      <c r="G838" s="16">
        <f>IF(OR(E838="U16", E838="S16"),1,IF(E838="TS",6,2))</f>
        <v>1</v>
      </c>
      <c r="H838" s="66">
        <v>1</v>
      </c>
      <c r="I838" s="98"/>
    </row>
    <row r="839" spans="1:9" ht="13.5" customHeight="1" x14ac:dyDescent="0.3">
      <c r="A839" s="134" t="s">
        <v>514</v>
      </c>
      <c r="B839" s="134"/>
      <c r="C839" s="134"/>
      <c r="D839" s="134"/>
      <c r="E839" s="134"/>
      <c r="F839" s="134"/>
      <c r="G839" s="134"/>
      <c r="H839" s="134"/>
      <c r="I839" s="111"/>
    </row>
    <row r="840" spans="1:9" ht="13.5" customHeight="1" x14ac:dyDescent="0.3">
      <c r="A840" s="66">
        <f>A838+(G838*H838)</f>
        <v>6918</v>
      </c>
      <c r="B840" s="13" t="s">
        <v>228</v>
      </c>
      <c r="C840" s="66"/>
      <c r="D840" s="66"/>
      <c r="E840" s="16" t="s">
        <v>123</v>
      </c>
      <c r="F840" s="16" t="s">
        <v>1061</v>
      </c>
      <c r="G840" s="16">
        <f>IF(OR(E840="U16", E840="S16"),1,IF(E840="TS",6,2))</f>
        <v>1</v>
      </c>
      <c r="H840" s="66">
        <v>1</v>
      </c>
      <c r="I840" s="98"/>
    </row>
    <row r="841" spans="1:9" ht="13.5" customHeight="1" x14ac:dyDescent="0.3">
      <c r="A841" s="66">
        <f>A840+(G840*H840)</f>
        <v>6919</v>
      </c>
      <c r="B841" s="13" t="s">
        <v>229</v>
      </c>
      <c r="C841" s="66"/>
      <c r="D841" s="66"/>
      <c r="E841" s="16" t="s">
        <v>123</v>
      </c>
      <c r="F841" s="16" t="s">
        <v>1061</v>
      </c>
      <c r="G841" s="16">
        <f>IF(OR(E841="U16", E841="S16"),1,IF(E841="TS",6,2))</f>
        <v>1</v>
      </c>
      <c r="H841" s="66">
        <v>1</v>
      </c>
      <c r="I841" s="98"/>
    </row>
    <row r="842" spans="1:9" ht="13.5" customHeight="1" x14ac:dyDescent="0.3">
      <c r="A842" s="66">
        <f>A841+(G841*H841)</f>
        <v>6920</v>
      </c>
      <c r="B842" s="13" t="s">
        <v>230</v>
      </c>
      <c r="C842" s="66"/>
      <c r="D842" s="66"/>
      <c r="E842" s="16" t="s">
        <v>123</v>
      </c>
      <c r="F842" s="16" t="s">
        <v>1061</v>
      </c>
      <c r="G842" s="16">
        <f>IF(OR(E842="U16", E842="S16"),1,IF(E842="TS",6,2))</f>
        <v>1</v>
      </c>
      <c r="H842" s="66">
        <v>1</v>
      </c>
      <c r="I842" s="98"/>
    </row>
    <row r="843" spans="1:9" ht="13.5" customHeight="1" x14ac:dyDescent="0.3">
      <c r="A843" s="66">
        <f>A842+(G842*H842)</f>
        <v>6921</v>
      </c>
      <c r="B843" s="13" t="s">
        <v>231</v>
      </c>
      <c r="C843" s="66"/>
      <c r="D843" s="66"/>
      <c r="E843" s="16" t="s">
        <v>123</v>
      </c>
      <c r="F843" s="16" t="s">
        <v>1061</v>
      </c>
      <c r="G843" s="16">
        <f>IF(OR(E843="U16", E843="S16"),1,IF(E843="TS",6,2))</f>
        <v>1</v>
      </c>
      <c r="H843" s="66">
        <v>1</v>
      </c>
      <c r="I843" s="98"/>
    </row>
    <row r="844" spans="1:9" ht="13.5" customHeight="1" x14ac:dyDescent="0.3">
      <c r="A844" s="66">
        <f>A843+(G843*H843)</f>
        <v>6922</v>
      </c>
      <c r="B844" s="13"/>
      <c r="C844" s="66"/>
      <c r="D844" s="66"/>
      <c r="E844" s="16" t="s">
        <v>123</v>
      </c>
      <c r="F844" s="16" t="s">
        <v>1061</v>
      </c>
      <c r="G844" s="16">
        <f>IF(OR(E844="U16", E844="S16"),1,IF(E844="TS",6,2))</f>
        <v>1</v>
      </c>
      <c r="H844" s="66">
        <v>12</v>
      </c>
      <c r="I844" s="98"/>
    </row>
    <row r="845" spans="1:9" ht="13.5" customHeight="1" x14ac:dyDescent="0.3">
      <c r="A845" s="122" t="s">
        <v>394</v>
      </c>
      <c r="B845" s="122"/>
      <c r="C845" s="122"/>
      <c r="D845" s="122"/>
      <c r="E845" s="122"/>
      <c r="F845" s="122"/>
      <c r="G845" s="122"/>
      <c r="H845" s="122"/>
      <c r="I845" s="104"/>
    </row>
    <row r="846" spans="1:9" ht="13.5" customHeight="1" x14ac:dyDescent="0.3">
      <c r="A846" s="66">
        <f>A844+(G844*H844)</f>
        <v>6934</v>
      </c>
      <c r="B846" s="9" t="s">
        <v>476</v>
      </c>
      <c r="C846" s="66"/>
      <c r="D846" s="66"/>
      <c r="E846" s="16" t="s">
        <v>123</v>
      </c>
      <c r="F846" s="16" t="s">
        <v>1061</v>
      </c>
      <c r="G846" s="16">
        <f t="shared" ref="G846:G879" si="64">IF(OR(E846="U16", E846="S16"),1,IF(E846="TS",6,2))</f>
        <v>1</v>
      </c>
      <c r="H846" s="66">
        <v>1</v>
      </c>
      <c r="I846" s="98"/>
    </row>
    <row r="847" spans="1:9" ht="13.5" customHeight="1" x14ac:dyDescent="0.3">
      <c r="A847" s="66">
        <f t="shared" ref="A847:A911" si="65">A846+(G846*H846)</f>
        <v>6935</v>
      </c>
      <c r="B847" s="9" t="s">
        <v>477</v>
      </c>
      <c r="C847" s="66"/>
      <c r="D847" s="66"/>
      <c r="E847" s="16" t="s">
        <v>123</v>
      </c>
      <c r="F847" s="16" t="s">
        <v>1061</v>
      </c>
      <c r="G847" s="16">
        <f>IF(OR(E847="U16", E847="S16"),1,IF(E847="TS",6,2))</f>
        <v>1</v>
      </c>
      <c r="H847" s="66">
        <v>1</v>
      </c>
      <c r="I847" s="98"/>
    </row>
    <row r="848" spans="1:9" ht="13.5" customHeight="1" x14ac:dyDescent="0.3">
      <c r="A848" s="66">
        <f t="shared" si="65"/>
        <v>6936</v>
      </c>
      <c r="B848" s="9" t="s">
        <v>526</v>
      </c>
      <c r="C848" s="35"/>
      <c r="D848" s="35"/>
      <c r="E848" s="16" t="s">
        <v>123</v>
      </c>
      <c r="F848" s="16" t="s">
        <v>1061</v>
      </c>
      <c r="G848" s="16">
        <f t="shared" si="64"/>
        <v>1</v>
      </c>
      <c r="H848" s="66">
        <v>1</v>
      </c>
      <c r="I848" s="98"/>
    </row>
    <row r="849" spans="1:9" ht="13.5" customHeight="1" x14ac:dyDescent="0.3">
      <c r="A849" s="66">
        <f t="shared" si="65"/>
        <v>6937</v>
      </c>
      <c r="B849" s="9" t="s">
        <v>444</v>
      </c>
      <c r="C849" s="35"/>
      <c r="D849" s="35"/>
      <c r="E849" s="16" t="s">
        <v>123</v>
      </c>
      <c r="F849" s="16" t="s">
        <v>1061</v>
      </c>
      <c r="G849" s="16">
        <f t="shared" si="64"/>
        <v>1</v>
      </c>
      <c r="H849" s="66">
        <v>1</v>
      </c>
      <c r="I849" s="98"/>
    </row>
    <row r="850" spans="1:9" ht="13.5" customHeight="1" x14ac:dyDescent="0.3">
      <c r="A850" s="66">
        <f t="shared" si="65"/>
        <v>6938</v>
      </c>
      <c r="B850" s="9" t="s">
        <v>445</v>
      </c>
      <c r="C850" s="35"/>
      <c r="D850" s="35"/>
      <c r="E850" s="16" t="s">
        <v>123</v>
      </c>
      <c r="F850" s="16" t="s">
        <v>1061</v>
      </c>
      <c r="G850" s="16">
        <f t="shared" si="64"/>
        <v>1</v>
      </c>
      <c r="H850" s="66">
        <v>1</v>
      </c>
      <c r="I850" s="98"/>
    </row>
    <row r="851" spans="1:9" ht="13.5" customHeight="1" x14ac:dyDescent="0.3">
      <c r="A851" s="66">
        <f t="shared" si="65"/>
        <v>6939</v>
      </c>
      <c r="B851" s="9" t="s">
        <v>446</v>
      </c>
      <c r="C851" s="35"/>
      <c r="D851" s="35"/>
      <c r="E851" s="16" t="s">
        <v>123</v>
      </c>
      <c r="F851" s="16" t="s">
        <v>1061</v>
      </c>
      <c r="G851" s="16">
        <f t="shared" si="64"/>
        <v>1</v>
      </c>
      <c r="H851" s="66">
        <v>1</v>
      </c>
      <c r="I851" s="98"/>
    </row>
    <row r="852" spans="1:9" ht="13.5" customHeight="1" x14ac:dyDescent="0.3">
      <c r="A852" s="66">
        <f t="shared" si="65"/>
        <v>6940</v>
      </c>
      <c r="B852" s="9" t="s">
        <v>447</v>
      </c>
      <c r="C852" s="35"/>
      <c r="D852" s="35"/>
      <c r="E852" s="16" t="s">
        <v>123</v>
      </c>
      <c r="F852" s="16" t="s">
        <v>1061</v>
      </c>
      <c r="G852" s="16">
        <f t="shared" si="64"/>
        <v>1</v>
      </c>
      <c r="H852" s="66">
        <v>1</v>
      </c>
      <c r="I852" s="98"/>
    </row>
    <row r="853" spans="1:9" ht="13.5" customHeight="1" x14ac:dyDescent="0.3">
      <c r="A853" s="66">
        <f t="shared" si="65"/>
        <v>6941</v>
      </c>
      <c r="B853" s="9" t="s">
        <v>448</v>
      </c>
      <c r="C853" s="35"/>
      <c r="D853" s="35"/>
      <c r="E853" s="16" t="s">
        <v>123</v>
      </c>
      <c r="F853" s="16" t="s">
        <v>1061</v>
      </c>
      <c r="G853" s="16">
        <f t="shared" si="64"/>
        <v>1</v>
      </c>
      <c r="H853" s="66">
        <v>1</v>
      </c>
      <c r="I853" s="98"/>
    </row>
    <row r="854" spans="1:9" ht="13.5" customHeight="1" x14ac:dyDescent="0.3">
      <c r="A854" s="66">
        <f t="shared" si="65"/>
        <v>6942</v>
      </c>
      <c r="B854" s="9" t="s">
        <v>449</v>
      </c>
      <c r="C854" s="35"/>
      <c r="D854" s="35"/>
      <c r="E854" s="16" t="s">
        <v>123</v>
      </c>
      <c r="F854" s="16" t="s">
        <v>1061</v>
      </c>
      <c r="G854" s="16">
        <f t="shared" si="64"/>
        <v>1</v>
      </c>
      <c r="H854" s="66">
        <v>1</v>
      </c>
      <c r="I854" s="98"/>
    </row>
    <row r="855" spans="1:9" ht="13.5" customHeight="1" x14ac:dyDescent="0.3">
      <c r="A855" s="66">
        <f t="shared" si="65"/>
        <v>6943</v>
      </c>
      <c r="B855" s="9" t="s">
        <v>450</v>
      </c>
      <c r="C855" s="35"/>
      <c r="D855" s="35"/>
      <c r="E855" s="16" t="s">
        <v>123</v>
      </c>
      <c r="F855" s="16" t="s">
        <v>1061</v>
      </c>
      <c r="G855" s="16">
        <f t="shared" si="64"/>
        <v>1</v>
      </c>
      <c r="H855" s="66">
        <v>1</v>
      </c>
      <c r="I855" s="98"/>
    </row>
    <row r="856" spans="1:9" ht="13.5" customHeight="1" x14ac:dyDescent="0.3">
      <c r="A856" s="66">
        <f t="shared" si="65"/>
        <v>6944</v>
      </c>
      <c r="B856" s="9" t="s">
        <v>451</v>
      </c>
      <c r="C856" s="35"/>
      <c r="D856" s="35"/>
      <c r="E856" s="16" t="s">
        <v>123</v>
      </c>
      <c r="F856" s="16" t="s">
        <v>1061</v>
      </c>
      <c r="G856" s="16">
        <f t="shared" si="64"/>
        <v>1</v>
      </c>
      <c r="H856" s="66">
        <v>1</v>
      </c>
      <c r="I856" s="98"/>
    </row>
    <row r="857" spans="1:9" ht="13.5" customHeight="1" x14ac:dyDescent="0.3">
      <c r="A857" s="66">
        <f t="shared" si="65"/>
        <v>6945</v>
      </c>
      <c r="B857" s="9" t="s">
        <v>452</v>
      </c>
      <c r="C857" s="35"/>
      <c r="D857" s="35"/>
      <c r="E857" s="16" t="s">
        <v>123</v>
      </c>
      <c r="F857" s="16" t="s">
        <v>1061</v>
      </c>
      <c r="G857" s="16">
        <f t="shared" si="64"/>
        <v>1</v>
      </c>
      <c r="H857" s="66">
        <v>1</v>
      </c>
      <c r="I857" s="98"/>
    </row>
    <row r="858" spans="1:9" ht="13.5" customHeight="1" x14ac:dyDescent="0.3">
      <c r="A858" s="66">
        <f t="shared" si="65"/>
        <v>6946</v>
      </c>
      <c r="B858" s="9" t="s">
        <v>453</v>
      </c>
      <c r="C858" s="35"/>
      <c r="D858" s="35"/>
      <c r="E858" s="16" t="s">
        <v>123</v>
      </c>
      <c r="F858" s="16" t="s">
        <v>1061</v>
      </c>
      <c r="G858" s="16">
        <f t="shared" si="64"/>
        <v>1</v>
      </c>
      <c r="H858" s="66">
        <v>1</v>
      </c>
      <c r="I858" s="98"/>
    </row>
    <row r="859" spans="1:9" ht="13.5" customHeight="1" x14ac:dyDescent="0.3">
      <c r="A859" s="66">
        <f t="shared" si="65"/>
        <v>6947</v>
      </c>
      <c r="B859" s="9" t="s">
        <v>454</v>
      </c>
      <c r="C859" s="35"/>
      <c r="D859" s="35"/>
      <c r="E859" s="16" t="s">
        <v>123</v>
      </c>
      <c r="F859" s="16" t="s">
        <v>1061</v>
      </c>
      <c r="G859" s="16">
        <f t="shared" si="64"/>
        <v>1</v>
      </c>
      <c r="H859" s="66">
        <v>1</v>
      </c>
      <c r="I859" s="98"/>
    </row>
    <row r="860" spans="1:9" ht="13.5" customHeight="1" x14ac:dyDescent="0.3">
      <c r="A860" s="66">
        <f t="shared" si="65"/>
        <v>6948</v>
      </c>
      <c r="B860" s="9" t="s">
        <v>455</v>
      </c>
      <c r="C860" s="35"/>
      <c r="D860" s="35"/>
      <c r="E860" s="16" t="s">
        <v>123</v>
      </c>
      <c r="F860" s="16" t="s">
        <v>1061</v>
      </c>
      <c r="G860" s="16">
        <f t="shared" si="64"/>
        <v>1</v>
      </c>
      <c r="H860" s="66">
        <v>1</v>
      </c>
      <c r="I860" s="98"/>
    </row>
    <row r="861" spans="1:9" ht="13.5" customHeight="1" x14ac:dyDescent="0.3">
      <c r="A861" s="66">
        <f t="shared" si="65"/>
        <v>6949</v>
      </c>
      <c r="B861" s="9" t="s">
        <v>456</v>
      </c>
      <c r="C861" s="35"/>
      <c r="D861" s="35"/>
      <c r="E861" s="16" t="s">
        <v>123</v>
      </c>
      <c r="F861" s="16" t="s">
        <v>1061</v>
      </c>
      <c r="G861" s="16">
        <f t="shared" si="64"/>
        <v>1</v>
      </c>
      <c r="H861" s="66">
        <v>1</v>
      </c>
      <c r="I861" s="98"/>
    </row>
    <row r="862" spans="1:9" ht="13.5" customHeight="1" x14ac:dyDescent="0.3">
      <c r="A862" s="66">
        <f t="shared" si="65"/>
        <v>6950</v>
      </c>
      <c r="B862" s="9" t="s">
        <v>457</v>
      </c>
      <c r="C862" s="35"/>
      <c r="D862" s="35"/>
      <c r="E862" s="16" t="s">
        <v>123</v>
      </c>
      <c r="F862" s="16" t="s">
        <v>1061</v>
      </c>
      <c r="G862" s="16">
        <f t="shared" si="64"/>
        <v>1</v>
      </c>
      <c r="H862" s="66">
        <v>1</v>
      </c>
      <c r="I862" s="98"/>
    </row>
    <row r="863" spans="1:9" ht="13.5" customHeight="1" x14ac:dyDescent="0.3">
      <c r="A863" s="66">
        <f t="shared" si="65"/>
        <v>6951</v>
      </c>
      <c r="B863" s="9" t="s">
        <v>458</v>
      </c>
      <c r="C863" s="35"/>
      <c r="D863" s="35"/>
      <c r="E863" s="16" t="s">
        <v>123</v>
      </c>
      <c r="F863" s="16" t="s">
        <v>1061</v>
      </c>
      <c r="G863" s="16">
        <f t="shared" si="64"/>
        <v>1</v>
      </c>
      <c r="H863" s="66">
        <v>1</v>
      </c>
      <c r="I863" s="98"/>
    </row>
    <row r="864" spans="1:9" ht="13.5" customHeight="1" x14ac:dyDescent="0.3">
      <c r="A864" s="66">
        <f t="shared" si="65"/>
        <v>6952</v>
      </c>
      <c r="B864" s="9" t="s">
        <v>459</v>
      </c>
      <c r="C864" s="35"/>
      <c r="D864" s="35"/>
      <c r="E864" s="16" t="s">
        <v>123</v>
      </c>
      <c r="F864" s="16" t="s">
        <v>1061</v>
      </c>
      <c r="G864" s="16">
        <f t="shared" si="64"/>
        <v>1</v>
      </c>
      <c r="H864" s="66">
        <v>1</v>
      </c>
      <c r="I864" s="98"/>
    </row>
    <row r="865" spans="1:9" ht="13.5" customHeight="1" x14ac:dyDescent="0.3">
      <c r="A865" s="66">
        <f t="shared" si="65"/>
        <v>6953</v>
      </c>
      <c r="B865" s="9" t="s">
        <v>521</v>
      </c>
      <c r="C865" s="35"/>
      <c r="D865" s="35"/>
      <c r="E865" s="16" t="s">
        <v>123</v>
      </c>
      <c r="F865" s="16" t="s">
        <v>1061</v>
      </c>
      <c r="G865" s="16">
        <f t="shared" si="64"/>
        <v>1</v>
      </c>
      <c r="H865" s="66">
        <v>1</v>
      </c>
      <c r="I865" s="98"/>
    </row>
    <row r="866" spans="1:9" ht="13.5" customHeight="1" x14ac:dyDescent="0.3">
      <c r="A866" s="66">
        <f t="shared" si="65"/>
        <v>6954</v>
      </c>
      <c r="B866" s="9" t="s">
        <v>522</v>
      </c>
      <c r="C866" s="35"/>
      <c r="D866" s="35"/>
      <c r="E866" s="16" t="s">
        <v>123</v>
      </c>
      <c r="F866" s="16" t="s">
        <v>1061</v>
      </c>
      <c r="G866" s="16">
        <f t="shared" si="64"/>
        <v>1</v>
      </c>
      <c r="H866" s="66">
        <v>1</v>
      </c>
      <c r="I866" s="98"/>
    </row>
    <row r="867" spans="1:9" ht="13.5" customHeight="1" x14ac:dyDescent="0.3">
      <c r="A867" s="66">
        <f t="shared" si="65"/>
        <v>6955</v>
      </c>
      <c r="B867" s="9" t="s">
        <v>526</v>
      </c>
      <c r="C867" s="35"/>
      <c r="D867" s="35"/>
      <c r="E867" s="16" t="s">
        <v>123</v>
      </c>
      <c r="F867" s="16" t="s">
        <v>1061</v>
      </c>
      <c r="G867" s="16">
        <f>IF(OR(E867="U16", E867="S16"),1,IF(E867="TS",6,2))</f>
        <v>1</v>
      </c>
      <c r="H867" s="66">
        <v>1</v>
      </c>
      <c r="I867" s="98"/>
    </row>
    <row r="868" spans="1:9" ht="13.5" customHeight="1" x14ac:dyDescent="0.3">
      <c r="A868" s="66">
        <f t="shared" si="65"/>
        <v>6956</v>
      </c>
      <c r="B868" s="9" t="s">
        <v>460</v>
      </c>
      <c r="C868" s="35"/>
      <c r="D868" s="35"/>
      <c r="E868" s="16" t="s">
        <v>123</v>
      </c>
      <c r="F868" s="16" t="s">
        <v>1061</v>
      </c>
      <c r="G868" s="16">
        <f t="shared" si="64"/>
        <v>1</v>
      </c>
      <c r="H868" s="66">
        <v>1</v>
      </c>
      <c r="I868" s="98"/>
    </row>
    <row r="869" spans="1:9" ht="13.5" customHeight="1" x14ac:dyDescent="0.3">
      <c r="A869" s="66">
        <f t="shared" si="65"/>
        <v>6957</v>
      </c>
      <c r="B869" s="9" t="s">
        <v>461</v>
      </c>
      <c r="C869" s="35"/>
      <c r="D869" s="35"/>
      <c r="E869" s="16" t="s">
        <v>123</v>
      </c>
      <c r="F869" s="16" t="s">
        <v>1061</v>
      </c>
      <c r="G869" s="16">
        <f t="shared" si="64"/>
        <v>1</v>
      </c>
      <c r="H869" s="66">
        <v>1</v>
      </c>
      <c r="I869" s="98"/>
    </row>
    <row r="870" spans="1:9" ht="13.5" customHeight="1" x14ac:dyDescent="0.3">
      <c r="A870" s="66">
        <f t="shared" si="65"/>
        <v>6958</v>
      </c>
      <c r="B870" s="9" t="s">
        <v>462</v>
      </c>
      <c r="C870" s="35"/>
      <c r="D870" s="35"/>
      <c r="E870" s="16" t="s">
        <v>123</v>
      </c>
      <c r="F870" s="16" t="s">
        <v>1061</v>
      </c>
      <c r="G870" s="16">
        <f t="shared" si="64"/>
        <v>1</v>
      </c>
      <c r="H870" s="66">
        <v>1</v>
      </c>
      <c r="I870" s="98"/>
    </row>
    <row r="871" spans="1:9" ht="13.5" customHeight="1" x14ac:dyDescent="0.3">
      <c r="A871" s="66">
        <f t="shared" si="65"/>
        <v>6959</v>
      </c>
      <c r="B871" s="9" t="s">
        <v>463</v>
      </c>
      <c r="C871" s="35"/>
      <c r="D871" s="35"/>
      <c r="E871" s="16" t="s">
        <v>123</v>
      </c>
      <c r="F871" s="16" t="s">
        <v>1061</v>
      </c>
      <c r="G871" s="16">
        <f t="shared" si="64"/>
        <v>1</v>
      </c>
      <c r="H871" s="66">
        <v>1</v>
      </c>
      <c r="I871" s="98"/>
    </row>
    <row r="872" spans="1:9" ht="13.5" customHeight="1" x14ac:dyDescent="0.3">
      <c r="A872" s="66">
        <f t="shared" si="65"/>
        <v>6960</v>
      </c>
      <c r="B872" s="9" t="s">
        <v>464</v>
      </c>
      <c r="C872" s="35"/>
      <c r="D872" s="35"/>
      <c r="E872" s="16" t="s">
        <v>123</v>
      </c>
      <c r="F872" s="16" t="s">
        <v>1061</v>
      </c>
      <c r="G872" s="16">
        <f t="shared" si="64"/>
        <v>1</v>
      </c>
      <c r="H872" s="66">
        <v>1</v>
      </c>
      <c r="I872" s="98"/>
    </row>
    <row r="873" spans="1:9" ht="13.5" customHeight="1" x14ac:dyDescent="0.3">
      <c r="A873" s="66">
        <f t="shared" si="65"/>
        <v>6961</v>
      </c>
      <c r="B873" s="9" t="s">
        <v>465</v>
      </c>
      <c r="C873" s="35"/>
      <c r="D873" s="35"/>
      <c r="E873" s="16" t="s">
        <v>123</v>
      </c>
      <c r="F873" s="16" t="s">
        <v>1061</v>
      </c>
      <c r="G873" s="16">
        <f t="shared" si="64"/>
        <v>1</v>
      </c>
      <c r="H873" s="66">
        <v>1</v>
      </c>
      <c r="I873" s="98"/>
    </row>
    <row r="874" spans="1:9" ht="13.5" customHeight="1" x14ac:dyDescent="0.3">
      <c r="A874" s="66">
        <f t="shared" si="65"/>
        <v>6962</v>
      </c>
      <c r="B874" s="9" t="s">
        <v>466</v>
      </c>
      <c r="C874" s="35"/>
      <c r="D874" s="35"/>
      <c r="E874" s="16" t="s">
        <v>123</v>
      </c>
      <c r="F874" s="16" t="s">
        <v>1061</v>
      </c>
      <c r="G874" s="16">
        <f t="shared" si="64"/>
        <v>1</v>
      </c>
      <c r="H874" s="66">
        <v>1</v>
      </c>
      <c r="I874" s="98"/>
    </row>
    <row r="875" spans="1:9" ht="13.5" customHeight="1" x14ac:dyDescent="0.3">
      <c r="A875" s="66">
        <f t="shared" si="65"/>
        <v>6963</v>
      </c>
      <c r="B875" s="9" t="s">
        <v>467</v>
      </c>
      <c r="C875" s="35"/>
      <c r="D875" s="35"/>
      <c r="E875" s="16" t="s">
        <v>123</v>
      </c>
      <c r="F875" s="16" t="s">
        <v>1061</v>
      </c>
      <c r="G875" s="16">
        <f t="shared" si="64"/>
        <v>1</v>
      </c>
      <c r="H875" s="66">
        <v>1</v>
      </c>
      <c r="I875" s="98"/>
    </row>
    <row r="876" spans="1:9" ht="13.5" customHeight="1" x14ac:dyDescent="0.3">
      <c r="A876" s="66">
        <f t="shared" si="65"/>
        <v>6964</v>
      </c>
      <c r="B876" s="9" t="s">
        <v>468</v>
      </c>
      <c r="C876" s="35"/>
      <c r="D876" s="35"/>
      <c r="E876" s="16" t="s">
        <v>123</v>
      </c>
      <c r="F876" s="16" t="s">
        <v>1061</v>
      </c>
      <c r="G876" s="16">
        <f t="shared" si="64"/>
        <v>1</v>
      </c>
      <c r="H876" s="66">
        <v>1</v>
      </c>
      <c r="I876" s="98"/>
    </row>
    <row r="877" spans="1:9" ht="15" customHeight="1" x14ac:dyDescent="0.3">
      <c r="A877" s="66">
        <f t="shared" si="65"/>
        <v>6965</v>
      </c>
      <c r="B877" s="9" t="s">
        <v>469</v>
      </c>
      <c r="C877" s="35"/>
      <c r="D877" s="35"/>
      <c r="E877" s="16" t="s">
        <v>123</v>
      </c>
      <c r="F877" s="16" t="s">
        <v>1061</v>
      </c>
      <c r="G877" s="16">
        <f t="shared" si="64"/>
        <v>1</v>
      </c>
      <c r="H877" s="66">
        <v>1</v>
      </c>
      <c r="I877" s="98"/>
    </row>
    <row r="878" spans="1:9" ht="15" customHeight="1" x14ac:dyDescent="0.3">
      <c r="A878" s="66">
        <f t="shared" si="65"/>
        <v>6966</v>
      </c>
      <c r="B878" s="9" t="s">
        <v>470</v>
      </c>
      <c r="C878" s="35"/>
      <c r="D878" s="35"/>
      <c r="E878" s="16" t="s">
        <v>123</v>
      </c>
      <c r="F878" s="16" t="s">
        <v>1061</v>
      </c>
      <c r="G878" s="16">
        <f t="shared" si="64"/>
        <v>1</v>
      </c>
      <c r="H878" s="66">
        <v>1</v>
      </c>
      <c r="I878" s="98"/>
    </row>
    <row r="879" spans="1:9" ht="15" customHeight="1" x14ac:dyDescent="0.3">
      <c r="A879" s="66">
        <f t="shared" si="65"/>
        <v>6967</v>
      </c>
      <c r="B879" s="9" t="s">
        <v>471</v>
      </c>
      <c r="C879" s="35"/>
      <c r="D879" s="35"/>
      <c r="E879" s="16" t="s">
        <v>123</v>
      </c>
      <c r="F879" s="16" t="s">
        <v>1061</v>
      </c>
      <c r="G879" s="16">
        <f t="shared" si="64"/>
        <v>1</v>
      </c>
      <c r="H879" s="66">
        <v>1</v>
      </c>
      <c r="I879" s="98"/>
    </row>
    <row r="880" spans="1:9" ht="15" customHeight="1" x14ac:dyDescent="0.3">
      <c r="A880" s="66">
        <f t="shared" si="65"/>
        <v>6968</v>
      </c>
      <c r="B880" s="9" t="s">
        <v>472</v>
      </c>
      <c r="C880" s="35"/>
      <c r="D880" s="35"/>
      <c r="E880" s="16" t="s">
        <v>123</v>
      </c>
      <c r="F880" s="16" t="s">
        <v>1061</v>
      </c>
      <c r="G880" s="16">
        <f t="shared" ref="G880:G911" si="66">IF(OR(E880="U16", E880="S16"),1,IF(E880="TS",6,2))</f>
        <v>1</v>
      </c>
      <c r="H880" s="66">
        <v>1</v>
      </c>
      <c r="I880" s="98"/>
    </row>
    <row r="881" spans="1:9" ht="15" customHeight="1" x14ac:dyDescent="0.3">
      <c r="A881" s="66">
        <f t="shared" si="65"/>
        <v>6969</v>
      </c>
      <c r="B881" s="9" t="s">
        <v>473</v>
      </c>
      <c r="C881" s="35"/>
      <c r="D881" s="35"/>
      <c r="E881" s="16" t="s">
        <v>123</v>
      </c>
      <c r="F881" s="16" t="s">
        <v>1061</v>
      </c>
      <c r="G881" s="16">
        <f t="shared" si="66"/>
        <v>1</v>
      </c>
      <c r="H881" s="66">
        <v>1</v>
      </c>
      <c r="I881" s="98"/>
    </row>
    <row r="882" spans="1:9" ht="15" customHeight="1" x14ac:dyDescent="0.3">
      <c r="A882" s="66">
        <f t="shared" si="65"/>
        <v>6970</v>
      </c>
      <c r="B882" s="9" t="s">
        <v>474</v>
      </c>
      <c r="C882" s="35"/>
      <c r="D882" s="35"/>
      <c r="E882" s="16" t="s">
        <v>123</v>
      </c>
      <c r="F882" s="16" t="s">
        <v>1061</v>
      </c>
      <c r="G882" s="16">
        <f t="shared" si="66"/>
        <v>1</v>
      </c>
      <c r="H882" s="66">
        <v>1</v>
      </c>
      <c r="I882" s="98"/>
    </row>
    <row r="883" spans="1:9" ht="15" customHeight="1" x14ac:dyDescent="0.3">
      <c r="A883" s="66">
        <f t="shared" si="65"/>
        <v>6971</v>
      </c>
      <c r="B883" s="9" t="s">
        <v>475</v>
      </c>
      <c r="C883" s="35"/>
      <c r="D883" s="35"/>
      <c r="E883" s="16" t="s">
        <v>123</v>
      </c>
      <c r="F883" s="16" t="s">
        <v>1061</v>
      </c>
      <c r="G883" s="16">
        <f t="shared" si="66"/>
        <v>1</v>
      </c>
      <c r="H883" s="66">
        <v>1</v>
      </c>
      <c r="I883" s="98"/>
    </row>
    <row r="884" spans="1:9" ht="15" customHeight="1" x14ac:dyDescent="0.3">
      <c r="A884" s="66">
        <f t="shared" si="65"/>
        <v>6972</v>
      </c>
      <c r="B884" s="9" t="s">
        <v>524</v>
      </c>
      <c r="C884" s="35"/>
      <c r="D884" s="35"/>
      <c r="E884" s="16" t="s">
        <v>123</v>
      </c>
      <c r="F884" s="16" t="s">
        <v>1061</v>
      </c>
      <c r="G884" s="16">
        <f t="shared" si="66"/>
        <v>1</v>
      </c>
      <c r="H884" s="66">
        <v>1</v>
      </c>
      <c r="I884" s="98"/>
    </row>
    <row r="885" spans="1:9" ht="15" customHeight="1" x14ac:dyDescent="0.3">
      <c r="A885" s="66">
        <f t="shared" si="65"/>
        <v>6973</v>
      </c>
      <c r="B885" s="9" t="s">
        <v>525</v>
      </c>
      <c r="C885" s="35"/>
      <c r="D885" s="35"/>
      <c r="E885" s="16" t="s">
        <v>123</v>
      </c>
      <c r="F885" s="16" t="s">
        <v>1061</v>
      </c>
      <c r="G885" s="16">
        <f t="shared" si="66"/>
        <v>1</v>
      </c>
      <c r="H885" s="66">
        <v>1</v>
      </c>
      <c r="I885" s="98"/>
    </row>
    <row r="886" spans="1:9" ht="15" customHeight="1" x14ac:dyDescent="0.3">
      <c r="A886" s="66">
        <f t="shared" si="65"/>
        <v>6974</v>
      </c>
      <c r="B886" s="9" t="s">
        <v>523</v>
      </c>
      <c r="C886" s="35"/>
      <c r="D886" s="35"/>
      <c r="E886" s="16" t="s">
        <v>123</v>
      </c>
      <c r="F886" s="16" t="s">
        <v>1061</v>
      </c>
      <c r="G886" s="16">
        <f t="shared" si="66"/>
        <v>1</v>
      </c>
      <c r="H886" s="66">
        <v>1</v>
      </c>
      <c r="I886" s="98"/>
    </row>
    <row r="887" spans="1:9" ht="15" customHeight="1" x14ac:dyDescent="0.3">
      <c r="A887" s="66">
        <f t="shared" si="65"/>
        <v>6975</v>
      </c>
      <c r="B887" s="9" t="s">
        <v>478</v>
      </c>
      <c r="C887" s="35"/>
      <c r="D887" s="35"/>
      <c r="E887" s="16" t="s">
        <v>123</v>
      </c>
      <c r="F887" s="16" t="s">
        <v>1061</v>
      </c>
      <c r="G887" s="16">
        <f t="shared" si="66"/>
        <v>1</v>
      </c>
      <c r="H887" s="66">
        <v>1</v>
      </c>
      <c r="I887" s="98"/>
    </row>
    <row r="888" spans="1:9" ht="15" customHeight="1" x14ac:dyDescent="0.3">
      <c r="A888" s="66">
        <f t="shared" si="65"/>
        <v>6976</v>
      </c>
      <c r="B888" s="9" t="s">
        <v>479</v>
      </c>
      <c r="C888" s="35"/>
      <c r="D888" s="35"/>
      <c r="E888" s="16" t="s">
        <v>123</v>
      </c>
      <c r="F888" s="16" t="s">
        <v>1061</v>
      </c>
      <c r="G888" s="16">
        <f t="shared" si="66"/>
        <v>1</v>
      </c>
      <c r="H888" s="66">
        <v>1</v>
      </c>
      <c r="I888" s="98"/>
    </row>
    <row r="889" spans="1:9" ht="15" customHeight="1" x14ac:dyDescent="0.3">
      <c r="A889" s="66">
        <f t="shared" si="65"/>
        <v>6977</v>
      </c>
      <c r="B889" s="9" t="s">
        <v>480</v>
      </c>
      <c r="C889" s="35"/>
      <c r="D889" s="35"/>
      <c r="E889" s="16" t="s">
        <v>123</v>
      </c>
      <c r="F889" s="16" t="s">
        <v>1061</v>
      </c>
      <c r="G889" s="16">
        <f t="shared" si="66"/>
        <v>1</v>
      </c>
      <c r="H889" s="66">
        <v>1</v>
      </c>
      <c r="I889" s="98"/>
    </row>
    <row r="890" spans="1:9" ht="15" customHeight="1" x14ac:dyDescent="0.3">
      <c r="A890" s="66">
        <f t="shared" si="65"/>
        <v>6978</v>
      </c>
      <c r="B890" s="9" t="s">
        <v>481</v>
      </c>
      <c r="C890" s="35"/>
      <c r="D890" s="35"/>
      <c r="E890" s="16" t="s">
        <v>123</v>
      </c>
      <c r="F890" s="16" t="s">
        <v>1061</v>
      </c>
      <c r="G890" s="16">
        <f t="shared" si="66"/>
        <v>1</v>
      </c>
      <c r="H890" s="66">
        <v>1</v>
      </c>
      <c r="I890" s="98"/>
    </row>
    <row r="891" spans="1:9" ht="15" customHeight="1" x14ac:dyDescent="0.3">
      <c r="A891" s="66">
        <f t="shared" si="65"/>
        <v>6979</v>
      </c>
      <c r="B891" s="9" t="s">
        <v>482</v>
      </c>
      <c r="C891" s="35"/>
      <c r="D891" s="35"/>
      <c r="E891" s="16" t="s">
        <v>123</v>
      </c>
      <c r="F891" s="16" t="s">
        <v>1061</v>
      </c>
      <c r="G891" s="16">
        <f t="shared" si="66"/>
        <v>1</v>
      </c>
      <c r="H891" s="66">
        <v>1</v>
      </c>
      <c r="I891" s="98"/>
    </row>
    <row r="892" spans="1:9" ht="15" customHeight="1" x14ac:dyDescent="0.3">
      <c r="A892" s="66">
        <f t="shared" si="65"/>
        <v>6980</v>
      </c>
      <c r="B892" s="9" t="s">
        <v>483</v>
      </c>
      <c r="C892" s="35"/>
      <c r="D892" s="35"/>
      <c r="E892" s="16" t="s">
        <v>123</v>
      </c>
      <c r="F892" s="16" t="s">
        <v>1061</v>
      </c>
      <c r="G892" s="16">
        <f t="shared" si="66"/>
        <v>1</v>
      </c>
      <c r="H892" s="66">
        <v>1</v>
      </c>
      <c r="I892" s="98"/>
    </row>
    <row r="893" spans="1:9" ht="15" customHeight="1" x14ac:dyDescent="0.3">
      <c r="A893" s="66">
        <f t="shared" si="65"/>
        <v>6981</v>
      </c>
      <c r="B893" s="9" t="s">
        <v>484</v>
      </c>
      <c r="C893" s="35"/>
      <c r="D893" s="35"/>
      <c r="E893" s="16" t="s">
        <v>123</v>
      </c>
      <c r="F893" s="16" t="s">
        <v>1061</v>
      </c>
      <c r="G893" s="16">
        <f t="shared" si="66"/>
        <v>1</v>
      </c>
      <c r="H893" s="66">
        <v>1</v>
      </c>
      <c r="I893" s="98"/>
    </row>
    <row r="894" spans="1:9" ht="15" customHeight="1" x14ac:dyDescent="0.3">
      <c r="A894" s="66">
        <f t="shared" si="65"/>
        <v>6982</v>
      </c>
      <c r="B894" s="9" t="s">
        <v>485</v>
      </c>
      <c r="C894" s="35"/>
      <c r="D894" s="35"/>
      <c r="E894" s="16" t="s">
        <v>123</v>
      </c>
      <c r="F894" s="16" t="s">
        <v>1061</v>
      </c>
      <c r="G894" s="16">
        <f t="shared" si="66"/>
        <v>1</v>
      </c>
      <c r="H894" s="66">
        <v>1</v>
      </c>
      <c r="I894" s="98"/>
    </row>
    <row r="895" spans="1:9" ht="15" customHeight="1" x14ac:dyDescent="0.3">
      <c r="A895" s="66">
        <f t="shared" si="65"/>
        <v>6983</v>
      </c>
      <c r="B895" s="9" t="s">
        <v>486</v>
      </c>
      <c r="C895" s="35"/>
      <c r="D895" s="35"/>
      <c r="E895" s="16" t="s">
        <v>123</v>
      </c>
      <c r="F895" s="16" t="s">
        <v>1061</v>
      </c>
      <c r="G895" s="16">
        <f t="shared" si="66"/>
        <v>1</v>
      </c>
      <c r="H895" s="66">
        <v>1</v>
      </c>
      <c r="I895" s="98"/>
    </row>
    <row r="896" spans="1:9" ht="15" customHeight="1" x14ac:dyDescent="0.3">
      <c r="A896" s="66">
        <f t="shared" si="65"/>
        <v>6984</v>
      </c>
      <c r="B896" s="9" t="s">
        <v>487</v>
      </c>
      <c r="C896" s="35"/>
      <c r="D896" s="35"/>
      <c r="E896" s="16" t="s">
        <v>123</v>
      </c>
      <c r="F896" s="16" t="s">
        <v>1061</v>
      </c>
      <c r="G896" s="16">
        <f t="shared" si="66"/>
        <v>1</v>
      </c>
      <c r="H896" s="66">
        <v>1</v>
      </c>
      <c r="I896" s="98"/>
    </row>
    <row r="897" spans="1:9" ht="15" customHeight="1" x14ac:dyDescent="0.3">
      <c r="A897" s="66">
        <f t="shared" si="65"/>
        <v>6985</v>
      </c>
      <c r="B897" s="9" t="s">
        <v>488</v>
      </c>
      <c r="C897" s="35"/>
      <c r="D897" s="35"/>
      <c r="E897" s="16" t="s">
        <v>123</v>
      </c>
      <c r="F897" s="16" t="s">
        <v>1061</v>
      </c>
      <c r="G897" s="16">
        <f t="shared" si="66"/>
        <v>1</v>
      </c>
      <c r="H897" s="66">
        <v>1</v>
      </c>
      <c r="I897" s="98"/>
    </row>
    <row r="898" spans="1:9" ht="15" customHeight="1" x14ac:dyDescent="0.3">
      <c r="A898" s="66">
        <f t="shared" si="65"/>
        <v>6986</v>
      </c>
      <c r="B898" s="9" t="s">
        <v>489</v>
      </c>
      <c r="C898" s="35"/>
      <c r="D898" s="35"/>
      <c r="E898" s="16" t="s">
        <v>123</v>
      </c>
      <c r="F898" s="16" t="s">
        <v>1061</v>
      </c>
      <c r="G898" s="16">
        <f t="shared" si="66"/>
        <v>1</v>
      </c>
      <c r="H898" s="66">
        <v>1</v>
      </c>
      <c r="I898" s="98"/>
    </row>
    <row r="899" spans="1:9" ht="15" customHeight="1" x14ac:dyDescent="0.3">
      <c r="A899" s="66">
        <f t="shared" si="65"/>
        <v>6987</v>
      </c>
      <c r="B899" s="9" t="s">
        <v>490</v>
      </c>
      <c r="C899" s="35"/>
      <c r="D899" s="35"/>
      <c r="E899" s="16" t="s">
        <v>123</v>
      </c>
      <c r="F899" s="16" t="s">
        <v>1061</v>
      </c>
      <c r="G899" s="16">
        <f t="shared" si="66"/>
        <v>1</v>
      </c>
      <c r="H899" s="66">
        <v>1</v>
      </c>
      <c r="I899" s="98"/>
    </row>
    <row r="900" spans="1:9" ht="15" customHeight="1" x14ac:dyDescent="0.3">
      <c r="A900" s="66">
        <f t="shared" si="65"/>
        <v>6988</v>
      </c>
      <c r="B900" s="9" t="s">
        <v>491</v>
      </c>
      <c r="C900" s="35"/>
      <c r="D900" s="35"/>
      <c r="E900" s="16" t="s">
        <v>123</v>
      </c>
      <c r="F900" s="16" t="s">
        <v>1061</v>
      </c>
      <c r="G900" s="16">
        <f t="shared" si="66"/>
        <v>1</v>
      </c>
      <c r="H900" s="66">
        <v>1</v>
      </c>
      <c r="I900" s="98"/>
    </row>
    <row r="901" spans="1:9" ht="15" customHeight="1" x14ac:dyDescent="0.3">
      <c r="A901" s="66">
        <f t="shared" si="65"/>
        <v>6989</v>
      </c>
      <c r="B901" s="9" t="s">
        <v>492</v>
      </c>
      <c r="C901" s="35"/>
      <c r="D901" s="35"/>
      <c r="E901" s="16" t="s">
        <v>123</v>
      </c>
      <c r="F901" s="16" t="s">
        <v>1061</v>
      </c>
      <c r="G901" s="16">
        <f t="shared" si="66"/>
        <v>1</v>
      </c>
      <c r="H901" s="66">
        <v>1</v>
      </c>
      <c r="I901" s="98"/>
    </row>
    <row r="902" spans="1:9" ht="15" customHeight="1" x14ac:dyDescent="0.3">
      <c r="A902" s="66">
        <f t="shared" si="65"/>
        <v>6990</v>
      </c>
      <c r="B902" s="9" t="s">
        <v>493</v>
      </c>
      <c r="C902" s="35"/>
      <c r="D902" s="35"/>
      <c r="E902" s="16" t="s">
        <v>123</v>
      </c>
      <c r="F902" s="16" t="s">
        <v>1061</v>
      </c>
      <c r="G902" s="16">
        <f t="shared" si="66"/>
        <v>1</v>
      </c>
      <c r="H902" s="66">
        <v>1</v>
      </c>
      <c r="I902" s="98"/>
    </row>
    <row r="903" spans="1:9" ht="15" customHeight="1" x14ac:dyDescent="0.3">
      <c r="A903" s="66">
        <f t="shared" si="65"/>
        <v>6991</v>
      </c>
      <c r="B903" s="9" t="s">
        <v>510</v>
      </c>
      <c r="C903" s="35"/>
      <c r="D903" s="35"/>
      <c r="E903" s="16" t="s">
        <v>123</v>
      </c>
      <c r="F903" s="16" t="s">
        <v>1061</v>
      </c>
      <c r="G903" s="16">
        <f t="shared" si="66"/>
        <v>1</v>
      </c>
      <c r="H903" s="66">
        <v>1</v>
      </c>
      <c r="I903" s="98"/>
    </row>
    <row r="904" spans="1:9" ht="15" customHeight="1" x14ac:dyDescent="0.3">
      <c r="A904" s="66">
        <f t="shared" si="65"/>
        <v>6992</v>
      </c>
      <c r="B904" s="9" t="s">
        <v>511</v>
      </c>
      <c r="C904" s="35"/>
      <c r="D904" s="35"/>
      <c r="E904" s="16" t="s">
        <v>123</v>
      </c>
      <c r="F904" s="16" t="s">
        <v>1061</v>
      </c>
      <c r="G904" s="16">
        <f t="shared" si="66"/>
        <v>1</v>
      </c>
      <c r="H904" s="66">
        <v>1</v>
      </c>
      <c r="I904" s="98"/>
    </row>
    <row r="905" spans="1:9" ht="15" customHeight="1" x14ac:dyDescent="0.3">
      <c r="A905" s="66">
        <f t="shared" si="65"/>
        <v>6993</v>
      </c>
      <c r="B905" s="9" t="s">
        <v>523</v>
      </c>
      <c r="C905" s="35"/>
      <c r="D905" s="35"/>
      <c r="E905" s="16" t="s">
        <v>123</v>
      </c>
      <c r="F905" s="16" t="s">
        <v>1061</v>
      </c>
      <c r="G905" s="16">
        <f t="shared" si="66"/>
        <v>1</v>
      </c>
      <c r="H905" s="66">
        <v>1</v>
      </c>
      <c r="I905" s="98"/>
    </row>
    <row r="906" spans="1:9" ht="15" customHeight="1" x14ac:dyDescent="0.3">
      <c r="A906" s="66">
        <f t="shared" si="65"/>
        <v>6994</v>
      </c>
      <c r="B906" s="9" t="s">
        <v>494</v>
      </c>
      <c r="C906" s="35"/>
      <c r="D906" s="35"/>
      <c r="E906" s="16" t="s">
        <v>123</v>
      </c>
      <c r="F906" s="16" t="s">
        <v>1061</v>
      </c>
      <c r="G906" s="16">
        <f t="shared" si="66"/>
        <v>1</v>
      </c>
      <c r="H906" s="66">
        <v>1</v>
      </c>
      <c r="I906" s="98"/>
    </row>
    <row r="907" spans="1:9" ht="15" customHeight="1" x14ac:dyDescent="0.3">
      <c r="A907" s="66">
        <f t="shared" si="65"/>
        <v>6995</v>
      </c>
      <c r="B907" s="9" t="s">
        <v>495</v>
      </c>
      <c r="C907" s="35"/>
      <c r="D907" s="35"/>
      <c r="E907" s="16" t="s">
        <v>123</v>
      </c>
      <c r="F907" s="16" t="s">
        <v>1061</v>
      </c>
      <c r="G907" s="16">
        <f t="shared" si="66"/>
        <v>1</v>
      </c>
      <c r="H907" s="66">
        <v>1</v>
      </c>
      <c r="I907" s="98"/>
    </row>
    <row r="908" spans="1:9" ht="15" customHeight="1" x14ac:dyDescent="0.3">
      <c r="A908" s="66">
        <f t="shared" si="65"/>
        <v>6996</v>
      </c>
      <c r="B908" s="9" t="s">
        <v>496</v>
      </c>
      <c r="C908" s="35"/>
      <c r="D908" s="35"/>
      <c r="E908" s="16" t="s">
        <v>123</v>
      </c>
      <c r="F908" s="16" t="s">
        <v>1061</v>
      </c>
      <c r="G908" s="16">
        <f t="shared" si="66"/>
        <v>1</v>
      </c>
      <c r="H908" s="66">
        <v>1</v>
      </c>
      <c r="I908" s="98"/>
    </row>
    <row r="909" spans="1:9" ht="15" customHeight="1" x14ac:dyDescent="0.3">
      <c r="A909" s="66">
        <f t="shared" si="65"/>
        <v>6997</v>
      </c>
      <c r="B909" s="9" t="s">
        <v>497</v>
      </c>
      <c r="C909" s="35"/>
      <c r="D909" s="35"/>
      <c r="E909" s="16" t="s">
        <v>123</v>
      </c>
      <c r="F909" s="16" t="s">
        <v>1061</v>
      </c>
      <c r="G909" s="16">
        <f t="shared" si="66"/>
        <v>1</v>
      </c>
      <c r="H909" s="66">
        <v>1</v>
      </c>
      <c r="I909" s="98"/>
    </row>
    <row r="910" spans="1:9" ht="15" customHeight="1" x14ac:dyDescent="0.3">
      <c r="A910" s="66">
        <f t="shared" si="65"/>
        <v>6998</v>
      </c>
      <c r="B910" s="9" t="s">
        <v>498</v>
      </c>
      <c r="C910" s="35"/>
      <c r="D910" s="35"/>
      <c r="E910" s="16" t="s">
        <v>123</v>
      </c>
      <c r="F910" s="16" t="s">
        <v>1061</v>
      </c>
      <c r="G910" s="16">
        <f t="shared" si="66"/>
        <v>1</v>
      </c>
      <c r="H910" s="66">
        <v>1</v>
      </c>
      <c r="I910" s="98"/>
    </row>
    <row r="911" spans="1:9" ht="15" customHeight="1" x14ac:dyDescent="0.3">
      <c r="A911" s="66">
        <f t="shared" si="65"/>
        <v>6999</v>
      </c>
      <c r="B911" s="9" t="s">
        <v>499</v>
      </c>
      <c r="C911" s="35"/>
      <c r="D911" s="35"/>
      <c r="E911" s="16" t="s">
        <v>123</v>
      </c>
      <c r="F911" s="16" t="s">
        <v>1061</v>
      </c>
      <c r="G911" s="16">
        <f t="shared" si="66"/>
        <v>1</v>
      </c>
      <c r="H911" s="66">
        <v>1</v>
      </c>
      <c r="I911" s="98"/>
    </row>
    <row r="912" spans="1:9" ht="15" customHeight="1" x14ac:dyDescent="0.3">
      <c r="A912" s="66">
        <f t="shared" ref="A912:A922" si="67">A911+(G911*H911)</f>
        <v>7000</v>
      </c>
      <c r="B912" s="9" t="s">
        <v>500</v>
      </c>
      <c r="C912" s="35"/>
      <c r="D912" s="35"/>
      <c r="E912" s="16" t="s">
        <v>123</v>
      </c>
      <c r="F912" s="16" t="s">
        <v>1061</v>
      </c>
      <c r="G912" s="16">
        <f>IF(OR(E912="U16", E912="S16"),1,IF(E912="TS",6,2))</f>
        <v>1</v>
      </c>
      <c r="H912" s="66">
        <v>1</v>
      </c>
      <c r="I912" s="98"/>
    </row>
    <row r="913" spans="1:9" ht="15" customHeight="1" x14ac:dyDescent="0.3">
      <c r="A913" s="66">
        <f t="shared" si="67"/>
        <v>7001</v>
      </c>
      <c r="B913" s="9" t="s">
        <v>501</v>
      </c>
      <c r="C913" s="66"/>
      <c r="D913" s="66"/>
      <c r="E913" s="16" t="s">
        <v>123</v>
      </c>
      <c r="F913" s="16" t="s">
        <v>1061</v>
      </c>
      <c r="G913" s="16">
        <f t="shared" ref="G913:G918" si="68">IF(OR(E913="U16", E913="S16"),1,IF(E913="TS",6,2))</f>
        <v>1</v>
      </c>
      <c r="H913" s="66">
        <v>1</v>
      </c>
      <c r="I913" s="98"/>
    </row>
    <row r="914" spans="1:9" ht="15" customHeight="1" x14ac:dyDescent="0.3">
      <c r="A914" s="66">
        <f t="shared" si="67"/>
        <v>7002</v>
      </c>
      <c r="B914" s="9" t="s">
        <v>502</v>
      </c>
      <c r="C914" s="66"/>
      <c r="D914" s="66"/>
      <c r="E914" s="16" t="s">
        <v>123</v>
      </c>
      <c r="F914" s="16" t="s">
        <v>1061</v>
      </c>
      <c r="G914" s="16">
        <f t="shared" si="68"/>
        <v>1</v>
      </c>
      <c r="H914" s="66">
        <v>1</v>
      </c>
      <c r="I914" s="98"/>
    </row>
    <row r="915" spans="1:9" ht="15" customHeight="1" x14ac:dyDescent="0.3">
      <c r="A915" s="66">
        <f t="shared" si="67"/>
        <v>7003</v>
      </c>
      <c r="B915" s="9" t="s">
        <v>503</v>
      </c>
      <c r="C915" s="66"/>
      <c r="D915" s="66"/>
      <c r="E915" s="16" t="s">
        <v>123</v>
      </c>
      <c r="F915" s="16" t="s">
        <v>1061</v>
      </c>
      <c r="G915" s="16">
        <f t="shared" si="68"/>
        <v>1</v>
      </c>
      <c r="H915" s="66">
        <v>1</v>
      </c>
      <c r="I915" s="98"/>
    </row>
    <row r="916" spans="1:9" ht="15" customHeight="1" x14ac:dyDescent="0.3">
      <c r="A916" s="66">
        <f t="shared" si="67"/>
        <v>7004</v>
      </c>
      <c r="B916" s="9" t="s">
        <v>504</v>
      </c>
      <c r="C916" s="66"/>
      <c r="D916" s="66"/>
      <c r="E916" s="16" t="s">
        <v>123</v>
      </c>
      <c r="F916" s="16" t="s">
        <v>1061</v>
      </c>
      <c r="G916" s="16">
        <f t="shared" si="68"/>
        <v>1</v>
      </c>
      <c r="H916" s="66">
        <v>1</v>
      </c>
      <c r="I916" s="98"/>
    </row>
    <row r="917" spans="1:9" ht="15" customHeight="1" x14ac:dyDescent="0.3">
      <c r="A917" s="66">
        <f t="shared" si="67"/>
        <v>7005</v>
      </c>
      <c r="B917" s="9" t="s">
        <v>505</v>
      </c>
      <c r="C917" s="66"/>
      <c r="D917" s="66"/>
      <c r="E917" s="16" t="s">
        <v>123</v>
      </c>
      <c r="F917" s="16" t="s">
        <v>1061</v>
      </c>
      <c r="G917" s="16">
        <f t="shared" si="68"/>
        <v>1</v>
      </c>
      <c r="H917" s="66">
        <v>1</v>
      </c>
      <c r="I917" s="98"/>
    </row>
    <row r="918" spans="1:9" ht="15" customHeight="1" x14ac:dyDescent="0.3">
      <c r="A918" s="66">
        <f t="shared" si="67"/>
        <v>7006</v>
      </c>
      <c r="B918" s="9" t="s">
        <v>506</v>
      </c>
      <c r="C918" s="66"/>
      <c r="D918" s="66"/>
      <c r="E918" s="16" t="s">
        <v>123</v>
      </c>
      <c r="F918" s="16" t="s">
        <v>1061</v>
      </c>
      <c r="G918" s="16">
        <f t="shared" si="68"/>
        <v>1</v>
      </c>
      <c r="H918" s="66">
        <v>1</v>
      </c>
      <c r="I918" s="98"/>
    </row>
    <row r="919" spans="1:9" ht="15" customHeight="1" x14ac:dyDescent="0.3">
      <c r="A919" s="66">
        <f t="shared" si="67"/>
        <v>7007</v>
      </c>
      <c r="B919" s="9" t="s">
        <v>507</v>
      </c>
      <c r="C919" s="66"/>
      <c r="D919" s="66"/>
      <c r="E919" s="16" t="s">
        <v>123</v>
      </c>
      <c r="F919" s="16" t="s">
        <v>1061</v>
      </c>
      <c r="G919" s="16">
        <f>IF(OR(E919="U16", E919="S16"),1,IF(E919="TS",6,2))</f>
        <v>1</v>
      </c>
      <c r="H919" s="66">
        <v>1</v>
      </c>
      <c r="I919" s="98"/>
    </row>
    <row r="920" spans="1:9" ht="15" customHeight="1" x14ac:dyDescent="0.3">
      <c r="A920" s="66">
        <f t="shared" si="67"/>
        <v>7008</v>
      </c>
      <c r="B920" s="9" t="s">
        <v>508</v>
      </c>
      <c r="C920" s="66"/>
      <c r="D920" s="66"/>
      <c r="E920" s="16" t="s">
        <v>123</v>
      </c>
      <c r="F920" s="16" t="s">
        <v>1061</v>
      </c>
      <c r="G920" s="16">
        <f>IF(OR(E920="U16", E920="S16"),1,IF(E920="TS",6,2))</f>
        <v>1</v>
      </c>
      <c r="H920" s="66">
        <v>1</v>
      </c>
      <c r="I920" s="98"/>
    </row>
    <row r="921" spans="1:9" ht="15" customHeight="1" x14ac:dyDescent="0.3">
      <c r="A921" s="66">
        <f t="shared" si="67"/>
        <v>7009</v>
      </c>
      <c r="B921" s="9" t="s">
        <v>509</v>
      </c>
      <c r="C921" s="66"/>
      <c r="D921" s="66"/>
      <c r="E921" s="16" t="s">
        <v>123</v>
      </c>
      <c r="F921" s="16" t="s">
        <v>1061</v>
      </c>
      <c r="G921" s="16">
        <f>IF(OR(E921="U16", E921="S16"),1,IF(E921="TS",6,2))</f>
        <v>1</v>
      </c>
      <c r="H921" s="66">
        <v>1</v>
      </c>
      <c r="I921" s="98"/>
    </row>
    <row r="922" spans="1:9" ht="15" customHeight="1" x14ac:dyDescent="0.3">
      <c r="A922" s="66">
        <f t="shared" si="67"/>
        <v>7010</v>
      </c>
      <c r="B922" s="9"/>
      <c r="C922" s="66"/>
      <c r="D922" s="66"/>
      <c r="E922" s="16" t="s">
        <v>123</v>
      </c>
      <c r="F922" s="16" t="s">
        <v>1061</v>
      </c>
      <c r="G922" s="16">
        <f>IF(OR(E922="U16", E922="S16"),1,IF(E922="TS",6,2))</f>
        <v>1</v>
      </c>
      <c r="H922" s="66">
        <v>4</v>
      </c>
      <c r="I922" s="98"/>
    </row>
    <row r="923" spans="1:9" ht="15" customHeight="1" x14ac:dyDescent="0.3">
      <c r="A923" s="122" t="s">
        <v>222</v>
      </c>
      <c r="B923" s="122"/>
      <c r="C923" s="122"/>
      <c r="D923" s="122"/>
      <c r="E923" s="122"/>
      <c r="F923" s="122"/>
      <c r="G923" s="122"/>
      <c r="H923" s="122"/>
      <c r="I923" s="104"/>
    </row>
    <row r="924" spans="1:9" ht="15" customHeight="1" x14ac:dyDescent="0.3">
      <c r="A924" s="66">
        <f>A922+(G922*H922)</f>
        <v>7014</v>
      </c>
      <c r="B924" s="13" t="s">
        <v>221</v>
      </c>
      <c r="C924" s="66"/>
      <c r="D924" s="66"/>
      <c r="E924" s="16" t="s">
        <v>123</v>
      </c>
      <c r="F924" s="16" t="s">
        <v>1061</v>
      </c>
      <c r="G924" s="16">
        <f>IF(OR(E924="U16", E924="S16"),1,IF(E924="TS",6,2))</f>
        <v>1</v>
      </c>
      <c r="H924" s="66">
        <v>1</v>
      </c>
      <c r="I924" s="98"/>
    </row>
    <row r="925" spans="1:9" ht="15" customHeight="1" x14ac:dyDescent="0.3">
      <c r="A925" s="66">
        <f>A924+(G924*H924)</f>
        <v>7015</v>
      </c>
      <c r="B925" s="13" t="s">
        <v>223</v>
      </c>
      <c r="C925" s="66"/>
      <c r="D925" s="66"/>
      <c r="E925" s="16" t="s">
        <v>123</v>
      </c>
      <c r="F925" s="16" t="s">
        <v>1061</v>
      </c>
      <c r="G925" s="16">
        <f>IF(OR(E925="U16", E925="S16"),1,IF(E925="TS",6,2))</f>
        <v>1</v>
      </c>
      <c r="H925" s="66">
        <v>1</v>
      </c>
      <c r="I925" s="98"/>
    </row>
    <row r="926" spans="1:9" ht="15" customHeight="1" x14ac:dyDescent="0.3">
      <c r="A926" s="66">
        <f>A925+(G925*H925)</f>
        <v>7016</v>
      </c>
      <c r="B926" s="13" t="s">
        <v>41</v>
      </c>
      <c r="C926" s="66"/>
      <c r="D926" s="66"/>
      <c r="E926" s="16" t="s">
        <v>123</v>
      </c>
      <c r="F926" s="16"/>
      <c r="G926" s="16">
        <f>IF(OR(E926="U16", E926="S16"),1,IF(E926="TS",6,2))</f>
        <v>1</v>
      </c>
      <c r="H926" s="66">
        <v>8</v>
      </c>
      <c r="I926" s="98"/>
    </row>
    <row r="927" spans="1:9" ht="15" customHeight="1" x14ac:dyDescent="0.3">
      <c r="A927" s="122" t="s">
        <v>236</v>
      </c>
      <c r="B927" s="122"/>
      <c r="C927" s="122"/>
      <c r="D927" s="122"/>
      <c r="E927" s="122"/>
      <c r="F927" s="122"/>
      <c r="G927" s="122"/>
      <c r="H927" s="122"/>
      <c r="I927" s="104"/>
    </row>
    <row r="928" spans="1:9" ht="15" customHeight="1" x14ac:dyDescent="0.3">
      <c r="A928" s="66">
        <f>A926+(G926*H926)</f>
        <v>7024</v>
      </c>
      <c r="B928" s="9" t="s">
        <v>433</v>
      </c>
      <c r="C928" s="66"/>
      <c r="D928" s="66"/>
      <c r="E928" s="16" t="s">
        <v>123</v>
      </c>
      <c r="F928" s="16" t="s">
        <v>1061</v>
      </c>
      <c r="G928" s="16">
        <f t="shared" ref="G928:G938" si="69">IF(OR(E928="U16", E928="S16"),1,IF(E928="TS",6,2))</f>
        <v>1</v>
      </c>
      <c r="H928" s="66">
        <v>1</v>
      </c>
      <c r="I928" s="98"/>
    </row>
    <row r="929" spans="1:9" ht="15" customHeight="1" x14ac:dyDescent="0.3">
      <c r="A929" s="66">
        <f t="shared" ref="A929:A968" si="70">A928+(G928*H928)</f>
        <v>7025</v>
      </c>
      <c r="B929" s="9" t="s">
        <v>197</v>
      </c>
      <c r="C929" s="66"/>
      <c r="D929" s="66"/>
      <c r="E929" s="16" t="s">
        <v>123</v>
      </c>
      <c r="F929" s="16"/>
      <c r="G929" s="16">
        <f t="shared" si="69"/>
        <v>1</v>
      </c>
      <c r="H929" s="66">
        <v>1</v>
      </c>
      <c r="I929" s="98"/>
    </row>
    <row r="930" spans="1:9" ht="15" customHeight="1" x14ac:dyDescent="0.3">
      <c r="A930" s="66">
        <f t="shared" si="70"/>
        <v>7026</v>
      </c>
      <c r="B930" s="9"/>
      <c r="C930" s="66"/>
      <c r="D930" s="66"/>
      <c r="E930" s="16" t="s">
        <v>123</v>
      </c>
      <c r="F930" s="16"/>
      <c r="G930" s="16">
        <f>IF(OR(E930="U16", E930="S16"),1,IF(E930="TS",6,2))</f>
        <v>1</v>
      </c>
      <c r="H930" s="66">
        <v>1</v>
      </c>
      <c r="I930" s="98"/>
    </row>
    <row r="931" spans="1:9" ht="15" customHeight="1" x14ac:dyDescent="0.3">
      <c r="A931" s="66">
        <f t="shared" si="70"/>
        <v>7027</v>
      </c>
      <c r="B931" s="9"/>
      <c r="C931" s="66"/>
      <c r="D931" s="66"/>
      <c r="E931" s="16" t="s">
        <v>123</v>
      </c>
      <c r="F931" s="16"/>
      <c r="G931" s="16">
        <f>IF(OR(E931="U16", E931="S16"),1,IF(E931="TS",6,2))</f>
        <v>1</v>
      </c>
      <c r="H931" s="66">
        <v>1</v>
      </c>
      <c r="I931" s="98"/>
    </row>
    <row r="932" spans="1:9" ht="15" customHeight="1" x14ac:dyDescent="0.3">
      <c r="A932" s="134" t="s">
        <v>351</v>
      </c>
      <c r="B932" s="134"/>
      <c r="C932" s="134"/>
      <c r="D932" s="134"/>
      <c r="E932" s="134"/>
      <c r="F932" s="134"/>
      <c r="G932" s="134"/>
      <c r="H932" s="134"/>
      <c r="I932" s="111"/>
    </row>
    <row r="933" spans="1:9" ht="15" customHeight="1" x14ac:dyDescent="0.3">
      <c r="A933" s="30">
        <f>A931+(G931*H931)</f>
        <v>7028</v>
      </c>
      <c r="B933" s="31" t="s">
        <v>436</v>
      </c>
      <c r="C933" s="133"/>
      <c r="D933" s="30"/>
      <c r="E933" s="30" t="s">
        <v>123</v>
      </c>
      <c r="F933" s="30" t="s">
        <v>1062</v>
      </c>
      <c r="G933" s="30">
        <f t="shared" si="69"/>
        <v>1</v>
      </c>
      <c r="H933" s="30">
        <v>1</v>
      </c>
      <c r="I933" s="112"/>
    </row>
    <row r="934" spans="1:9" ht="15" customHeight="1" x14ac:dyDescent="0.3">
      <c r="A934" s="30">
        <f t="shared" si="70"/>
        <v>7029</v>
      </c>
      <c r="B934" s="31" t="s">
        <v>519</v>
      </c>
      <c r="C934" s="133"/>
      <c r="D934" s="30"/>
      <c r="E934" s="30" t="s">
        <v>123</v>
      </c>
      <c r="F934" s="30" t="s">
        <v>1062</v>
      </c>
      <c r="G934" s="30">
        <f t="shared" si="69"/>
        <v>1</v>
      </c>
      <c r="H934" s="30">
        <v>1</v>
      </c>
      <c r="I934" s="112"/>
    </row>
    <row r="935" spans="1:9" ht="15" customHeight="1" x14ac:dyDescent="0.3">
      <c r="A935" s="30">
        <f t="shared" si="70"/>
        <v>7030</v>
      </c>
      <c r="B935" s="31" t="s">
        <v>520</v>
      </c>
      <c r="C935" s="133"/>
      <c r="D935" s="30"/>
      <c r="E935" s="30" t="s">
        <v>123</v>
      </c>
      <c r="F935" s="30" t="s">
        <v>1061</v>
      </c>
      <c r="G935" s="30">
        <f t="shared" si="69"/>
        <v>1</v>
      </c>
      <c r="H935" s="30">
        <v>1</v>
      </c>
      <c r="I935" s="112"/>
    </row>
    <row r="936" spans="1:9" ht="15" customHeight="1" x14ac:dyDescent="0.3">
      <c r="A936" s="30">
        <f t="shared" si="70"/>
        <v>7031</v>
      </c>
      <c r="B936" s="31" t="s">
        <v>435</v>
      </c>
      <c r="C936" s="133"/>
      <c r="D936" s="30"/>
      <c r="E936" s="30" t="s">
        <v>123</v>
      </c>
      <c r="F936" s="30" t="s">
        <v>1061</v>
      </c>
      <c r="G936" s="30">
        <f t="shared" si="69"/>
        <v>1</v>
      </c>
      <c r="H936" s="30">
        <v>1</v>
      </c>
      <c r="I936" s="112"/>
    </row>
    <row r="937" spans="1:9" ht="15" customHeight="1" x14ac:dyDescent="0.3">
      <c r="A937" s="30">
        <f t="shared" si="70"/>
        <v>7032</v>
      </c>
      <c r="B937" s="31" t="s">
        <v>518</v>
      </c>
      <c r="C937" s="133"/>
      <c r="D937" s="30"/>
      <c r="E937" s="30" t="s">
        <v>517</v>
      </c>
      <c r="F937" s="30" t="s">
        <v>1061</v>
      </c>
      <c r="G937" s="30">
        <f t="shared" si="69"/>
        <v>2</v>
      </c>
      <c r="H937" s="30">
        <v>1</v>
      </c>
      <c r="I937" s="112"/>
    </row>
    <row r="938" spans="1:9" ht="15" customHeight="1" x14ac:dyDescent="0.3">
      <c r="A938" s="66">
        <f t="shared" si="70"/>
        <v>7034</v>
      </c>
      <c r="B938" s="9" t="s">
        <v>350</v>
      </c>
      <c r="C938" s="66"/>
      <c r="D938" s="66"/>
      <c r="E938" s="16" t="s">
        <v>434</v>
      </c>
      <c r="F938" s="16" t="s">
        <v>1061</v>
      </c>
      <c r="G938" s="16">
        <f t="shared" si="69"/>
        <v>1</v>
      </c>
      <c r="H938" s="66">
        <v>6</v>
      </c>
      <c r="I938" s="98"/>
    </row>
    <row r="939" spans="1:9" ht="15" customHeight="1" x14ac:dyDescent="0.3">
      <c r="A939" s="66">
        <f t="shared" si="70"/>
        <v>7040</v>
      </c>
      <c r="B939" s="9" t="s">
        <v>352</v>
      </c>
      <c r="C939" s="66"/>
      <c r="D939" s="66"/>
      <c r="E939" s="16" t="s">
        <v>123</v>
      </c>
      <c r="F939" s="16" t="s">
        <v>1061</v>
      </c>
      <c r="G939" s="16">
        <f t="shared" ref="G939:G944" si="71">IF(OR(E939="U16", E939="S16"),1,IF(E939="TS",6,2))</f>
        <v>1</v>
      </c>
      <c r="H939" s="66">
        <v>6</v>
      </c>
      <c r="I939" s="98"/>
    </row>
    <row r="940" spans="1:9" ht="15" customHeight="1" x14ac:dyDescent="0.3">
      <c r="A940" s="66">
        <f t="shared" si="70"/>
        <v>7046</v>
      </c>
      <c r="B940" s="9" t="s">
        <v>353</v>
      </c>
      <c r="C940" s="66"/>
      <c r="D940" s="66"/>
      <c r="E940" s="16" t="s">
        <v>123</v>
      </c>
      <c r="F940" s="16" t="s">
        <v>1061</v>
      </c>
      <c r="G940" s="16">
        <f t="shared" si="71"/>
        <v>1</v>
      </c>
      <c r="H940" s="66">
        <v>6</v>
      </c>
      <c r="I940" s="98"/>
    </row>
    <row r="941" spans="1:9" ht="15" customHeight="1" x14ac:dyDescent="0.3">
      <c r="A941" s="66">
        <f t="shared" si="70"/>
        <v>7052</v>
      </c>
      <c r="B941" s="9" t="s">
        <v>354</v>
      </c>
      <c r="C941" s="66"/>
      <c r="D941" s="66"/>
      <c r="E941" s="16" t="s">
        <v>123</v>
      </c>
      <c r="F941" s="16" t="s">
        <v>1061</v>
      </c>
      <c r="G941" s="16">
        <f t="shared" si="71"/>
        <v>1</v>
      </c>
      <c r="H941" s="66">
        <v>6</v>
      </c>
      <c r="I941" s="98"/>
    </row>
    <row r="942" spans="1:9" ht="15" customHeight="1" x14ac:dyDescent="0.3">
      <c r="A942" s="66">
        <f t="shared" si="70"/>
        <v>7058</v>
      </c>
      <c r="B942" s="9" t="s">
        <v>355</v>
      </c>
      <c r="C942" s="66"/>
      <c r="D942" s="66"/>
      <c r="E942" s="16" t="s">
        <v>123</v>
      </c>
      <c r="F942" s="16" t="s">
        <v>1061</v>
      </c>
      <c r="G942" s="16">
        <f t="shared" si="71"/>
        <v>1</v>
      </c>
      <c r="H942" s="66">
        <v>6</v>
      </c>
      <c r="I942" s="98"/>
    </row>
    <row r="943" spans="1:9" ht="15" customHeight="1" x14ac:dyDescent="0.3">
      <c r="A943" s="66">
        <f t="shared" si="70"/>
        <v>7064</v>
      </c>
      <c r="B943" s="9" t="s">
        <v>356</v>
      </c>
      <c r="C943" s="66"/>
      <c r="D943" s="66"/>
      <c r="E943" s="16" t="s">
        <v>123</v>
      </c>
      <c r="F943" s="16" t="s">
        <v>1061</v>
      </c>
      <c r="G943" s="16">
        <f t="shared" si="71"/>
        <v>1</v>
      </c>
      <c r="H943" s="66">
        <v>6</v>
      </c>
      <c r="I943" s="98"/>
    </row>
    <row r="944" spans="1:9" ht="15" customHeight="1" x14ac:dyDescent="0.3">
      <c r="A944" s="66">
        <f t="shared" si="70"/>
        <v>7070</v>
      </c>
      <c r="B944" s="9" t="s">
        <v>357</v>
      </c>
      <c r="C944" s="66"/>
      <c r="D944" s="66"/>
      <c r="E944" s="16" t="s">
        <v>123</v>
      </c>
      <c r="F944" s="16" t="s">
        <v>1061</v>
      </c>
      <c r="G944" s="16">
        <f t="shared" si="71"/>
        <v>1</v>
      </c>
      <c r="H944" s="66">
        <v>6</v>
      </c>
      <c r="I944" s="98"/>
    </row>
    <row r="945" spans="1:9" ht="15" customHeight="1" x14ac:dyDescent="0.3">
      <c r="A945" s="66">
        <f t="shared" si="70"/>
        <v>7076</v>
      </c>
      <c r="B945" s="9" t="s">
        <v>358</v>
      </c>
      <c r="C945" s="66"/>
      <c r="D945" s="66"/>
      <c r="E945" s="16" t="s">
        <v>123</v>
      </c>
      <c r="F945" s="16" t="s">
        <v>1061</v>
      </c>
      <c r="G945" s="16">
        <f t="shared" ref="G945:G952" si="72">IF(OR(E945="U16", E945="S16"),1,IF(E945="TS",6,2))</f>
        <v>1</v>
      </c>
      <c r="H945" s="66">
        <v>6</v>
      </c>
      <c r="I945" s="98"/>
    </row>
    <row r="946" spans="1:9" ht="15" customHeight="1" x14ac:dyDescent="0.3">
      <c r="A946" s="66">
        <f t="shared" si="70"/>
        <v>7082</v>
      </c>
      <c r="B946" s="9" t="s">
        <v>359</v>
      </c>
      <c r="C946" s="66"/>
      <c r="D946" s="66"/>
      <c r="E946" s="16" t="s">
        <v>123</v>
      </c>
      <c r="F946" s="16" t="s">
        <v>1061</v>
      </c>
      <c r="G946" s="16">
        <f t="shared" si="72"/>
        <v>1</v>
      </c>
      <c r="H946" s="66">
        <v>6</v>
      </c>
      <c r="I946" s="98"/>
    </row>
    <row r="947" spans="1:9" ht="15" customHeight="1" x14ac:dyDescent="0.3">
      <c r="A947" s="66">
        <f t="shared" si="70"/>
        <v>7088</v>
      </c>
      <c r="B947" s="9" t="s">
        <v>360</v>
      </c>
      <c r="C947" s="66"/>
      <c r="D947" s="66"/>
      <c r="E947" s="16" t="s">
        <v>123</v>
      </c>
      <c r="F947" s="16" t="s">
        <v>1061</v>
      </c>
      <c r="G947" s="16">
        <f t="shared" si="72"/>
        <v>1</v>
      </c>
      <c r="H947" s="66">
        <v>6</v>
      </c>
      <c r="I947" s="98"/>
    </row>
    <row r="948" spans="1:9" ht="15" customHeight="1" x14ac:dyDescent="0.3">
      <c r="A948" s="66">
        <f t="shared" si="70"/>
        <v>7094</v>
      </c>
      <c r="B948" s="9" t="s">
        <v>361</v>
      </c>
      <c r="C948" s="66"/>
      <c r="D948" s="66"/>
      <c r="E948" s="16" t="s">
        <v>123</v>
      </c>
      <c r="F948" s="16" t="s">
        <v>1061</v>
      </c>
      <c r="G948" s="16">
        <f t="shared" si="72"/>
        <v>1</v>
      </c>
      <c r="H948" s="66">
        <v>6</v>
      </c>
      <c r="I948" s="98"/>
    </row>
    <row r="949" spans="1:9" ht="15" customHeight="1" x14ac:dyDescent="0.3">
      <c r="A949" s="66">
        <f t="shared" si="70"/>
        <v>7100</v>
      </c>
      <c r="B949" s="9" t="s">
        <v>362</v>
      </c>
      <c r="C949" s="66"/>
      <c r="D949" s="66"/>
      <c r="E949" s="16" t="s">
        <v>123</v>
      </c>
      <c r="F949" s="16" t="s">
        <v>1061</v>
      </c>
      <c r="G949" s="16">
        <f t="shared" si="72"/>
        <v>1</v>
      </c>
      <c r="H949" s="66">
        <v>6</v>
      </c>
      <c r="I949" s="98"/>
    </row>
    <row r="950" spans="1:9" ht="15" customHeight="1" x14ac:dyDescent="0.3">
      <c r="A950" s="66">
        <f t="shared" si="70"/>
        <v>7106</v>
      </c>
      <c r="B950" s="9" t="s">
        <v>363</v>
      </c>
      <c r="C950" s="66"/>
      <c r="D950" s="66"/>
      <c r="E950" s="16" t="s">
        <v>123</v>
      </c>
      <c r="F950" s="16" t="s">
        <v>1061</v>
      </c>
      <c r="G950" s="16">
        <f t="shared" si="72"/>
        <v>1</v>
      </c>
      <c r="H950" s="66">
        <v>6</v>
      </c>
      <c r="I950" s="98"/>
    </row>
    <row r="951" spans="1:9" ht="15" customHeight="1" x14ac:dyDescent="0.3">
      <c r="A951" s="66">
        <f t="shared" si="70"/>
        <v>7112</v>
      </c>
      <c r="B951" s="9" t="s">
        <v>364</v>
      </c>
      <c r="C951" s="66"/>
      <c r="D951" s="66"/>
      <c r="E951" s="16" t="s">
        <v>123</v>
      </c>
      <c r="F951" s="16" t="s">
        <v>1061</v>
      </c>
      <c r="G951" s="16">
        <f t="shared" si="72"/>
        <v>1</v>
      </c>
      <c r="H951" s="66">
        <v>6</v>
      </c>
      <c r="I951" s="98"/>
    </row>
    <row r="952" spans="1:9" ht="15" customHeight="1" x14ac:dyDescent="0.3">
      <c r="A952" s="66">
        <f t="shared" si="70"/>
        <v>7118</v>
      </c>
      <c r="B952" s="9" t="s">
        <v>365</v>
      </c>
      <c r="C952" s="66"/>
      <c r="D952" s="66"/>
      <c r="E952" s="16" t="s">
        <v>123</v>
      </c>
      <c r="F952" s="16" t="s">
        <v>1061</v>
      </c>
      <c r="G952" s="16">
        <f t="shared" si="72"/>
        <v>1</v>
      </c>
      <c r="H952" s="66">
        <v>6</v>
      </c>
      <c r="I952" s="98"/>
    </row>
    <row r="953" spans="1:9" ht="15" customHeight="1" x14ac:dyDescent="0.3">
      <c r="A953" s="66">
        <f t="shared" si="70"/>
        <v>7124</v>
      </c>
      <c r="B953" s="9" t="s">
        <v>366</v>
      </c>
      <c r="C953" s="66"/>
      <c r="D953" s="66"/>
      <c r="E953" s="16" t="s">
        <v>123</v>
      </c>
      <c r="F953" s="16" t="s">
        <v>1061</v>
      </c>
      <c r="G953" s="16">
        <f t="shared" ref="G953:G968" si="73">IF(OR(E953="U16", E953="S16"),1,IF(E953="TS",6,2))</f>
        <v>1</v>
      </c>
      <c r="H953" s="66">
        <v>6</v>
      </c>
      <c r="I953" s="98"/>
    </row>
    <row r="954" spans="1:9" ht="15" customHeight="1" x14ac:dyDescent="0.3">
      <c r="A954" s="66">
        <f t="shared" si="70"/>
        <v>7130</v>
      </c>
      <c r="B954" s="9" t="s">
        <v>367</v>
      </c>
      <c r="C954" s="66"/>
      <c r="D954" s="66"/>
      <c r="E954" s="16" t="s">
        <v>123</v>
      </c>
      <c r="F954" s="16" t="s">
        <v>1061</v>
      </c>
      <c r="G954" s="16">
        <f t="shared" si="73"/>
        <v>1</v>
      </c>
      <c r="H954" s="66">
        <v>6</v>
      </c>
      <c r="I954" s="98"/>
    </row>
    <row r="955" spans="1:9" ht="15" customHeight="1" x14ac:dyDescent="0.3">
      <c r="A955" s="66">
        <f t="shared" si="70"/>
        <v>7136</v>
      </c>
      <c r="B955" s="9" t="s">
        <v>368</v>
      </c>
      <c r="C955" s="66"/>
      <c r="D955" s="66"/>
      <c r="E955" s="16" t="s">
        <v>123</v>
      </c>
      <c r="F955" s="16" t="s">
        <v>1061</v>
      </c>
      <c r="G955" s="16">
        <f t="shared" si="73"/>
        <v>1</v>
      </c>
      <c r="H955" s="66">
        <v>6</v>
      </c>
      <c r="I955" s="98"/>
    </row>
    <row r="956" spans="1:9" ht="15" customHeight="1" x14ac:dyDescent="0.3">
      <c r="A956" s="66">
        <f t="shared" si="70"/>
        <v>7142</v>
      </c>
      <c r="B956" s="9" t="s">
        <v>369</v>
      </c>
      <c r="C956" s="66"/>
      <c r="D956" s="66"/>
      <c r="E956" s="16" t="s">
        <v>123</v>
      </c>
      <c r="F956" s="16" t="s">
        <v>1061</v>
      </c>
      <c r="G956" s="16">
        <f t="shared" si="73"/>
        <v>1</v>
      </c>
      <c r="H956" s="66">
        <v>6</v>
      </c>
      <c r="I956" s="98"/>
    </row>
    <row r="957" spans="1:9" ht="15" customHeight="1" x14ac:dyDescent="0.3">
      <c r="A957" s="66">
        <f t="shared" si="70"/>
        <v>7148</v>
      </c>
      <c r="B957" s="9" t="s">
        <v>370</v>
      </c>
      <c r="C957" s="66"/>
      <c r="D957" s="66"/>
      <c r="E957" s="16" t="s">
        <v>123</v>
      </c>
      <c r="F957" s="16" t="s">
        <v>1061</v>
      </c>
      <c r="G957" s="16">
        <f t="shared" si="73"/>
        <v>1</v>
      </c>
      <c r="H957" s="66">
        <v>6</v>
      </c>
      <c r="I957" s="98"/>
    </row>
    <row r="958" spans="1:9" ht="15" customHeight="1" x14ac:dyDescent="0.3">
      <c r="A958" s="66">
        <f t="shared" si="70"/>
        <v>7154</v>
      </c>
      <c r="B958" s="9" t="s">
        <v>371</v>
      </c>
      <c r="C958" s="66"/>
      <c r="D958" s="66"/>
      <c r="E958" s="16" t="s">
        <v>123</v>
      </c>
      <c r="F958" s="16" t="s">
        <v>1061</v>
      </c>
      <c r="G958" s="16">
        <f t="shared" si="73"/>
        <v>1</v>
      </c>
      <c r="H958" s="66">
        <v>6</v>
      </c>
      <c r="I958" s="98"/>
    </row>
    <row r="959" spans="1:9" ht="15" customHeight="1" x14ac:dyDescent="0.3">
      <c r="A959" s="66">
        <f t="shared" si="70"/>
        <v>7160</v>
      </c>
      <c r="B959" s="9" t="s">
        <v>372</v>
      </c>
      <c r="C959" s="66"/>
      <c r="D959" s="66"/>
      <c r="E959" s="16" t="s">
        <v>123</v>
      </c>
      <c r="F959" s="16" t="s">
        <v>1061</v>
      </c>
      <c r="G959" s="16">
        <f t="shared" si="73"/>
        <v>1</v>
      </c>
      <c r="H959" s="66">
        <v>6</v>
      </c>
      <c r="I959" s="98"/>
    </row>
    <row r="960" spans="1:9" ht="15" customHeight="1" x14ac:dyDescent="0.3">
      <c r="A960" s="66">
        <f t="shared" si="70"/>
        <v>7166</v>
      </c>
      <c r="B960" s="9" t="s">
        <v>373</v>
      </c>
      <c r="C960" s="66"/>
      <c r="D960" s="66"/>
      <c r="E960" s="16" t="s">
        <v>123</v>
      </c>
      <c r="F960" s="16" t="s">
        <v>1061</v>
      </c>
      <c r="G960" s="16">
        <f t="shared" si="73"/>
        <v>1</v>
      </c>
      <c r="H960" s="66">
        <v>6</v>
      </c>
      <c r="I960" s="98"/>
    </row>
    <row r="961" spans="1:9" ht="15" customHeight="1" x14ac:dyDescent="0.3">
      <c r="A961" s="66">
        <f t="shared" si="70"/>
        <v>7172</v>
      </c>
      <c r="B961" s="9" t="s">
        <v>374</v>
      </c>
      <c r="C961" s="66"/>
      <c r="D961" s="66"/>
      <c r="E961" s="16" t="s">
        <v>123</v>
      </c>
      <c r="F961" s="16" t="s">
        <v>1061</v>
      </c>
      <c r="G961" s="16">
        <f t="shared" si="73"/>
        <v>1</v>
      </c>
      <c r="H961" s="66">
        <v>6</v>
      </c>
      <c r="I961" s="98"/>
    </row>
    <row r="962" spans="1:9" ht="15" customHeight="1" x14ac:dyDescent="0.3">
      <c r="A962" s="66">
        <f t="shared" si="70"/>
        <v>7178</v>
      </c>
      <c r="B962" s="9" t="s">
        <v>375</v>
      </c>
      <c r="C962" s="66"/>
      <c r="D962" s="66"/>
      <c r="E962" s="16" t="s">
        <v>123</v>
      </c>
      <c r="F962" s="16" t="s">
        <v>1061</v>
      </c>
      <c r="G962" s="16">
        <f t="shared" si="73"/>
        <v>1</v>
      </c>
      <c r="H962" s="66">
        <v>6</v>
      </c>
      <c r="I962" s="98"/>
    </row>
    <row r="963" spans="1:9" ht="15" customHeight="1" x14ac:dyDescent="0.3">
      <c r="A963" s="66">
        <f t="shared" si="70"/>
        <v>7184</v>
      </c>
      <c r="B963" s="9" t="s">
        <v>376</v>
      </c>
      <c r="C963" s="66"/>
      <c r="D963" s="66"/>
      <c r="E963" s="16" t="s">
        <v>123</v>
      </c>
      <c r="F963" s="16" t="s">
        <v>1061</v>
      </c>
      <c r="G963" s="16">
        <f t="shared" si="73"/>
        <v>1</v>
      </c>
      <c r="H963" s="66">
        <v>6</v>
      </c>
      <c r="I963" s="98"/>
    </row>
    <row r="964" spans="1:9" ht="15" customHeight="1" x14ac:dyDescent="0.3">
      <c r="A964" s="66">
        <f t="shared" si="70"/>
        <v>7190</v>
      </c>
      <c r="B964" s="9" t="s">
        <v>377</v>
      </c>
      <c r="C964" s="66"/>
      <c r="D964" s="66"/>
      <c r="E964" s="16" t="s">
        <v>123</v>
      </c>
      <c r="F964" s="16" t="s">
        <v>1061</v>
      </c>
      <c r="G964" s="16">
        <f t="shared" si="73"/>
        <v>1</v>
      </c>
      <c r="H964" s="66">
        <v>6</v>
      </c>
      <c r="I964" s="98"/>
    </row>
    <row r="965" spans="1:9" ht="15" customHeight="1" x14ac:dyDescent="0.3">
      <c r="A965" s="66">
        <f t="shared" si="70"/>
        <v>7196</v>
      </c>
      <c r="B965" s="9" t="s">
        <v>378</v>
      </c>
      <c r="C965" s="66"/>
      <c r="D965" s="66"/>
      <c r="E965" s="16" t="s">
        <v>123</v>
      </c>
      <c r="F965" s="16" t="s">
        <v>1061</v>
      </c>
      <c r="G965" s="16">
        <f t="shared" si="73"/>
        <v>1</v>
      </c>
      <c r="H965" s="66">
        <v>6</v>
      </c>
      <c r="I965" s="98"/>
    </row>
    <row r="966" spans="1:9" ht="15" customHeight="1" x14ac:dyDescent="0.3">
      <c r="A966" s="66">
        <f t="shared" si="70"/>
        <v>7202</v>
      </c>
      <c r="B966" s="9" t="s">
        <v>379</v>
      </c>
      <c r="C966" s="66"/>
      <c r="D966" s="66"/>
      <c r="E966" s="16" t="s">
        <v>123</v>
      </c>
      <c r="F966" s="16" t="s">
        <v>1061</v>
      </c>
      <c r="G966" s="16">
        <f t="shared" si="73"/>
        <v>1</v>
      </c>
      <c r="H966" s="66">
        <v>6</v>
      </c>
      <c r="I966" s="98"/>
    </row>
    <row r="967" spans="1:9" ht="15" customHeight="1" x14ac:dyDescent="0.3">
      <c r="A967" s="66">
        <f t="shared" si="70"/>
        <v>7208</v>
      </c>
      <c r="B967" s="9" t="s">
        <v>380</v>
      </c>
      <c r="C967" s="66"/>
      <c r="D967" s="66"/>
      <c r="E967" s="16" t="s">
        <v>123</v>
      </c>
      <c r="F967" s="16" t="s">
        <v>1061</v>
      </c>
      <c r="G967" s="16">
        <f t="shared" si="73"/>
        <v>1</v>
      </c>
      <c r="H967" s="66">
        <v>6</v>
      </c>
      <c r="I967" s="98"/>
    </row>
    <row r="968" spans="1:9" ht="15" customHeight="1" x14ac:dyDescent="0.3">
      <c r="A968" s="66">
        <f t="shared" si="70"/>
        <v>7214</v>
      </c>
      <c r="B968" s="9" t="s">
        <v>381</v>
      </c>
      <c r="C968" s="66"/>
      <c r="D968" s="66"/>
      <c r="E968" s="16" t="s">
        <v>123</v>
      </c>
      <c r="F968" s="16" t="s">
        <v>1061</v>
      </c>
      <c r="G968" s="16">
        <f t="shared" si="73"/>
        <v>1</v>
      </c>
      <c r="H968" s="66">
        <v>6</v>
      </c>
      <c r="I968" s="98"/>
    </row>
    <row r="969" spans="1:9" ht="13.5" customHeight="1" x14ac:dyDescent="0.3">
      <c r="B969" s="8"/>
      <c r="E969" s="8"/>
      <c r="F969" s="8"/>
      <c r="G969" s="8"/>
    </row>
    <row r="970" spans="1:9" ht="13.5" customHeight="1" x14ac:dyDescent="0.3">
      <c r="B970" s="8"/>
      <c r="E970" s="8"/>
      <c r="F970" s="8"/>
      <c r="G970" s="8"/>
    </row>
  </sheetData>
  <mergeCells count="104">
    <mergeCell ref="B339:B342"/>
    <mergeCell ref="B660:B663"/>
    <mergeCell ref="D84:D87"/>
    <mergeCell ref="B392:B396"/>
    <mergeCell ref="B436:B440"/>
    <mergeCell ref="C152:C153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C154:C155"/>
    <mergeCell ref="C156:C157"/>
    <mergeCell ref="A187:H187"/>
    <mergeCell ref="A652:H652"/>
    <mergeCell ref="C309:C312"/>
    <mergeCell ref="C260:C263"/>
    <mergeCell ref="C287:C289"/>
    <mergeCell ref="C290:C292"/>
    <mergeCell ref="C293:C296"/>
    <mergeCell ref="A388:H388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431:H431"/>
    <mergeCell ref="A543:H543"/>
    <mergeCell ref="A593:H593"/>
    <mergeCell ref="A519:H519"/>
    <mergeCell ref="A473:H473"/>
    <mergeCell ref="A530:H530"/>
    <mergeCell ref="C281:C283"/>
    <mergeCell ref="C284:C286"/>
    <mergeCell ref="J84:J87"/>
    <mergeCell ref="J88:J90"/>
    <mergeCell ref="J530:J541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C84:C87"/>
    <mergeCell ref="A923:H923"/>
    <mergeCell ref="A927:H927"/>
    <mergeCell ref="A823:H823"/>
    <mergeCell ref="A802:H802"/>
    <mergeCell ref="A833:H833"/>
    <mergeCell ref="C933:C937"/>
    <mergeCell ref="A932:H932"/>
    <mergeCell ref="A839:H839"/>
    <mergeCell ref="A834:H834"/>
    <mergeCell ref="A845:H845"/>
    <mergeCell ref="A801:H801"/>
    <mergeCell ref="A656:H656"/>
    <mergeCell ref="A478:H478"/>
    <mergeCell ref="A709:H709"/>
    <mergeCell ref="B714:B722"/>
    <mergeCell ref="A755:H755"/>
    <mergeCell ref="B760:B768"/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C64:C67"/>
    <mergeCell ref="C72:C75"/>
    <mergeCell ref="C80:C83"/>
    <mergeCell ref="C88:C91"/>
    <mergeCell ref="C92:C94"/>
    <mergeCell ref="C95:C97"/>
    <mergeCell ref="C150:C151"/>
    <mergeCell ref="D120:D1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6"/>
  <sheetViews>
    <sheetView topLeftCell="A326" zoomScaleNormal="100" workbookViewId="0">
      <selection activeCell="C339" sqref="C339:H342"/>
    </sheetView>
  </sheetViews>
  <sheetFormatPr defaultColWidth="9" defaultRowHeight="13.5" customHeight="1" x14ac:dyDescent="0.3"/>
  <cols>
    <col min="1" max="1" width="7.375" style="8" customWidth="1"/>
    <col min="2" max="2" width="40.875" style="96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16384" width="9" style="8"/>
  </cols>
  <sheetData>
    <row r="1" spans="1:8" ht="27.75" customHeight="1" x14ac:dyDescent="0.3">
      <c r="A1" s="44" t="s">
        <v>646</v>
      </c>
      <c r="B1" s="44" t="s">
        <v>644</v>
      </c>
      <c r="C1" s="44" t="s">
        <v>645</v>
      </c>
      <c r="D1" s="44" t="s">
        <v>650</v>
      </c>
      <c r="E1" s="44" t="s">
        <v>647</v>
      </c>
      <c r="F1" s="44" t="s">
        <v>1058</v>
      </c>
      <c r="G1" s="44" t="s">
        <v>648</v>
      </c>
      <c r="H1" s="44" t="s">
        <v>649</v>
      </c>
    </row>
    <row r="2" spans="1:8" ht="15.95" customHeight="1" x14ac:dyDescent="0.3">
      <c r="A2" s="122" t="s">
        <v>139</v>
      </c>
      <c r="B2" s="122"/>
      <c r="C2" s="122"/>
      <c r="D2" s="122"/>
      <c r="E2" s="122"/>
      <c r="F2" s="122"/>
      <c r="G2" s="122"/>
      <c r="H2" s="122"/>
    </row>
    <row r="3" spans="1:8" ht="15.95" customHeight="1" x14ac:dyDescent="0.3">
      <c r="A3" s="91">
        <v>10000</v>
      </c>
      <c r="B3" s="9" t="s">
        <v>90</v>
      </c>
      <c r="C3" s="91"/>
      <c r="D3" s="91"/>
      <c r="E3" s="16" t="s">
        <v>91</v>
      </c>
      <c r="F3" s="16">
        <v>3</v>
      </c>
      <c r="G3" s="16">
        <f>IF(OR(E3="U16",E3="S16"),1,IF(E3="TS",6,IF(E3="U64",4,2)))</f>
        <v>2</v>
      </c>
      <c r="H3" s="91">
        <v>1</v>
      </c>
    </row>
    <row r="4" spans="1:8" ht="15.95" customHeight="1" x14ac:dyDescent="0.3">
      <c r="A4" s="94">
        <f>A3+(G3*H3)</f>
        <v>10002</v>
      </c>
      <c r="B4" s="59" t="s">
        <v>647</v>
      </c>
      <c r="C4" s="91"/>
      <c r="D4" s="91"/>
      <c r="E4" s="16" t="s">
        <v>123</v>
      </c>
      <c r="F4" s="16">
        <v>3</v>
      </c>
      <c r="G4" s="16">
        <v>1</v>
      </c>
      <c r="H4" s="91">
        <v>1</v>
      </c>
    </row>
    <row r="5" spans="1:8" ht="15.95" customHeight="1" x14ac:dyDescent="0.3">
      <c r="A5" s="94">
        <f t="shared" ref="A5:A68" si="0">A4+(G4*H4)</f>
        <v>10003</v>
      </c>
      <c r="B5" s="59" t="s">
        <v>979</v>
      </c>
      <c r="C5" s="91" t="s">
        <v>980</v>
      </c>
      <c r="D5" s="91"/>
      <c r="E5" s="16" t="s">
        <v>123</v>
      </c>
      <c r="F5" s="16">
        <v>3</v>
      </c>
      <c r="G5" s="16">
        <v>1</v>
      </c>
      <c r="H5" s="91">
        <v>1</v>
      </c>
    </row>
    <row r="6" spans="1:8" ht="15.95" customHeight="1" x14ac:dyDescent="0.3">
      <c r="A6" s="94">
        <f t="shared" si="0"/>
        <v>10004</v>
      </c>
      <c r="B6" s="59" t="s">
        <v>30</v>
      </c>
      <c r="C6" s="91" t="s">
        <v>608</v>
      </c>
      <c r="D6" s="91" t="s">
        <v>651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91">
        <v>1</v>
      </c>
    </row>
    <row r="7" spans="1:8" ht="15.95" customHeight="1" x14ac:dyDescent="0.3">
      <c r="A7" s="94">
        <f t="shared" si="0"/>
        <v>10006</v>
      </c>
      <c r="B7" s="59" t="s">
        <v>147</v>
      </c>
      <c r="C7" s="91"/>
      <c r="D7" s="45" t="s">
        <v>652</v>
      </c>
      <c r="E7" s="16" t="s">
        <v>58</v>
      </c>
      <c r="F7" s="16">
        <v>3</v>
      </c>
      <c r="G7" s="16">
        <f t="shared" si="1"/>
        <v>2</v>
      </c>
      <c r="H7" s="91">
        <v>1</v>
      </c>
    </row>
    <row r="8" spans="1:8" ht="15.95" customHeight="1" x14ac:dyDescent="0.3">
      <c r="A8" s="94">
        <f t="shared" si="0"/>
        <v>10008</v>
      </c>
      <c r="B8" s="59" t="s">
        <v>154</v>
      </c>
      <c r="C8" s="61" t="s">
        <v>630</v>
      </c>
      <c r="D8" s="129" t="s">
        <v>142</v>
      </c>
      <c r="E8" s="94" t="s">
        <v>58</v>
      </c>
      <c r="F8" s="16">
        <v>3</v>
      </c>
      <c r="G8" s="16">
        <f t="shared" si="1"/>
        <v>2</v>
      </c>
      <c r="H8" s="91">
        <v>1</v>
      </c>
    </row>
    <row r="9" spans="1:8" ht="15.95" customHeight="1" x14ac:dyDescent="0.3">
      <c r="A9" s="94">
        <f t="shared" si="0"/>
        <v>10010</v>
      </c>
      <c r="B9" s="59" t="s">
        <v>155</v>
      </c>
      <c r="C9" s="61" t="s">
        <v>631</v>
      </c>
      <c r="D9" s="129"/>
      <c r="E9" s="94" t="s">
        <v>58</v>
      </c>
      <c r="F9" s="16">
        <v>3</v>
      </c>
      <c r="G9" s="16">
        <f t="shared" si="1"/>
        <v>2</v>
      </c>
      <c r="H9" s="91">
        <v>1</v>
      </c>
    </row>
    <row r="10" spans="1:8" ht="15.95" customHeight="1" x14ac:dyDescent="0.3">
      <c r="A10" s="94">
        <f t="shared" si="0"/>
        <v>10012</v>
      </c>
      <c r="B10" s="59" t="s">
        <v>156</v>
      </c>
      <c r="C10" s="61" t="s">
        <v>632</v>
      </c>
      <c r="D10" s="129"/>
      <c r="E10" s="94" t="s">
        <v>58</v>
      </c>
      <c r="F10" s="16">
        <v>3</v>
      </c>
      <c r="G10" s="16">
        <f t="shared" si="1"/>
        <v>2</v>
      </c>
      <c r="H10" s="91">
        <v>1</v>
      </c>
    </row>
    <row r="11" spans="1:8" ht="15.95" customHeight="1" x14ac:dyDescent="0.3">
      <c r="A11" s="94">
        <f t="shared" si="0"/>
        <v>10014</v>
      </c>
      <c r="B11" s="59" t="s">
        <v>157</v>
      </c>
      <c r="C11" s="61" t="s">
        <v>633</v>
      </c>
      <c r="D11" s="129"/>
      <c r="E11" s="94" t="s">
        <v>58</v>
      </c>
      <c r="F11" s="16">
        <v>3</v>
      </c>
      <c r="G11" s="16">
        <f t="shared" si="1"/>
        <v>2</v>
      </c>
      <c r="H11" s="91">
        <v>1</v>
      </c>
    </row>
    <row r="12" spans="1:8" ht="15.95" customHeight="1" x14ac:dyDescent="0.3">
      <c r="A12" s="94">
        <f t="shared" si="0"/>
        <v>10016</v>
      </c>
      <c r="B12" s="59" t="s">
        <v>158</v>
      </c>
      <c r="C12" s="59" t="s">
        <v>609</v>
      </c>
      <c r="D12" s="129"/>
      <c r="E12" s="94" t="s">
        <v>58</v>
      </c>
      <c r="F12" s="16">
        <v>3</v>
      </c>
      <c r="G12" s="16">
        <f t="shared" si="1"/>
        <v>2</v>
      </c>
      <c r="H12" s="91">
        <v>1</v>
      </c>
    </row>
    <row r="13" spans="1:8" ht="15.95" customHeight="1" x14ac:dyDescent="0.3">
      <c r="A13" s="94">
        <f t="shared" si="0"/>
        <v>10018</v>
      </c>
      <c r="B13" s="59" t="s">
        <v>159</v>
      </c>
      <c r="C13" s="59" t="s">
        <v>610</v>
      </c>
      <c r="D13" s="129"/>
      <c r="E13" s="94" t="s">
        <v>58</v>
      </c>
      <c r="F13" s="16">
        <v>3</v>
      </c>
      <c r="G13" s="16">
        <f t="shared" si="1"/>
        <v>2</v>
      </c>
      <c r="H13" s="91">
        <v>1</v>
      </c>
    </row>
    <row r="14" spans="1:8" ht="15.95" customHeight="1" x14ac:dyDescent="0.3">
      <c r="A14" s="94">
        <f t="shared" si="0"/>
        <v>10020</v>
      </c>
      <c r="B14" s="59" t="s">
        <v>160</v>
      </c>
      <c r="C14" s="59" t="s">
        <v>611</v>
      </c>
      <c r="D14" s="129"/>
      <c r="E14" s="94" t="s">
        <v>58</v>
      </c>
      <c r="F14" s="16">
        <v>3</v>
      </c>
      <c r="G14" s="16">
        <f t="shared" si="1"/>
        <v>2</v>
      </c>
      <c r="H14" s="91">
        <v>1</v>
      </c>
    </row>
    <row r="15" spans="1:8" ht="15.95" customHeight="1" x14ac:dyDescent="0.3">
      <c r="A15" s="94">
        <f t="shared" si="0"/>
        <v>10022</v>
      </c>
      <c r="B15" s="59" t="s">
        <v>161</v>
      </c>
      <c r="C15" s="59" t="s">
        <v>634</v>
      </c>
      <c r="D15" s="129"/>
      <c r="E15" s="94" t="s">
        <v>58</v>
      </c>
      <c r="F15" s="16">
        <v>3</v>
      </c>
      <c r="G15" s="16">
        <f t="shared" si="1"/>
        <v>2</v>
      </c>
      <c r="H15" s="91">
        <v>1</v>
      </c>
    </row>
    <row r="16" spans="1:8" ht="15.95" customHeight="1" x14ac:dyDescent="0.3">
      <c r="A16" s="91">
        <f t="shared" si="0"/>
        <v>10024</v>
      </c>
      <c r="B16" s="9" t="s">
        <v>190</v>
      </c>
      <c r="C16" s="35"/>
      <c r="D16" s="123" t="s">
        <v>146</v>
      </c>
      <c r="E16" s="16" t="s">
        <v>58</v>
      </c>
      <c r="F16" s="16">
        <v>3</v>
      </c>
      <c r="G16" s="16">
        <f t="shared" si="1"/>
        <v>2</v>
      </c>
      <c r="H16" s="91">
        <v>1</v>
      </c>
    </row>
    <row r="17" spans="1:8" ht="15.95" customHeight="1" x14ac:dyDescent="0.3">
      <c r="A17" s="91">
        <f t="shared" si="0"/>
        <v>10026</v>
      </c>
      <c r="B17" s="9" t="s">
        <v>191</v>
      </c>
      <c r="C17" s="91"/>
      <c r="D17" s="123"/>
      <c r="E17" s="16" t="s">
        <v>58</v>
      </c>
      <c r="F17" s="16">
        <v>3</v>
      </c>
      <c r="G17" s="16">
        <f t="shared" si="1"/>
        <v>2</v>
      </c>
      <c r="H17" s="91">
        <v>1</v>
      </c>
    </row>
    <row r="18" spans="1:8" ht="15.95" customHeight="1" x14ac:dyDescent="0.3">
      <c r="A18" s="91">
        <f t="shared" si="0"/>
        <v>10028</v>
      </c>
      <c r="B18" s="9" t="s">
        <v>169</v>
      </c>
      <c r="C18" s="123"/>
      <c r="D18" s="35"/>
      <c r="E18" s="16" t="s">
        <v>58</v>
      </c>
      <c r="F18" s="16">
        <v>3</v>
      </c>
      <c r="G18" s="16">
        <f t="shared" si="1"/>
        <v>2</v>
      </c>
      <c r="H18" s="91">
        <v>1</v>
      </c>
    </row>
    <row r="19" spans="1:8" ht="15.95" customHeight="1" x14ac:dyDescent="0.3">
      <c r="A19" s="91">
        <f t="shared" si="0"/>
        <v>10030</v>
      </c>
      <c r="B19" s="9" t="s">
        <v>170</v>
      </c>
      <c r="C19" s="123"/>
      <c r="D19" s="35"/>
      <c r="E19" s="16" t="s">
        <v>58</v>
      </c>
      <c r="F19" s="16">
        <v>3</v>
      </c>
      <c r="G19" s="16">
        <f t="shared" si="1"/>
        <v>2</v>
      </c>
      <c r="H19" s="91">
        <v>1</v>
      </c>
    </row>
    <row r="20" spans="1:8" ht="15.95" customHeight="1" x14ac:dyDescent="0.3">
      <c r="A20" s="91">
        <f t="shared" si="0"/>
        <v>10032</v>
      </c>
      <c r="B20" s="9" t="s">
        <v>171</v>
      </c>
      <c r="C20" s="123"/>
      <c r="D20" s="35"/>
      <c r="E20" s="16" t="s">
        <v>58</v>
      </c>
      <c r="F20" s="16">
        <v>3</v>
      </c>
      <c r="G20" s="16">
        <f t="shared" si="1"/>
        <v>2</v>
      </c>
      <c r="H20" s="91">
        <v>1</v>
      </c>
    </row>
    <row r="21" spans="1:8" ht="15.95" customHeight="1" x14ac:dyDescent="0.3">
      <c r="A21" s="91">
        <f t="shared" si="0"/>
        <v>10034</v>
      </c>
      <c r="B21" s="9" t="s">
        <v>172</v>
      </c>
      <c r="C21" s="123"/>
      <c r="D21" s="35"/>
      <c r="E21" s="16" t="s">
        <v>58</v>
      </c>
      <c r="F21" s="16">
        <v>3</v>
      </c>
      <c r="G21" s="16">
        <f t="shared" si="1"/>
        <v>2</v>
      </c>
      <c r="H21" s="91">
        <v>1</v>
      </c>
    </row>
    <row r="22" spans="1:8" ht="15.95" customHeight="1" x14ac:dyDescent="0.3">
      <c r="A22" s="91">
        <f t="shared" si="0"/>
        <v>10036</v>
      </c>
      <c r="B22" s="9" t="s">
        <v>173</v>
      </c>
      <c r="C22" s="123"/>
      <c r="D22" s="35"/>
      <c r="E22" s="16" t="s">
        <v>58</v>
      </c>
      <c r="F22" s="16">
        <v>3</v>
      </c>
      <c r="G22" s="16">
        <f t="shared" si="1"/>
        <v>2</v>
      </c>
      <c r="H22" s="91">
        <v>1</v>
      </c>
    </row>
    <row r="23" spans="1:8" ht="15.95" customHeight="1" x14ac:dyDescent="0.3">
      <c r="A23" s="91">
        <f t="shared" si="0"/>
        <v>10038</v>
      </c>
      <c r="B23" s="9" t="s">
        <v>177</v>
      </c>
      <c r="C23" s="123"/>
      <c r="D23" s="35"/>
      <c r="E23" s="16" t="s">
        <v>58</v>
      </c>
      <c r="F23" s="16">
        <v>3</v>
      </c>
      <c r="G23" s="16">
        <f t="shared" si="1"/>
        <v>2</v>
      </c>
      <c r="H23" s="91">
        <v>1</v>
      </c>
    </row>
    <row r="24" spans="1:8" ht="15.95" customHeight="1" x14ac:dyDescent="0.3">
      <c r="A24" s="91">
        <f t="shared" si="0"/>
        <v>10040</v>
      </c>
      <c r="B24" s="9" t="s">
        <v>174</v>
      </c>
      <c r="C24" s="123"/>
      <c r="D24" s="35"/>
      <c r="E24" s="16" t="s">
        <v>58</v>
      </c>
      <c r="F24" s="16">
        <v>3</v>
      </c>
      <c r="G24" s="16">
        <f t="shared" si="1"/>
        <v>2</v>
      </c>
      <c r="H24" s="91">
        <v>1</v>
      </c>
    </row>
    <row r="25" spans="1:8" ht="15.95" customHeight="1" x14ac:dyDescent="0.3">
      <c r="A25" s="91">
        <f t="shared" si="0"/>
        <v>10042</v>
      </c>
      <c r="B25" s="9" t="s">
        <v>175</v>
      </c>
      <c r="C25" s="123"/>
      <c r="D25" s="35"/>
      <c r="E25" s="16" t="s">
        <v>58</v>
      </c>
      <c r="F25" s="16">
        <v>3</v>
      </c>
      <c r="G25" s="16">
        <f t="shared" si="1"/>
        <v>2</v>
      </c>
      <c r="H25" s="91">
        <v>1</v>
      </c>
    </row>
    <row r="26" spans="1:8" ht="15.95" customHeight="1" x14ac:dyDescent="0.3">
      <c r="A26" s="91">
        <f t="shared" si="0"/>
        <v>10044</v>
      </c>
      <c r="B26" s="9" t="s">
        <v>176</v>
      </c>
      <c r="C26" s="123"/>
      <c r="D26" s="35"/>
      <c r="E26" s="16" t="s">
        <v>58</v>
      </c>
      <c r="F26" s="16">
        <v>3</v>
      </c>
      <c r="G26" s="16">
        <f t="shared" si="1"/>
        <v>2</v>
      </c>
      <c r="H26" s="91">
        <v>1</v>
      </c>
    </row>
    <row r="27" spans="1:8" ht="15.95" customHeight="1" x14ac:dyDescent="0.3">
      <c r="A27" s="91">
        <f t="shared" si="0"/>
        <v>10046</v>
      </c>
      <c r="B27" s="9" t="s">
        <v>163</v>
      </c>
      <c r="C27" s="123"/>
      <c r="D27" s="91" t="s">
        <v>146</v>
      </c>
      <c r="E27" s="16" t="s">
        <v>58</v>
      </c>
      <c r="F27" s="16">
        <v>3</v>
      </c>
      <c r="G27" s="16">
        <f t="shared" si="1"/>
        <v>2</v>
      </c>
      <c r="H27" s="91">
        <v>1</v>
      </c>
    </row>
    <row r="28" spans="1:8" ht="15.95" customHeight="1" x14ac:dyDescent="0.3">
      <c r="A28" s="91">
        <f t="shared" si="0"/>
        <v>10048</v>
      </c>
      <c r="B28" s="9" t="s">
        <v>164</v>
      </c>
      <c r="C28" s="123"/>
      <c r="D28" s="91" t="s">
        <v>146</v>
      </c>
      <c r="E28" s="16" t="s">
        <v>58</v>
      </c>
      <c r="F28" s="16">
        <v>3</v>
      </c>
      <c r="G28" s="16">
        <f t="shared" si="1"/>
        <v>2</v>
      </c>
      <c r="H28" s="91">
        <v>1</v>
      </c>
    </row>
    <row r="29" spans="1:8" ht="15.95" customHeight="1" x14ac:dyDescent="0.3">
      <c r="A29" s="91">
        <f t="shared" si="0"/>
        <v>10050</v>
      </c>
      <c r="B29" s="9" t="s">
        <v>165</v>
      </c>
      <c r="C29" s="123"/>
      <c r="D29" s="91" t="s">
        <v>146</v>
      </c>
      <c r="E29" s="16" t="s">
        <v>58</v>
      </c>
      <c r="F29" s="16">
        <v>3</v>
      </c>
      <c r="G29" s="16">
        <f t="shared" si="1"/>
        <v>2</v>
      </c>
      <c r="H29" s="91">
        <v>1</v>
      </c>
    </row>
    <row r="30" spans="1:8" ht="15.95" customHeight="1" x14ac:dyDescent="0.3">
      <c r="A30" s="91">
        <f t="shared" si="0"/>
        <v>10052</v>
      </c>
      <c r="B30" s="9" t="s">
        <v>166</v>
      </c>
      <c r="C30" s="91"/>
      <c r="D30" s="91" t="s">
        <v>146</v>
      </c>
      <c r="E30" s="16" t="s">
        <v>58</v>
      </c>
      <c r="F30" s="16">
        <v>3</v>
      </c>
      <c r="G30" s="16">
        <f t="shared" si="1"/>
        <v>2</v>
      </c>
      <c r="H30" s="91">
        <v>1</v>
      </c>
    </row>
    <row r="31" spans="1:8" ht="15.95" customHeight="1" x14ac:dyDescent="0.3">
      <c r="A31" s="91">
        <f t="shared" si="0"/>
        <v>10054</v>
      </c>
      <c r="B31" s="9" t="s">
        <v>167</v>
      </c>
      <c r="C31" s="91"/>
      <c r="D31" s="91" t="s">
        <v>146</v>
      </c>
      <c r="E31" s="16" t="s">
        <v>58</v>
      </c>
      <c r="F31" s="16">
        <v>3</v>
      </c>
      <c r="G31" s="16">
        <f t="shared" si="1"/>
        <v>2</v>
      </c>
      <c r="H31" s="91">
        <v>1</v>
      </c>
    </row>
    <row r="32" spans="1:8" ht="15.95" customHeight="1" x14ac:dyDescent="0.3">
      <c r="A32" s="91">
        <f t="shared" si="0"/>
        <v>10056</v>
      </c>
      <c r="B32" s="9" t="s">
        <v>168</v>
      </c>
      <c r="C32" s="91"/>
      <c r="D32" s="91" t="s">
        <v>146</v>
      </c>
      <c r="E32" s="16" t="s">
        <v>58</v>
      </c>
      <c r="F32" s="16">
        <v>3</v>
      </c>
      <c r="G32" s="16">
        <f t="shared" si="1"/>
        <v>2</v>
      </c>
      <c r="H32" s="91">
        <v>1</v>
      </c>
    </row>
    <row r="33" spans="1:8" ht="15.95" customHeight="1" x14ac:dyDescent="0.3">
      <c r="A33" s="91">
        <f t="shared" si="0"/>
        <v>10058</v>
      </c>
      <c r="B33" s="59" t="s">
        <v>0</v>
      </c>
      <c r="C33" s="61" t="s">
        <v>635</v>
      </c>
      <c r="D33" s="129" t="s">
        <v>653</v>
      </c>
      <c r="E33" s="94" t="s">
        <v>58</v>
      </c>
      <c r="F33" s="16">
        <v>3</v>
      </c>
      <c r="G33" s="16">
        <f t="shared" si="1"/>
        <v>2</v>
      </c>
      <c r="H33" s="91">
        <v>1</v>
      </c>
    </row>
    <row r="34" spans="1:8" ht="15.95" customHeight="1" x14ac:dyDescent="0.3">
      <c r="A34" s="91">
        <f t="shared" si="0"/>
        <v>10060</v>
      </c>
      <c r="B34" s="59" t="s">
        <v>1</v>
      </c>
      <c r="C34" s="61" t="s">
        <v>636</v>
      </c>
      <c r="D34" s="129"/>
      <c r="E34" s="94" t="s">
        <v>58</v>
      </c>
      <c r="F34" s="16">
        <v>3</v>
      </c>
      <c r="G34" s="16">
        <f t="shared" si="1"/>
        <v>2</v>
      </c>
      <c r="H34" s="91">
        <v>1</v>
      </c>
    </row>
    <row r="35" spans="1:8" ht="15.95" customHeight="1" x14ac:dyDescent="0.3">
      <c r="A35" s="94">
        <f t="shared" si="0"/>
        <v>10062</v>
      </c>
      <c r="B35" s="59" t="s">
        <v>2</v>
      </c>
      <c r="C35" s="61" t="s">
        <v>637</v>
      </c>
      <c r="D35" s="129"/>
      <c r="E35" s="94" t="s">
        <v>58</v>
      </c>
      <c r="F35" s="16">
        <v>3</v>
      </c>
      <c r="G35" s="16">
        <f t="shared" si="1"/>
        <v>2</v>
      </c>
      <c r="H35" s="91">
        <v>1</v>
      </c>
    </row>
    <row r="36" spans="1:8" ht="15.95" customHeight="1" x14ac:dyDescent="0.3">
      <c r="A36" s="94">
        <f t="shared" si="0"/>
        <v>10064</v>
      </c>
      <c r="B36" s="59" t="s">
        <v>129</v>
      </c>
      <c r="C36" s="94"/>
      <c r="D36" s="129"/>
      <c r="E36" s="94" t="s">
        <v>58</v>
      </c>
      <c r="F36" s="16">
        <v>3</v>
      </c>
      <c r="G36" s="16">
        <f t="shared" si="1"/>
        <v>2</v>
      </c>
      <c r="H36" s="91">
        <v>1</v>
      </c>
    </row>
    <row r="37" spans="1:8" ht="15.95" customHeight="1" x14ac:dyDescent="0.3">
      <c r="A37" s="94">
        <f t="shared" si="0"/>
        <v>10066</v>
      </c>
      <c r="B37" s="59" t="s">
        <v>5</v>
      </c>
      <c r="C37" s="94"/>
      <c r="D37" s="129"/>
      <c r="E37" s="94" t="s">
        <v>58</v>
      </c>
      <c r="F37" s="16">
        <v>3</v>
      </c>
      <c r="G37" s="16">
        <f t="shared" si="1"/>
        <v>2</v>
      </c>
      <c r="H37" s="91">
        <v>1</v>
      </c>
    </row>
    <row r="38" spans="1:8" ht="15.95" customHeight="1" x14ac:dyDescent="0.3">
      <c r="A38" s="94">
        <f t="shared" si="0"/>
        <v>10068</v>
      </c>
      <c r="B38" s="59" t="s">
        <v>40</v>
      </c>
      <c r="C38" s="94"/>
      <c r="D38" s="94"/>
      <c r="E38" s="94" t="s">
        <v>58</v>
      </c>
      <c r="F38" s="16">
        <v>3</v>
      </c>
      <c r="G38" s="16">
        <f t="shared" si="1"/>
        <v>2</v>
      </c>
      <c r="H38" s="91">
        <v>1</v>
      </c>
    </row>
    <row r="39" spans="1:8" ht="15.95" customHeight="1" x14ac:dyDescent="0.3">
      <c r="A39" s="94">
        <f t="shared" si="0"/>
        <v>10070</v>
      </c>
      <c r="B39" s="59" t="s">
        <v>590</v>
      </c>
      <c r="C39" s="94" t="s">
        <v>591</v>
      </c>
      <c r="D39" s="94"/>
      <c r="E39" s="94" t="s">
        <v>58</v>
      </c>
      <c r="F39" s="16">
        <v>3</v>
      </c>
      <c r="G39" s="16">
        <f t="shared" si="1"/>
        <v>2</v>
      </c>
      <c r="H39" s="91">
        <v>1</v>
      </c>
    </row>
    <row r="40" spans="1:8" ht="15.95" customHeight="1" x14ac:dyDescent="0.3">
      <c r="A40" s="94">
        <f t="shared" si="0"/>
        <v>10072</v>
      </c>
      <c r="B40" s="59" t="s">
        <v>667</v>
      </c>
      <c r="C40" s="94"/>
      <c r="D40" s="94"/>
      <c r="E40" s="94" t="s">
        <v>58</v>
      </c>
      <c r="F40" s="16">
        <v>3</v>
      </c>
      <c r="G40" s="16">
        <f t="shared" si="1"/>
        <v>2</v>
      </c>
      <c r="H40" s="91">
        <v>1</v>
      </c>
    </row>
    <row r="41" spans="1:8" ht="15.95" customHeight="1" x14ac:dyDescent="0.3">
      <c r="A41" s="91">
        <f t="shared" si="0"/>
        <v>10074</v>
      </c>
      <c r="B41" s="9" t="s">
        <v>183</v>
      </c>
      <c r="C41" s="123"/>
      <c r="D41" s="91"/>
      <c r="E41" s="16" t="s">
        <v>58</v>
      </c>
      <c r="F41" s="16">
        <v>3</v>
      </c>
      <c r="G41" s="16">
        <f t="shared" si="1"/>
        <v>2</v>
      </c>
      <c r="H41" s="91">
        <v>1</v>
      </c>
    </row>
    <row r="42" spans="1:8" ht="15.95" customHeight="1" x14ac:dyDescent="0.3">
      <c r="A42" s="91">
        <f t="shared" si="0"/>
        <v>10076</v>
      </c>
      <c r="B42" s="9" t="s">
        <v>184</v>
      </c>
      <c r="C42" s="123"/>
      <c r="D42" s="91"/>
      <c r="E42" s="16" t="s">
        <v>58</v>
      </c>
      <c r="F42" s="16">
        <v>3</v>
      </c>
      <c r="G42" s="16">
        <f t="shared" si="1"/>
        <v>2</v>
      </c>
      <c r="H42" s="91">
        <v>1</v>
      </c>
    </row>
    <row r="43" spans="1:8" ht="15.95" customHeight="1" x14ac:dyDescent="0.3">
      <c r="A43" s="91">
        <f t="shared" si="0"/>
        <v>10078</v>
      </c>
      <c r="B43" s="9" t="s">
        <v>185</v>
      </c>
      <c r="C43" s="123"/>
      <c r="D43" s="91"/>
      <c r="E43" s="16" t="s">
        <v>58</v>
      </c>
      <c r="F43" s="16">
        <v>3</v>
      </c>
      <c r="G43" s="16">
        <f t="shared" si="1"/>
        <v>2</v>
      </c>
      <c r="H43" s="91">
        <v>1</v>
      </c>
    </row>
    <row r="44" spans="1:8" ht="15.95" customHeight="1" x14ac:dyDescent="0.3">
      <c r="A44" s="91">
        <f t="shared" si="0"/>
        <v>10080</v>
      </c>
      <c r="B44" s="9" t="s">
        <v>186</v>
      </c>
      <c r="C44" s="123"/>
      <c r="D44" s="91"/>
      <c r="E44" s="16" t="s">
        <v>58</v>
      </c>
      <c r="F44" s="16">
        <v>3</v>
      </c>
      <c r="G44" s="16">
        <f t="shared" si="1"/>
        <v>2</v>
      </c>
      <c r="H44" s="91">
        <v>1</v>
      </c>
    </row>
    <row r="45" spans="1:8" ht="15.95" customHeight="1" x14ac:dyDescent="0.3">
      <c r="A45" s="91">
        <f t="shared" si="0"/>
        <v>10082</v>
      </c>
      <c r="B45" s="9" t="s">
        <v>187</v>
      </c>
      <c r="C45" s="123"/>
      <c r="D45" s="91"/>
      <c r="E45" s="16" t="s">
        <v>58</v>
      </c>
      <c r="F45" s="16">
        <v>3</v>
      </c>
      <c r="G45" s="16">
        <f t="shared" si="1"/>
        <v>2</v>
      </c>
      <c r="H45" s="91">
        <v>1</v>
      </c>
    </row>
    <row r="46" spans="1:8" ht="15.95" customHeight="1" x14ac:dyDescent="0.3">
      <c r="A46" s="91">
        <f t="shared" si="0"/>
        <v>10084</v>
      </c>
      <c r="B46" s="9" t="s">
        <v>188</v>
      </c>
      <c r="C46" s="123"/>
      <c r="D46" s="91"/>
      <c r="E46" s="16" t="s">
        <v>58</v>
      </c>
      <c r="F46" s="16">
        <v>3</v>
      </c>
      <c r="G46" s="16">
        <f t="shared" si="1"/>
        <v>2</v>
      </c>
      <c r="H46" s="91">
        <v>1</v>
      </c>
    </row>
    <row r="47" spans="1:8" ht="15.95" customHeight="1" x14ac:dyDescent="0.3">
      <c r="A47" s="91">
        <f t="shared" si="0"/>
        <v>10086</v>
      </c>
      <c r="B47" s="9" t="s">
        <v>192</v>
      </c>
      <c r="C47" s="123"/>
      <c r="D47" s="91"/>
      <c r="E47" s="16" t="s">
        <v>58</v>
      </c>
      <c r="F47" s="16">
        <v>3</v>
      </c>
      <c r="G47" s="16">
        <f t="shared" si="1"/>
        <v>2</v>
      </c>
      <c r="H47" s="91">
        <v>1</v>
      </c>
    </row>
    <row r="48" spans="1:8" ht="15.95" customHeight="1" x14ac:dyDescent="0.3">
      <c r="A48" s="91">
        <f t="shared" si="0"/>
        <v>10088</v>
      </c>
      <c r="B48" s="9" t="s">
        <v>193</v>
      </c>
      <c r="C48" s="123"/>
      <c r="D48" s="91"/>
      <c r="E48" s="16" t="s">
        <v>58</v>
      </c>
      <c r="F48" s="16">
        <v>3</v>
      </c>
      <c r="G48" s="16">
        <f t="shared" si="1"/>
        <v>2</v>
      </c>
      <c r="H48" s="91">
        <v>1</v>
      </c>
    </row>
    <row r="49" spans="1:8" ht="15.95" customHeight="1" x14ac:dyDescent="0.3">
      <c r="A49" s="91">
        <f t="shared" si="0"/>
        <v>10090</v>
      </c>
      <c r="B49" s="9" t="s">
        <v>194</v>
      </c>
      <c r="C49" s="123"/>
      <c r="D49" s="91"/>
      <c r="E49" s="16" t="s">
        <v>58</v>
      </c>
      <c r="F49" s="16">
        <v>3</v>
      </c>
      <c r="G49" s="16">
        <f t="shared" si="1"/>
        <v>2</v>
      </c>
      <c r="H49" s="91">
        <v>1</v>
      </c>
    </row>
    <row r="50" spans="1:8" ht="15.95" customHeight="1" x14ac:dyDescent="0.3">
      <c r="A50" s="91">
        <f t="shared" si="0"/>
        <v>10092</v>
      </c>
      <c r="B50" s="9" t="s">
        <v>195</v>
      </c>
      <c r="C50" s="91"/>
      <c r="D50" s="123" t="s">
        <v>146</v>
      </c>
      <c r="E50" s="16" t="s">
        <v>58</v>
      </c>
      <c r="F50" s="16">
        <v>3</v>
      </c>
      <c r="G50" s="16">
        <f t="shared" si="1"/>
        <v>2</v>
      </c>
      <c r="H50" s="91">
        <v>1</v>
      </c>
    </row>
    <row r="51" spans="1:8" ht="15.95" customHeight="1" x14ac:dyDescent="0.3">
      <c r="A51" s="91">
        <f t="shared" si="0"/>
        <v>10094</v>
      </c>
      <c r="B51" s="9" t="s">
        <v>189</v>
      </c>
      <c r="C51" s="91"/>
      <c r="D51" s="123"/>
      <c r="E51" s="16" t="s">
        <v>58</v>
      </c>
      <c r="F51" s="16">
        <v>3</v>
      </c>
      <c r="G51" s="16">
        <f t="shared" si="1"/>
        <v>2</v>
      </c>
      <c r="H51" s="91">
        <v>1</v>
      </c>
    </row>
    <row r="52" spans="1:8" ht="15.95" customHeight="1" x14ac:dyDescent="0.3">
      <c r="A52" s="91">
        <f t="shared" si="0"/>
        <v>10096</v>
      </c>
      <c r="B52" s="59" t="s">
        <v>60</v>
      </c>
      <c r="C52" s="61" t="s">
        <v>612</v>
      </c>
      <c r="D52" s="129" t="s">
        <v>604</v>
      </c>
      <c r="E52" s="94" t="s">
        <v>58</v>
      </c>
      <c r="F52" s="16">
        <v>3</v>
      </c>
      <c r="G52" s="16">
        <f t="shared" si="1"/>
        <v>2</v>
      </c>
      <c r="H52" s="91">
        <v>1</v>
      </c>
    </row>
    <row r="53" spans="1:8" ht="15.95" customHeight="1" x14ac:dyDescent="0.3">
      <c r="A53" s="94">
        <f t="shared" si="0"/>
        <v>10098</v>
      </c>
      <c r="B53" s="59" t="s">
        <v>148</v>
      </c>
      <c r="C53" s="61" t="s">
        <v>613</v>
      </c>
      <c r="D53" s="129"/>
      <c r="E53" s="94" t="s">
        <v>58</v>
      </c>
      <c r="F53" s="16">
        <v>3</v>
      </c>
      <c r="G53" s="16">
        <f t="shared" si="1"/>
        <v>2</v>
      </c>
      <c r="H53" s="91">
        <v>1</v>
      </c>
    </row>
    <row r="54" spans="1:8" ht="15.95" customHeight="1" x14ac:dyDescent="0.3">
      <c r="A54" s="94">
        <f t="shared" si="0"/>
        <v>10100</v>
      </c>
      <c r="B54" s="59" t="s">
        <v>4</v>
      </c>
      <c r="C54" s="61" t="s">
        <v>614</v>
      </c>
      <c r="D54" s="129"/>
      <c r="E54" s="94" t="s">
        <v>58</v>
      </c>
      <c r="F54" s="16">
        <v>3</v>
      </c>
      <c r="G54" s="16">
        <f t="shared" si="1"/>
        <v>2</v>
      </c>
      <c r="H54" s="91">
        <v>1</v>
      </c>
    </row>
    <row r="55" spans="1:8" ht="15.95" customHeight="1" x14ac:dyDescent="0.3">
      <c r="A55" s="94">
        <f t="shared" si="0"/>
        <v>10102</v>
      </c>
      <c r="B55" s="59" t="s">
        <v>61</v>
      </c>
      <c r="C55" s="61" t="s">
        <v>615</v>
      </c>
      <c r="D55" s="129"/>
      <c r="E55" s="94" t="s">
        <v>58</v>
      </c>
      <c r="F55" s="16">
        <v>3</v>
      </c>
      <c r="G55" s="16">
        <f t="shared" si="1"/>
        <v>2</v>
      </c>
      <c r="H55" s="91">
        <v>1</v>
      </c>
    </row>
    <row r="56" spans="1:8" ht="15.95" customHeight="1" x14ac:dyDescent="0.3">
      <c r="A56" s="94">
        <f t="shared" si="0"/>
        <v>10104</v>
      </c>
      <c r="B56" s="59" t="s">
        <v>68</v>
      </c>
      <c r="C56" s="61"/>
      <c r="D56" s="129"/>
      <c r="E56" s="94" t="s">
        <v>58</v>
      </c>
      <c r="F56" s="16">
        <v>3</v>
      </c>
      <c r="G56" s="16">
        <f t="shared" si="1"/>
        <v>2</v>
      </c>
      <c r="H56" s="91">
        <v>1</v>
      </c>
    </row>
    <row r="57" spans="1:8" ht="15.95" customHeight="1" x14ac:dyDescent="0.3">
      <c r="A57" s="94">
        <f t="shared" si="0"/>
        <v>10106</v>
      </c>
      <c r="B57" s="59" t="s">
        <v>69</v>
      </c>
      <c r="C57" s="61"/>
      <c r="D57" s="129"/>
      <c r="E57" s="94" t="s">
        <v>58</v>
      </c>
      <c r="F57" s="16">
        <v>3</v>
      </c>
      <c r="G57" s="16">
        <f t="shared" si="1"/>
        <v>2</v>
      </c>
      <c r="H57" s="91">
        <v>1</v>
      </c>
    </row>
    <row r="58" spans="1:8" ht="15.95" customHeight="1" x14ac:dyDescent="0.3">
      <c r="A58" s="94">
        <f t="shared" si="0"/>
        <v>10108</v>
      </c>
      <c r="B58" s="59" t="s">
        <v>70</v>
      </c>
      <c r="C58" s="61"/>
      <c r="D58" s="129"/>
      <c r="E58" s="94" t="s">
        <v>58</v>
      </c>
      <c r="F58" s="16">
        <v>3</v>
      </c>
      <c r="G58" s="16">
        <f t="shared" si="1"/>
        <v>2</v>
      </c>
      <c r="H58" s="91">
        <v>1</v>
      </c>
    </row>
    <row r="59" spans="1:8" ht="15.95" customHeight="1" x14ac:dyDescent="0.3">
      <c r="A59" s="94">
        <f t="shared" si="0"/>
        <v>10110</v>
      </c>
      <c r="B59" s="59" t="s">
        <v>71</v>
      </c>
      <c r="C59" s="61"/>
      <c r="D59" s="129"/>
      <c r="E59" s="94" t="s">
        <v>58</v>
      </c>
      <c r="F59" s="16">
        <v>3</v>
      </c>
      <c r="G59" s="16">
        <f t="shared" si="1"/>
        <v>2</v>
      </c>
      <c r="H59" s="91">
        <v>1</v>
      </c>
    </row>
    <row r="60" spans="1:8" ht="15.95" customHeight="1" x14ac:dyDescent="0.3">
      <c r="A60" s="94">
        <f t="shared" si="0"/>
        <v>10112</v>
      </c>
      <c r="B60" s="59" t="s">
        <v>62</v>
      </c>
      <c r="C60" s="61" t="s">
        <v>616</v>
      </c>
      <c r="D60" s="129" t="s">
        <v>605</v>
      </c>
      <c r="E60" s="94" t="s">
        <v>58</v>
      </c>
      <c r="F60" s="16">
        <v>3</v>
      </c>
      <c r="G60" s="16">
        <f t="shared" si="1"/>
        <v>2</v>
      </c>
      <c r="H60" s="91">
        <v>1</v>
      </c>
    </row>
    <row r="61" spans="1:8" ht="15.95" customHeight="1" x14ac:dyDescent="0.3">
      <c r="A61" s="94">
        <f t="shared" si="0"/>
        <v>10114</v>
      </c>
      <c r="B61" s="59" t="s">
        <v>63</v>
      </c>
      <c r="C61" s="61" t="s">
        <v>617</v>
      </c>
      <c r="D61" s="129"/>
      <c r="E61" s="94" t="s">
        <v>58</v>
      </c>
      <c r="F61" s="16">
        <v>3</v>
      </c>
      <c r="G61" s="16">
        <f t="shared" si="1"/>
        <v>2</v>
      </c>
      <c r="H61" s="91">
        <v>1</v>
      </c>
    </row>
    <row r="62" spans="1:8" ht="15.95" customHeight="1" x14ac:dyDescent="0.3">
      <c r="A62" s="94">
        <f t="shared" si="0"/>
        <v>10116</v>
      </c>
      <c r="B62" s="59" t="s">
        <v>64</v>
      </c>
      <c r="C62" s="61" t="s">
        <v>618</v>
      </c>
      <c r="D62" s="129"/>
      <c r="E62" s="94" t="s">
        <v>58</v>
      </c>
      <c r="F62" s="16">
        <v>3</v>
      </c>
      <c r="G62" s="16">
        <f t="shared" si="1"/>
        <v>2</v>
      </c>
      <c r="H62" s="91">
        <v>1</v>
      </c>
    </row>
    <row r="63" spans="1:8" ht="15.95" customHeight="1" x14ac:dyDescent="0.3">
      <c r="A63" s="94">
        <f t="shared" si="0"/>
        <v>10118</v>
      </c>
      <c r="B63" s="59" t="s">
        <v>65</v>
      </c>
      <c r="C63" s="61" t="s">
        <v>619</v>
      </c>
      <c r="D63" s="129"/>
      <c r="E63" s="94" t="s">
        <v>58</v>
      </c>
      <c r="F63" s="16">
        <v>3</v>
      </c>
      <c r="G63" s="16">
        <f t="shared" si="1"/>
        <v>2</v>
      </c>
      <c r="H63" s="91">
        <v>1</v>
      </c>
    </row>
    <row r="64" spans="1:8" ht="15.95" customHeight="1" x14ac:dyDescent="0.3">
      <c r="A64" s="94">
        <f t="shared" si="0"/>
        <v>10120</v>
      </c>
      <c r="B64" s="59" t="s">
        <v>72</v>
      </c>
      <c r="C64" s="129"/>
      <c r="D64" s="129"/>
      <c r="E64" s="94" t="s">
        <v>58</v>
      </c>
      <c r="F64" s="16">
        <v>3</v>
      </c>
      <c r="G64" s="16">
        <f t="shared" si="1"/>
        <v>2</v>
      </c>
      <c r="H64" s="91">
        <v>1</v>
      </c>
    </row>
    <row r="65" spans="1:8" ht="15.95" customHeight="1" x14ac:dyDescent="0.3">
      <c r="A65" s="94">
        <f t="shared" si="0"/>
        <v>10122</v>
      </c>
      <c r="B65" s="59" t="s">
        <v>73</v>
      </c>
      <c r="C65" s="129"/>
      <c r="D65" s="129"/>
      <c r="E65" s="94" t="s">
        <v>58</v>
      </c>
      <c r="F65" s="16">
        <v>3</v>
      </c>
      <c r="G65" s="16">
        <f t="shared" si="1"/>
        <v>2</v>
      </c>
      <c r="H65" s="91">
        <v>1</v>
      </c>
    </row>
    <row r="66" spans="1:8" ht="15.95" customHeight="1" x14ac:dyDescent="0.3">
      <c r="A66" s="94">
        <f t="shared" si="0"/>
        <v>10124</v>
      </c>
      <c r="B66" s="59" t="s">
        <v>74</v>
      </c>
      <c r="C66" s="129"/>
      <c r="D66" s="129"/>
      <c r="E66" s="94" t="s">
        <v>58</v>
      </c>
      <c r="F66" s="16">
        <v>3</v>
      </c>
      <c r="G66" s="16">
        <f t="shared" si="1"/>
        <v>2</v>
      </c>
      <c r="H66" s="91">
        <v>1</v>
      </c>
    </row>
    <row r="67" spans="1:8" ht="15.95" customHeight="1" x14ac:dyDescent="0.3">
      <c r="A67" s="94">
        <f t="shared" si="0"/>
        <v>10126</v>
      </c>
      <c r="B67" s="59" t="s">
        <v>75</v>
      </c>
      <c r="C67" s="129"/>
      <c r="D67" s="129"/>
      <c r="E67" s="94" t="s">
        <v>58</v>
      </c>
      <c r="F67" s="16">
        <v>3</v>
      </c>
      <c r="G67" s="16">
        <f t="shared" si="1"/>
        <v>2</v>
      </c>
      <c r="H67" s="91">
        <v>1</v>
      </c>
    </row>
    <row r="68" spans="1:8" ht="15.95" customHeight="1" x14ac:dyDescent="0.3">
      <c r="A68" s="94">
        <f t="shared" si="0"/>
        <v>10128</v>
      </c>
      <c r="B68" s="59" t="s">
        <v>66</v>
      </c>
      <c r="C68" s="61" t="s">
        <v>620</v>
      </c>
      <c r="D68" s="129" t="s">
        <v>606</v>
      </c>
      <c r="E68" s="94" t="s">
        <v>58</v>
      </c>
      <c r="F68" s="16">
        <v>3</v>
      </c>
      <c r="G68" s="16">
        <f t="shared" si="1"/>
        <v>2</v>
      </c>
      <c r="H68" s="91">
        <v>1</v>
      </c>
    </row>
    <row r="69" spans="1:8" ht="15.95" customHeight="1" x14ac:dyDescent="0.3">
      <c r="A69" s="94">
        <f t="shared" ref="A69:A123" si="2">A68+(G68*H68)</f>
        <v>10130</v>
      </c>
      <c r="B69" s="59" t="s">
        <v>6</v>
      </c>
      <c r="C69" s="61" t="s">
        <v>621</v>
      </c>
      <c r="D69" s="129"/>
      <c r="E69" s="94" t="s">
        <v>58</v>
      </c>
      <c r="F69" s="16">
        <v>3</v>
      </c>
      <c r="G69" s="16">
        <f t="shared" si="1"/>
        <v>2</v>
      </c>
      <c r="H69" s="91">
        <v>1</v>
      </c>
    </row>
    <row r="70" spans="1:8" ht="15.95" customHeight="1" x14ac:dyDescent="0.3">
      <c r="A70" s="94">
        <f t="shared" si="2"/>
        <v>10132</v>
      </c>
      <c r="B70" s="59" t="s">
        <v>7</v>
      </c>
      <c r="C70" s="61" t="s">
        <v>622</v>
      </c>
      <c r="D70" s="129"/>
      <c r="E70" s="94" t="s">
        <v>58</v>
      </c>
      <c r="F70" s="16">
        <v>3</v>
      </c>
      <c r="G70" s="16">
        <f t="shared" ref="G70:G91" si="3">IF(OR(E70="U16",E70="S16"),1,IF(E70="TS",6,IF(E70="U64",4,2)))</f>
        <v>2</v>
      </c>
      <c r="H70" s="91">
        <v>1</v>
      </c>
    </row>
    <row r="71" spans="1:8" ht="15.95" customHeight="1" x14ac:dyDescent="0.3">
      <c r="A71" s="94">
        <f t="shared" si="2"/>
        <v>10134</v>
      </c>
      <c r="B71" s="59" t="s">
        <v>67</v>
      </c>
      <c r="C71" s="61" t="s">
        <v>623</v>
      </c>
      <c r="D71" s="129"/>
      <c r="E71" s="94" t="s">
        <v>58</v>
      </c>
      <c r="F71" s="16">
        <v>3</v>
      </c>
      <c r="G71" s="16">
        <f t="shared" si="3"/>
        <v>2</v>
      </c>
      <c r="H71" s="91">
        <v>1</v>
      </c>
    </row>
    <row r="72" spans="1:8" ht="15.95" customHeight="1" x14ac:dyDescent="0.3">
      <c r="A72" s="94">
        <f t="shared" si="2"/>
        <v>10136</v>
      </c>
      <c r="B72" s="59" t="s">
        <v>76</v>
      </c>
      <c r="C72" s="129"/>
      <c r="D72" s="129"/>
      <c r="E72" s="94" t="s">
        <v>58</v>
      </c>
      <c r="F72" s="16">
        <v>3</v>
      </c>
      <c r="G72" s="16">
        <f t="shared" si="3"/>
        <v>2</v>
      </c>
      <c r="H72" s="91">
        <v>1</v>
      </c>
    </row>
    <row r="73" spans="1:8" ht="15.95" customHeight="1" x14ac:dyDescent="0.3">
      <c r="A73" s="94">
        <f t="shared" si="2"/>
        <v>10138</v>
      </c>
      <c r="B73" s="59" t="s">
        <v>77</v>
      </c>
      <c r="C73" s="129"/>
      <c r="D73" s="129"/>
      <c r="E73" s="94" t="s">
        <v>58</v>
      </c>
      <c r="F73" s="16">
        <v>3</v>
      </c>
      <c r="G73" s="16">
        <f t="shared" si="3"/>
        <v>2</v>
      </c>
      <c r="H73" s="91">
        <v>1</v>
      </c>
    </row>
    <row r="74" spans="1:8" ht="15.95" customHeight="1" x14ac:dyDescent="0.3">
      <c r="A74" s="94">
        <f t="shared" si="2"/>
        <v>10140</v>
      </c>
      <c r="B74" s="59" t="s">
        <v>78</v>
      </c>
      <c r="C74" s="129"/>
      <c r="D74" s="129"/>
      <c r="E74" s="94" t="s">
        <v>58</v>
      </c>
      <c r="F74" s="16">
        <v>3</v>
      </c>
      <c r="G74" s="16">
        <f t="shared" si="3"/>
        <v>2</v>
      </c>
      <c r="H74" s="91">
        <v>1</v>
      </c>
    </row>
    <row r="75" spans="1:8" ht="15.95" customHeight="1" x14ac:dyDescent="0.3">
      <c r="A75" s="94">
        <f t="shared" si="2"/>
        <v>10142</v>
      </c>
      <c r="B75" s="59" t="s">
        <v>79</v>
      </c>
      <c r="C75" s="129"/>
      <c r="D75" s="129"/>
      <c r="E75" s="94" t="s">
        <v>58</v>
      </c>
      <c r="F75" s="16">
        <v>3</v>
      </c>
      <c r="G75" s="16">
        <f t="shared" si="3"/>
        <v>2</v>
      </c>
      <c r="H75" s="91">
        <v>1</v>
      </c>
    </row>
    <row r="76" spans="1:8" ht="15.95" customHeight="1" x14ac:dyDescent="0.3">
      <c r="A76" s="94">
        <f t="shared" si="2"/>
        <v>10144</v>
      </c>
      <c r="B76" s="59" t="s">
        <v>80</v>
      </c>
      <c r="C76" s="61" t="s">
        <v>625</v>
      </c>
      <c r="D76" s="129" t="s">
        <v>146</v>
      </c>
      <c r="E76" s="94" t="s">
        <v>58</v>
      </c>
      <c r="F76" s="94">
        <v>3</v>
      </c>
      <c r="G76" s="94">
        <f t="shared" si="3"/>
        <v>2</v>
      </c>
      <c r="H76" s="91">
        <v>1</v>
      </c>
    </row>
    <row r="77" spans="1:8" ht="15.95" customHeight="1" x14ac:dyDescent="0.3">
      <c r="A77" s="94">
        <f t="shared" si="2"/>
        <v>10146</v>
      </c>
      <c r="B77" s="59" t="s">
        <v>8</v>
      </c>
      <c r="C77" s="61" t="s">
        <v>626</v>
      </c>
      <c r="D77" s="129"/>
      <c r="E77" s="94" t="s">
        <v>58</v>
      </c>
      <c r="F77" s="94">
        <v>3</v>
      </c>
      <c r="G77" s="94">
        <f t="shared" si="3"/>
        <v>2</v>
      </c>
      <c r="H77" s="91">
        <v>1</v>
      </c>
    </row>
    <row r="78" spans="1:8" ht="15.95" customHeight="1" x14ac:dyDescent="0.3">
      <c r="A78" s="94">
        <f t="shared" si="2"/>
        <v>10148</v>
      </c>
      <c r="B78" s="59" t="s">
        <v>9</v>
      </c>
      <c r="C78" s="61" t="s">
        <v>627</v>
      </c>
      <c r="D78" s="129"/>
      <c r="E78" s="94" t="s">
        <v>58</v>
      </c>
      <c r="F78" s="94">
        <v>3</v>
      </c>
      <c r="G78" s="94">
        <f t="shared" si="3"/>
        <v>2</v>
      </c>
      <c r="H78" s="91">
        <v>1</v>
      </c>
    </row>
    <row r="79" spans="1:8" ht="15.95" customHeight="1" x14ac:dyDescent="0.3">
      <c r="A79" s="94">
        <f t="shared" si="2"/>
        <v>10150</v>
      </c>
      <c r="B79" s="59" t="s">
        <v>81</v>
      </c>
      <c r="C79" s="61" t="s">
        <v>624</v>
      </c>
      <c r="D79" s="129"/>
      <c r="E79" s="94" t="s">
        <v>58</v>
      </c>
      <c r="F79" s="94">
        <v>3</v>
      </c>
      <c r="G79" s="94">
        <f t="shared" si="3"/>
        <v>2</v>
      </c>
      <c r="H79" s="91">
        <v>1</v>
      </c>
    </row>
    <row r="80" spans="1:8" ht="15.95" customHeight="1" x14ac:dyDescent="0.3">
      <c r="A80" s="91">
        <f t="shared" si="2"/>
        <v>10152</v>
      </c>
      <c r="B80" s="9" t="s">
        <v>82</v>
      </c>
      <c r="C80" s="123"/>
      <c r="D80" s="123" t="s">
        <v>146</v>
      </c>
      <c r="E80" s="16" t="s">
        <v>58</v>
      </c>
      <c r="F80" s="16">
        <v>3</v>
      </c>
      <c r="G80" s="16">
        <f t="shared" si="3"/>
        <v>2</v>
      </c>
      <c r="H80" s="91">
        <v>1</v>
      </c>
    </row>
    <row r="81" spans="1:8" ht="15.95" customHeight="1" x14ac:dyDescent="0.3">
      <c r="A81" s="91">
        <f t="shared" si="2"/>
        <v>10154</v>
      </c>
      <c r="B81" s="9" t="s">
        <v>83</v>
      </c>
      <c r="C81" s="123"/>
      <c r="D81" s="123"/>
      <c r="E81" s="16" t="s">
        <v>58</v>
      </c>
      <c r="F81" s="16">
        <v>3</v>
      </c>
      <c r="G81" s="16">
        <f t="shared" si="3"/>
        <v>2</v>
      </c>
      <c r="H81" s="91">
        <v>1</v>
      </c>
    </row>
    <row r="82" spans="1:8" ht="15.95" customHeight="1" x14ac:dyDescent="0.3">
      <c r="A82" s="91">
        <f t="shared" si="2"/>
        <v>10156</v>
      </c>
      <c r="B82" s="9" t="s">
        <v>84</v>
      </c>
      <c r="C82" s="123"/>
      <c r="D82" s="123"/>
      <c r="E82" s="16" t="s">
        <v>58</v>
      </c>
      <c r="F82" s="16">
        <v>3</v>
      </c>
      <c r="G82" s="16">
        <f t="shared" si="3"/>
        <v>2</v>
      </c>
      <c r="H82" s="91">
        <v>1</v>
      </c>
    </row>
    <row r="83" spans="1:8" ht="15.95" customHeight="1" x14ac:dyDescent="0.3">
      <c r="A83" s="91">
        <f t="shared" si="2"/>
        <v>10158</v>
      </c>
      <c r="B83" s="9" t="s">
        <v>85</v>
      </c>
      <c r="C83" s="123"/>
      <c r="D83" s="123"/>
      <c r="E83" s="16" t="s">
        <v>58</v>
      </c>
      <c r="F83" s="16">
        <v>3</v>
      </c>
      <c r="G83" s="16">
        <f t="shared" si="3"/>
        <v>2</v>
      </c>
      <c r="H83" s="91">
        <v>1</v>
      </c>
    </row>
    <row r="84" spans="1:8" ht="15.95" customHeight="1" x14ac:dyDescent="0.3">
      <c r="A84" s="91">
        <f t="shared" si="2"/>
        <v>10160</v>
      </c>
      <c r="B84" s="9" t="s">
        <v>108</v>
      </c>
      <c r="C84" s="123"/>
      <c r="D84" s="123" t="s">
        <v>604</v>
      </c>
      <c r="E84" s="16" t="s">
        <v>58</v>
      </c>
      <c r="F84" s="16">
        <v>3</v>
      </c>
      <c r="G84" s="16">
        <f t="shared" si="3"/>
        <v>2</v>
      </c>
      <c r="H84" s="91">
        <v>1</v>
      </c>
    </row>
    <row r="85" spans="1:8" ht="15.95" customHeight="1" x14ac:dyDescent="0.3">
      <c r="A85" s="91">
        <f t="shared" si="2"/>
        <v>10162</v>
      </c>
      <c r="B85" s="9" t="s">
        <v>109</v>
      </c>
      <c r="C85" s="123"/>
      <c r="D85" s="123"/>
      <c r="E85" s="16" t="s">
        <v>58</v>
      </c>
      <c r="F85" s="16">
        <v>3</v>
      </c>
      <c r="G85" s="16">
        <f t="shared" si="3"/>
        <v>2</v>
      </c>
      <c r="H85" s="91">
        <v>1</v>
      </c>
    </row>
    <row r="86" spans="1:8" ht="15.95" customHeight="1" x14ac:dyDescent="0.3">
      <c r="A86" s="91">
        <f t="shared" si="2"/>
        <v>10164</v>
      </c>
      <c r="B86" s="9" t="s">
        <v>110</v>
      </c>
      <c r="C86" s="123"/>
      <c r="D86" s="123"/>
      <c r="E86" s="16" t="s">
        <v>58</v>
      </c>
      <c r="F86" s="16">
        <v>3</v>
      </c>
      <c r="G86" s="16">
        <f t="shared" si="3"/>
        <v>2</v>
      </c>
      <c r="H86" s="91">
        <v>1</v>
      </c>
    </row>
    <row r="87" spans="1:8" ht="15.95" customHeight="1" x14ac:dyDescent="0.3">
      <c r="A87" s="91">
        <f t="shared" si="2"/>
        <v>10166</v>
      </c>
      <c r="B87" s="9" t="s">
        <v>111</v>
      </c>
      <c r="C87" s="123"/>
      <c r="D87" s="123"/>
      <c r="E87" s="16" t="s">
        <v>58</v>
      </c>
      <c r="F87" s="16">
        <v>3</v>
      </c>
      <c r="G87" s="16">
        <f t="shared" si="3"/>
        <v>2</v>
      </c>
      <c r="H87" s="91">
        <v>1</v>
      </c>
    </row>
    <row r="88" spans="1:8" ht="15.95" customHeight="1" x14ac:dyDescent="0.3">
      <c r="A88" s="91">
        <f t="shared" si="2"/>
        <v>10168</v>
      </c>
      <c r="B88" s="9" t="s">
        <v>105</v>
      </c>
      <c r="C88" s="123"/>
      <c r="D88" s="123" t="s">
        <v>654</v>
      </c>
      <c r="E88" s="16" t="s">
        <v>58</v>
      </c>
      <c r="F88" s="16">
        <v>3</v>
      </c>
      <c r="G88" s="16">
        <f t="shared" si="3"/>
        <v>2</v>
      </c>
      <c r="H88" s="91">
        <v>1</v>
      </c>
    </row>
    <row r="89" spans="1:8" ht="15.95" customHeight="1" x14ac:dyDescent="0.3">
      <c r="A89" s="91">
        <f t="shared" si="2"/>
        <v>10170</v>
      </c>
      <c r="B89" s="9" t="s">
        <v>106</v>
      </c>
      <c r="C89" s="123"/>
      <c r="D89" s="123"/>
      <c r="E89" s="16" t="s">
        <v>58</v>
      </c>
      <c r="F89" s="16">
        <v>3</v>
      </c>
      <c r="G89" s="16">
        <f t="shared" si="3"/>
        <v>2</v>
      </c>
      <c r="H89" s="91">
        <v>1</v>
      </c>
    </row>
    <row r="90" spans="1:8" ht="15.95" customHeight="1" x14ac:dyDescent="0.3">
      <c r="A90" s="91">
        <f t="shared" si="2"/>
        <v>10172</v>
      </c>
      <c r="B90" s="9" t="s">
        <v>107</v>
      </c>
      <c r="C90" s="123"/>
      <c r="D90" s="123"/>
      <c r="E90" s="16" t="s">
        <v>58</v>
      </c>
      <c r="F90" s="16">
        <v>3</v>
      </c>
      <c r="G90" s="16">
        <f t="shared" si="3"/>
        <v>2</v>
      </c>
      <c r="H90" s="91">
        <v>1</v>
      </c>
    </row>
    <row r="91" spans="1:8" ht="15.95" customHeight="1" x14ac:dyDescent="0.3">
      <c r="A91" s="91">
        <f t="shared" si="2"/>
        <v>10174</v>
      </c>
      <c r="B91" s="9" t="s">
        <v>41</v>
      </c>
      <c r="C91" s="123"/>
      <c r="D91" s="91"/>
      <c r="E91" s="16" t="s">
        <v>58</v>
      </c>
      <c r="F91" s="16">
        <v>3</v>
      </c>
      <c r="G91" s="16">
        <f t="shared" si="3"/>
        <v>2</v>
      </c>
      <c r="H91" s="91">
        <v>1</v>
      </c>
    </row>
    <row r="92" spans="1:8" ht="15.95" customHeight="1" x14ac:dyDescent="0.3">
      <c r="A92" s="91">
        <f t="shared" si="2"/>
        <v>10176</v>
      </c>
      <c r="B92" s="9" t="s">
        <v>18</v>
      </c>
      <c r="C92" s="123"/>
      <c r="D92" s="12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91">
        <v>1</v>
      </c>
    </row>
    <row r="93" spans="1:8" ht="15.95" customHeight="1" x14ac:dyDescent="0.3">
      <c r="A93" s="91">
        <f t="shared" si="2"/>
        <v>10178</v>
      </c>
      <c r="B93" s="9" t="s">
        <v>19</v>
      </c>
      <c r="C93" s="123"/>
      <c r="D93" s="123"/>
      <c r="E93" s="16" t="s">
        <v>58</v>
      </c>
      <c r="F93" s="16">
        <v>3</v>
      </c>
      <c r="G93" s="16">
        <f t="shared" si="4"/>
        <v>2</v>
      </c>
      <c r="H93" s="91">
        <v>1</v>
      </c>
    </row>
    <row r="94" spans="1:8" ht="15.95" customHeight="1" x14ac:dyDescent="0.3">
      <c r="A94" s="91">
        <f t="shared" si="2"/>
        <v>10180</v>
      </c>
      <c r="B94" s="9" t="s">
        <v>20</v>
      </c>
      <c r="C94" s="123"/>
      <c r="D94" s="123"/>
      <c r="E94" s="16" t="s">
        <v>58</v>
      </c>
      <c r="F94" s="16">
        <v>3</v>
      </c>
      <c r="G94" s="16">
        <f t="shared" si="4"/>
        <v>2</v>
      </c>
      <c r="H94" s="91">
        <v>1</v>
      </c>
    </row>
    <row r="95" spans="1:8" ht="15.95" customHeight="1" x14ac:dyDescent="0.3">
      <c r="A95" s="91">
        <f t="shared" si="2"/>
        <v>10182</v>
      </c>
      <c r="B95" s="9" t="s">
        <v>21</v>
      </c>
      <c r="C95" s="123"/>
      <c r="D95" s="123"/>
      <c r="E95" s="16" t="s">
        <v>58</v>
      </c>
      <c r="F95" s="16">
        <v>3</v>
      </c>
      <c r="G95" s="16">
        <f t="shared" si="4"/>
        <v>2</v>
      </c>
      <c r="H95" s="91">
        <v>1</v>
      </c>
    </row>
    <row r="96" spans="1:8" ht="15.95" customHeight="1" x14ac:dyDescent="0.3">
      <c r="A96" s="91">
        <f t="shared" si="2"/>
        <v>10184</v>
      </c>
      <c r="B96" s="9" t="s">
        <v>22</v>
      </c>
      <c r="C96" s="123"/>
      <c r="D96" s="123"/>
      <c r="E96" s="16" t="s">
        <v>58</v>
      </c>
      <c r="F96" s="16">
        <v>3</v>
      </c>
      <c r="G96" s="16">
        <f t="shared" si="4"/>
        <v>2</v>
      </c>
      <c r="H96" s="91">
        <v>1</v>
      </c>
    </row>
    <row r="97" spans="1:8" ht="15.95" customHeight="1" x14ac:dyDescent="0.3">
      <c r="A97" s="91">
        <f t="shared" si="2"/>
        <v>10186</v>
      </c>
      <c r="B97" s="9" t="s">
        <v>23</v>
      </c>
      <c r="C97" s="123"/>
      <c r="D97" s="123"/>
      <c r="E97" s="16" t="s">
        <v>58</v>
      </c>
      <c r="F97" s="16">
        <v>3</v>
      </c>
      <c r="G97" s="16">
        <f t="shared" si="4"/>
        <v>2</v>
      </c>
      <c r="H97" s="91">
        <v>1</v>
      </c>
    </row>
    <row r="98" spans="1:8" ht="15.95" customHeight="1" x14ac:dyDescent="0.3">
      <c r="A98" s="91">
        <f t="shared" si="2"/>
        <v>10188</v>
      </c>
      <c r="B98" s="9" t="s">
        <v>86</v>
      </c>
      <c r="C98" s="91" t="s">
        <v>655</v>
      </c>
      <c r="D98" s="123"/>
      <c r="E98" s="16" t="s">
        <v>58</v>
      </c>
      <c r="F98" s="16">
        <v>3</v>
      </c>
      <c r="G98" s="16">
        <f t="shared" si="4"/>
        <v>2</v>
      </c>
      <c r="H98" s="91">
        <v>1</v>
      </c>
    </row>
    <row r="99" spans="1:8" ht="15.95" customHeight="1" x14ac:dyDescent="0.3">
      <c r="A99" s="91">
        <f t="shared" si="2"/>
        <v>10190</v>
      </c>
      <c r="B99" s="9" t="s">
        <v>16</v>
      </c>
      <c r="C99" s="91"/>
      <c r="D99" s="123"/>
      <c r="E99" s="16" t="s">
        <v>58</v>
      </c>
      <c r="F99" s="16">
        <v>3</v>
      </c>
      <c r="G99" s="16">
        <f t="shared" si="4"/>
        <v>2</v>
      </c>
      <c r="H99" s="91">
        <v>1</v>
      </c>
    </row>
    <row r="100" spans="1:8" ht="15.95" customHeight="1" x14ac:dyDescent="0.3">
      <c r="A100" s="91">
        <f t="shared" si="2"/>
        <v>10192</v>
      </c>
      <c r="B100" s="9" t="s">
        <v>17</v>
      </c>
      <c r="C100" s="91"/>
      <c r="D100" s="123"/>
      <c r="E100" s="16" t="s">
        <v>58</v>
      </c>
      <c r="F100" s="16">
        <v>3</v>
      </c>
      <c r="G100" s="16">
        <f t="shared" si="4"/>
        <v>2</v>
      </c>
      <c r="H100" s="91">
        <v>1</v>
      </c>
    </row>
    <row r="101" spans="1:8" ht="15.95" customHeight="1" x14ac:dyDescent="0.3">
      <c r="A101" s="91">
        <f t="shared" si="2"/>
        <v>10194</v>
      </c>
      <c r="B101" s="9" t="s">
        <v>87</v>
      </c>
      <c r="C101" s="91"/>
      <c r="D101" s="123"/>
      <c r="E101" s="16" t="s">
        <v>58</v>
      </c>
      <c r="F101" s="16">
        <v>3</v>
      </c>
      <c r="G101" s="16">
        <f t="shared" si="4"/>
        <v>2</v>
      </c>
      <c r="H101" s="91">
        <v>1</v>
      </c>
    </row>
    <row r="102" spans="1:8" ht="15.95" customHeight="1" x14ac:dyDescent="0.3">
      <c r="A102" s="91">
        <f t="shared" si="2"/>
        <v>10196</v>
      </c>
      <c r="B102" s="9" t="s">
        <v>88</v>
      </c>
      <c r="C102" s="91"/>
      <c r="D102" s="123"/>
      <c r="E102" s="16" t="s">
        <v>58</v>
      </c>
      <c r="F102" s="16">
        <v>3</v>
      </c>
      <c r="G102" s="16">
        <f t="shared" si="4"/>
        <v>2</v>
      </c>
      <c r="H102" s="91">
        <v>1</v>
      </c>
    </row>
    <row r="103" spans="1:8" ht="15.95" customHeight="1" x14ac:dyDescent="0.3">
      <c r="A103" s="91">
        <f t="shared" si="2"/>
        <v>10198</v>
      </c>
      <c r="B103" s="9" t="s">
        <v>89</v>
      </c>
      <c r="C103" s="91"/>
      <c r="D103" s="123"/>
      <c r="E103" s="16" t="s">
        <v>58</v>
      </c>
      <c r="F103" s="16">
        <v>3</v>
      </c>
      <c r="G103" s="16">
        <f t="shared" si="4"/>
        <v>2</v>
      </c>
      <c r="H103" s="91">
        <v>1</v>
      </c>
    </row>
    <row r="104" spans="1:8" ht="15.95" customHeight="1" x14ac:dyDescent="0.3">
      <c r="A104" s="91">
        <f t="shared" si="2"/>
        <v>10200</v>
      </c>
      <c r="B104" s="9" t="s">
        <v>24</v>
      </c>
      <c r="C104" s="91"/>
      <c r="D104" s="123"/>
      <c r="E104" s="16" t="s">
        <v>58</v>
      </c>
      <c r="F104" s="16">
        <v>3</v>
      </c>
      <c r="G104" s="16">
        <f t="shared" si="4"/>
        <v>2</v>
      </c>
      <c r="H104" s="91">
        <v>1</v>
      </c>
    </row>
    <row r="105" spans="1:8" ht="15.95" customHeight="1" x14ac:dyDescent="0.3">
      <c r="A105" s="91">
        <f t="shared" si="2"/>
        <v>10202</v>
      </c>
      <c r="B105" s="9" t="s">
        <v>25</v>
      </c>
      <c r="C105" s="91"/>
      <c r="D105" s="123"/>
      <c r="E105" s="16" t="s">
        <v>58</v>
      </c>
      <c r="F105" s="16">
        <v>3</v>
      </c>
      <c r="G105" s="16">
        <f t="shared" si="4"/>
        <v>2</v>
      </c>
      <c r="H105" s="91">
        <v>1</v>
      </c>
    </row>
    <row r="106" spans="1:8" ht="15.95" customHeight="1" x14ac:dyDescent="0.3">
      <c r="A106" s="91">
        <f t="shared" si="2"/>
        <v>10204</v>
      </c>
      <c r="B106" s="9" t="s">
        <v>26</v>
      </c>
      <c r="C106" s="91"/>
      <c r="D106" s="123"/>
      <c r="E106" s="16" t="s">
        <v>58</v>
      </c>
      <c r="F106" s="16">
        <v>3</v>
      </c>
      <c r="G106" s="16">
        <f t="shared" si="4"/>
        <v>2</v>
      </c>
      <c r="H106" s="91">
        <v>1</v>
      </c>
    </row>
    <row r="107" spans="1:8" ht="15.95" customHeight="1" x14ac:dyDescent="0.3">
      <c r="A107" s="91">
        <f t="shared" si="2"/>
        <v>10206</v>
      </c>
      <c r="B107" s="9" t="s">
        <v>27</v>
      </c>
      <c r="C107" s="91"/>
      <c r="D107" s="123"/>
      <c r="E107" s="16" t="s">
        <v>58</v>
      </c>
      <c r="F107" s="16">
        <v>3</v>
      </c>
      <c r="G107" s="16">
        <f t="shared" si="4"/>
        <v>2</v>
      </c>
      <c r="H107" s="91">
        <v>1</v>
      </c>
    </row>
    <row r="108" spans="1:8" ht="15.95" customHeight="1" x14ac:dyDescent="0.3">
      <c r="A108" s="91">
        <f t="shared" si="2"/>
        <v>10208</v>
      </c>
      <c r="B108" s="9" t="s">
        <v>28</v>
      </c>
      <c r="C108" s="91"/>
      <c r="D108" s="123"/>
      <c r="E108" s="16" t="s">
        <v>58</v>
      </c>
      <c r="F108" s="16">
        <v>3</v>
      </c>
      <c r="G108" s="16">
        <f t="shared" si="4"/>
        <v>2</v>
      </c>
      <c r="H108" s="91">
        <v>1</v>
      </c>
    </row>
    <row r="109" spans="1:8" ht="15.95" customHeight="1" x14ac:dyDescent="0.3">
      <c r="A109" s="91">
        <f t="shared" si="2"/>
        <v>10210</v>
      </c>
      <c r="B109" s="9" t="s">
        <v>29</v>
      </c>
      <c r="C109" s="91"/>
      <c r="D109" s="123"/>
      <c r="E109" s="16" t="s">
        <v>58</v>
      </c>
      <c r="F109" s="16">
        <v>3</v>
      </c>
      <c r="G109" s="16">
        <f t="shared" si="4"/>
        <v>2</v>
      </c>
      <c r="H109" s="91">
        <v>1</v>
      </c>
    </row>
    <row r="110" spans="1:8" ht="15.95" customHeight="1" x14ac:dyDescent="0.3">
      <c r="A110" s="91">
        <f t="shared" si="2"/>
        <v>10212</v>
      </c>
      <c r="B110" s="9" t="s">
        <v>10</v>
      </c>
      <c r="C110" s="91" t="s">
        <v>656</v>
      </c>
      <c r="D110" s="123"/>
      <c r="E110" s="16" t="s">
        <v>58</v>
      </c>
      <c r="F110" s="16">
        <v>3</v>
      </c>
      <c r="G110" s="16">
        <f t="shared" si="4"/>
        <v>2</v>
      </c>
      <c r="H110" s="91">
        <v>1</v>
      </c>
    </row>
    <row r="111" spans="1:8" ht="15.95" customHeight="1" x14ac:dyDescent="0.3">
      <c r="A111" s="91">
        <f t="shared" si="2"/>
        <v>10214</v>
      </c>
      <c r="B111" s="9" t="s">
        <v>11</v>
      </c>
      <c r="C111" s="91"/>
      <c r="D111" s="123"/>
      <c r="E111" s="16" t="s">
        <v>58</v>
      </c>
      <c r="F111" s="16">
        <v>3</v>
      </c>
      <c r="G111" s="16">
        <f t="shared" si="4"/>
        <v>2</v>
      </c>
      <c r="H111" s="91">
        <v>1</v>
      </c>
    </row>
    <row r="112" spans="1:8" ht="15.95" customHeight="1" x14ac:dyDescent="0.3">
      <c r="A112" s="91">
        <f t="shared" si="2"/>
        <v>10216</v>
      </c>
      <c r="B112" s="9" t="s">
        <v>12</v>
      </c>
      <c r="C112" s="91"/>
      <c r="D112" s="123"/>
      <c r="E112" s="16" t="s">
        <v>58</v>
      </c>
      <c r="F112" s="16">
        <v>3</v>
      </c>
      <c r="G112" s="16">
        <f t="shared" si="4"/>
        <v>2</v>
      </c>
      <c r="H112" s="91">
        <v>1</v>
      </c>
    </row>
    <row r="113" spans="1:8" ht="15.95" customHeight="1" x14ac:dyDescent="0.3">
      <c r="A113" s="91">
        <f t="shared" si="2"/>
        <v>10218</v>
      </c>
      <c r="B113" s="9" t="s">
        <v>13</v>
      </c>
      <c r="C113" s="91" t="s">
        <v>655</v>
      </c>
      <c r="D113" s="123"/>
      <c r="E113" s="16" t="s">
        <v>58</v>
      </c>
      <c r="F113" s="16">
        <v>3</v>
      </c>
      <c r="G113" s="16">
        <f t="shared" si="4"/>
        <v>2</v>
      </c>
      <c r="H113" s="91">
        <v>1</v>
      </c>
    </row>
    <row r="114" spans="1:8" ht="15.95" customHeight="1" x14ac:dyDescent="0.3">
      <c r="A114" s="91">
        <f t="shared" si="2"/>
        <v>10220</v>
      </c>
      <c r="B114" s="9" t="s">
        <v>14</v>
      </c>
      <c r="C114" s="91"/>
      <c r="D114" s="123"/>
      <c r="E114" s="16" t="s">
        <v>58</v>
      </c>
      <c r="F114" s="16">
        <v>3</v>
      </c>
      <c r="G114" s="16">
        <f t="shared" si="4"/>
        <v>2</v>
      </c>
      <c r="H114" s="91">
        <v>1</v>
      </c>
    </row>
    <row r="115" spans="1:8" ht="15.95" customHeight="1" x14ac:dyDescent="0.3">
      <c r="A115" s="91">
        <f t="shared" si="2"/>
        <v>10222</v>
      </c>
      <c r="B115" s="9" t="s">
        <v>15</v>
      </c>
      <c r="C115" s="91"/>
      <c r="D115" s="123"/>
      <c r="E115" s="16" t="s">
        <v>58</v>
      </c>
      <c r="F115" s="16">
        <v>3</v>
      </c>
      <c r="G115" s="16">
        <f t="shared" si="4"/>
        <v>2</v>
      </c>
      <c r="H115" s="91">
        <v>1</v>
      </c>
    </row>
    <row r="116" spans="1:8" ht="15.95" customHeight="1" x14ac:dyDescent="0.3">
      <c r="A116" s="91">
        <f t="shared" si="2"/>
        <v>10224</v>
      </c>
      <c r="B116" s="58" t="s">
        <v>668</v>
      </c>
      <c r="C116" s="76" t="s">
        <v>672</v>
      </c>
      <c r="D116" s="130" t="s">
        <v>142</v>
      </c>
      <c r="E116" s="99" t="s">
        <v>58</v>
      </c>
      <c r="F116" s="16">
        <v>3</v>
      </c>
      <c r="G116" s="99">
        <f t="shared" si="4"/>
        <v>2</v>
      </c>
      <c r="H116" s="99">
        <v>1</v>
      </c>
    </row>
    <row r="117" spans="1:8" ht="15.95" customHeight="1" x14ac:dyDescent="0.3">
      <c r="A117" s="91">
        <f t="shared" si="2"/>
        <v>10226</v>
      </c>
      <c r="B117" s="58" t="s">
        <v>669</v>
      </c>
      <c r="C117" s="76" t="s">
        <v>673</v>
      </c>
      <c r="D117" s="130"/>
      <c r="E117" s="99" t="s">
        <v>58</v>
      </c>
      <c r="F117" s="16">
        <v>3</v>
      </c>
      <c r="G117" s="99">
        <f t="shared" si="4"/>
        <v>2</v>
      </c>
      <c r="H117" s="99">
        <v>1</v>
      </c>
    </row>
    <row r="118" spans="1:8" ht="15.95" customHeight="1" x14ac:dyDescent="0.3">
      <c r="A118" s="91">
        <f t="shared" si="2"/>
        <v>10228</v>
      </c>
      <c r="B118" s="58" t="s">
        <v>670</v>
      </c>
      <c r="C118" s="76" t="s">
        <v>674</v>
      </c>
      <c r="D118" s="130"/>
      <c r="E118" s="99" t="s">
        <v>58</v>
      </c>
      <c r="F118" s="16">
        <v>3</v>
      </c>
      <c r="G118" s="99">
        <f t="shared" si="4"/>
        <v>2</v>
      </c>
      <c r="H118" s="99">
        <v>1</v>
      </c>
    </row>
    <row r="119" spans="1:8" ht="15.95" customHeight="1" x14ac:dyDescent="0.3">
      <c r="A119" s="91">
        <f t="shared" si="2"/>
        <v>10230</v>
      </c>
      <c r="B119" s="58" t="s">
        <v>671</v>
      </c>
      <c r="C119" s="76" t="s">
        <v>675</v>
      </c>
      <c r="D119" s="130"/>
      <c r="E119" s="99" t="s">
        <v>58</v>
      </c>
      <c r="F119" s="16">
        <v>3</v>
      </c>
      <c r="G119" s="99">
        <f t="shared" si="4"/>
        <v>2</v>
      </c>
      <c r="H119" s="99">
        <v>1</v>
      </c>
    </row>
    <row r="120" spans="1:8" ht="15.95" customHeight="1" x14ac:dyDescent="0.3">
      <c r="A120" s="91">
        <f t="shared" si="2"/>
        <v>10232</v>
      </c>
      <c r="B120" s="58" t="s">
        <v>676</v>
      </c>
      <c r="C120" s="76" t="s">
        <v>680</v>
      </c>
      <c r="D120" s="130" t="s">
        <v>653</v>
      </c>
      <c r="E120" s="99" t="s">
        <v>58</v>
      </c>
      <c r="F120" s="16">
        <v>3</v>
      </c>
      <c r="G120" s="99">
        <f t="shared" si="4"/>
        <v>2</v>
      </c>
      <c r="H120" s="99">
        <v>1</v>
      </c>
    </row>
    <row r="121" spans="1:8" ht="15.95" customHeight="1" x14ac:dyDescent="0.3">
      <c r="A121" s="91">
        <f t="shared" si="2"/>
        <v>10234</v>
      </c>
      <c r="B121" s="58" t="s">
        <v>677</v>
      </c>
      <c r="C121" s="76" t="s">
        <v>681</v>
      </c>
      <c r="D121" s="130"/>
      <c r="E121" s="99" t="s">
        <v>58</v>
      </c>
      <c r="F121" s="16">
        <v>3</v>
      </c>
      <c r="G121" s="99">
        <f t="shared" si="4"/>
        <v>2</v>
      </c>
      <c r="H121" s="99">
        <v>1</v>
      </c>
    </row>
    <row r="122" spans="1:8" ht="15.95" customHeight="1" x14ac:dyDescent="0.3">
      <c r="A122" s="91">
        <f t="shared" si="2"/>
        <v>10236</v>
      </c>
      <c r="B122" s="58" t="s">
        <v>678</v>
      </c>
      <c r="C122" s="76" t="s">
        <v>682</v>
      </c>
      <c r="D122" s="130"/>
      <c r="E122" s="99" t="s">
        <v>58</v>
      </c>
      <c r="F122" s="16">
        <v>3</v>
      </c>
      <c r="G122" s="99">
        <f t="shared" si="4"/>
        <v>2</v>
      </c>
      <c r="H122" s="99">
        <v>1</v>
      </c>
    </row>
    <row r="123" spans="1:8" ht="15.95" customHeight="1" x14ac:dyDescent="0.3">
      <c r="A123" s="91">
        <f t="shared" si="2"/>
        <v>10238</v>
      </c>
      <c r="B123" s="58" t="s">
        <v>679</v>
      </c>
      <c r="C123" s="76" t="s">
        <v>683</v>
      </c>
      <c r="D123" s="130"/>
      <c r="E123" s="99" t="s">
        <v>58</v>
      </c>
      <c r="F123" s="16">
        <v>3</v>
      </c>
      <c r="G123" s="99">
        <f t="shared" si="4"/>
        <v>2</v>
      </c>
      <c r="H123" s="99">
        <v>1</v>
      </c>
    </row>
    <row r="124" spans="1:8" ht="15.95" customHeight="1" x14ac:dyDescent="0.3">
      <c r="A124" s="122" t="s">
        <v>57</v>
      </c>
      <c r="B124" s="122"/>
      <c r="C124" s="122"/>
      <c r="D124" s="122"/>
      <c r="E124" s="122"/>
      <c r="F124" s="122"/>
      <c r="G124" s="122"/>
      <c r="H124" s="122"/>
    </row>
    <row r="125" spans="1:8" s="48" customFormat="1" ht="15.95" customHeight="1" x14ac:dyDescent="0.3">
      <c r="A125" s="91">
        <f>A123+(G123*H123)</f>
        <v>10240</v>
      </c>
      <c r="B125" s="59" t="s">
        <v>628</v>
      </c>
      <c r="C125" s="94" t="s">
        <v>629</v>
      </c>
      <c r="D125" s="94"/>
      <c r="E125" s="94" t="s">
        <v>145</v>
      </c>
      <c r="F125" s="94">
        <v>3</v>
      </c>
      <c r="G125" s="94">
        <f>IF(OR(E125="U16",E125="S16"),1,IF(E125="TS",6,IF(E125="U64",4,2)))</f>
        <v>2</v>
      </c>
      <c r="H125" s="94">
        <v>1</v>
      </c>
    </row>
    <row r="126" spans="1:8" ht="15.95" customHeight="1" x14ac:dyDescent="0.3">
      <c r="A126" s="91">
        <f t="shared" ref="A126:A148" si="5">A125+(G125*H125)</f>
        <v>10242</v>
      </c>
      <c r="B126" s="9" t="s">
        <v>531</v>
      </c>
      <c r="C126" s="91"/>
      <c r="D126" s="91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91">
        <v>1</v>
      </c>
    </row>
    <row r="127" spans="1:8" ht="15.95" customHeight="1" x14ac:dyDescent="0.3">
      <c r="A127" s="91">
        <f t="shared" si="5"/>
        <v>10244</v>
      </c>
      <c r="B127" s="9" t="s">
        <v>140</v>
      </c>
      <c r="C127" s="91"/>
      <c r="D127" s="91"/>
      <c r="E127" s="16" t="s">
        <v>145</v>
      </c>
      <c r="F127" s="94">
        <v>3</v>
      </c>
      <c r="G127" s="16">
        <f t="shared" si="6"/>
        <v>2</v>
      </c>
      <c r="H127" s="91">
        <v>1</v>
      </c>
    </row>
    <row r="128" spans="1:8" ht="15.95" customHeight="1" x14ac:dyDescent="0.3">
      <c r="A128" s="91">
        <f t="shared" si="5"/>
        <v>10246</v>
      </c>
      <c r="B128" s="9" t="s">
        <v>141</v>
      </c>
      <c r="C128" s="91"/>
      <c r="D128" s="91"/>
      <c r="E128" s="16" t="s">
        <v>145</v>
      </c>
      <c r="F128" s="16">
        <v>3</v>
      </c>
      <c r="G128" s="16">
        <f t="shared" si="6"/>
        <v>2</v>
      </c>
      <c r="H128" s="91">
        <v>1</v>
      </c>
    </row>
    <row r="129" spans="1:8" ht="15.95" customHeight="1" x14ac:dyDescent="0.3">
      <c r="A129" s="91">
        <f t="shared" si="5"/>
        <v>10248</v>
      </c>
      <c r="B129" s="9" t="s">
        <v>533</v>
      </c>
      <c r="C129" s="91"/>
      <c r="D129" s="91"/>
      <c r="E129" s="16" t="s">
        <v>145</v>
      </c>
      <c r="F129" s="94">
        <v>3</v>
      </c>
      <c r="G129" s="16">
        <f t="shared" si="6"/>
        <v>2</v>
      </c>
      <c r="H129" s="91">
        <v>1</v>
      </c>
    </row>
    <row r="130" spans="1:8" ht="15.95" customHeight="1" x14ac:dyDescent="0.3">
      <c r="A130" s="91">
        <f t="shared" si="5"/>
        <v>10250</v>
      </c>
      <c r="B130" s="9"/>
      <c r="C130" s="91"/>
      <c r="D130" s="91"/>
      <c r="E130" s="16" t="s">
        <v>145</v>
      </c>
      <c r="F130" s="16">
        <v>3</v>
      </c>
      <c r="G130" s="16">
        <f t="shared" si="6"/>
        <v>2</v>
      </c>
      <c r="H130" s="91">
        <v>1</v>
      </c>
    </row>
    <row r="131" spans="1:8" ht="15.95" customHeight="1" x14ac:dyDescent="0.3">
      <c r="A131" s="91">
        <f t="shared" si="5"/>
        <v>10252</v>
      </c>
      <c r="B131" s="9" t="s">
        <v>534</v>
      </c>
      <c r="C131" s="91"/>
      <c r="D131" s="91"/>
      <c r="E131" s="16" t="s">
        <v>145</v>
      </c>
      <c r="F131" s="94">
        <v>3</v>
      </c>
      <c r="G131" s="16">
        <f t="shared" si="6"/>
        <v>2</v>
      </c>
      <c r="H131" s="91">
        <v>1</v>
      </c>
    </row>
    <row r="132" spans="1:8" ht="15.95" customHeight="1" x14ac:dyDescent="0.3">
      <c r="A132" s="91">
        <f t="shared" si="5"/>
        <v>10254</v>
      </c>
      <c r="B132" s="9" t="s">
        <v>535</v>
      </c>
      <c r="C132" s="91"/>
      <c r="D132" s="91"/>
      <c r="E132" s="16" t="s">
        <v>145</v>
      </c>
      <c r="F132" s="16">
        <v>3</v>
      </c>
      <c r="G132" s="16">
        <f t="shared" si="6"/>
        <v>2</v>
      </c>
      <c r="H132" s="91">
        <v>1</v>
      </c>
    </row>
    <row r="133" spans="1:8" ht="15.95" customHeight="1" x14ac:dyDescent="0.3">
      <c r="A133" s="91">
        <f t="shared" si="5"/>
        <v>10256</v>
      </c>
      <c r="B133" s="9" t="s">
        <v>536</v>
      </c>
      <c r="C133" s="91"/>
      <c r="D133" s="91"/>
      <c r="E133" s="16" t="s">
        <v>145</v>
      </c>
      <c r="F133" s="94">
        <v>3</v>
      </c>
      <c r="G133" s="16">
        <f t="shared" si="6"/>
        <v>2</v>
      </c>
      <c r="H133" s="91">
        <v>1</v>
      </c>
    </row>
    <row r="134" spans="1:8" ht="15.95" customHeight="1" x14ac:dyDescent="0.3">
      <c r="A134" s="91">
        <f t="shared" si="5"/>
        <v>10258</v>
      </c>
      <c r="B134" s="9" t="s">
        <v>537</v>
      </c>
      <c r="C134" s="91"/>
      <c r="D134" s="91"/>
      <c r="E134" s="16" t="s">
        <v>145</v>
      </c>
      <c r="F134" s="16">
        <v>3</v>
      </c>
      <c r="G134" s="16">
        <f t="shared" si="6"/>
        <v>2</v>
      </c>
      <c r="H134" s="91">
        <v>1</v>
      </c>
    </row>
    <row r="135" spans="1:8" ht="15.95" customHeight="1" x14ac:dyDescent="0.3">
      <c r="A135" s="91">
        <f t="shared" si="5"/>
        <v>10260</v>
      </c>
      <c r="B135" s="9" t="s">
        <v>538</v>
      </c>
      <c r="C135" s="91"/>
      <c r="D135" s="91"/>
      <c r="E135" s="16" t="s">
        <v>145</v>
      </c>
      <c r="F135" s="94">
        <v>3</v>
      </c>
      <c r="G135" s="16">
        <f t="shared" si="6"/>
        <v>2</v>
      </c>
      <c r="H135" s="91">
        <v>1</v>
      </c>
    </row>
    <row r="136" spans="1:8" ht="15.95" customHeight="1" x14ac:dyDescent="0.3">
      <c r="A136" s="91">
        <f t="shared" si="5"/>
        <v>10262</v>
      </c>
      <c r="B136" s="9"/>
      <c r="C136" s="91"/>
      <c r="D136" s="91"/>
      <c r="E136" s="16" t="s">
        <v>145</v>
      </c>
      <c r="F136" s="16">
        <v>3</v>
      </c>
      <c r="G136" s="16">
        <f t="shared" si="6"/>
        <v>2</v>
      </c>
      <c r="H136" s="91">
        <v>1</v>
      </c>
    </row>
    <row r="137" spans="1:8" ht="15.95" customHeight="1" x14ac:dyDescent="0.3">
      <c r="A137" s="91">
        <f t="shared" si="5"/>
        <v>10264</v>
      </c>
      <c r="B137" s="9" t="s">
        <v>539</v>
      </c>
      <c r="C137" s="91"/>
      <c r="D137" s="91"/>
      <c r="E137" s="16" t="s">
        <v>145</v>
      </c>
      <c r="F137" s="94">
        <v>3</v>
      </c>
      <c r="G137" s="16">
        <f t="shared" si="6"/>
        <v>2</v>
      </c>
      <c r="H137" s="91">
        <v>1</v>
      </c>
    </row>
    <row r="138" spans="1:8" ht="15.95" customHeight="1" x14ac:dyDescent="0.3">
      <c r="A138" s="91">
        <f t="shared" si="5"/>
        <v>10266</v>
      </c>
      <c r="B138" s="9" t="s">
        <v>540</v>
      </c>
      <c r="C138" s="91"/>
      <c r="D138" s="91"/>
      <c r="E138" s="16" t="s">
        <v>145</v>
      </c>
      <c r="F138" s="16">
        <v>3</v>
      </c>
      <c r="G138" s="16">
        <f t="shared" si="6"/>
        <v>2</v>
      </c>
      <c r="H138" s="91">
        <v>1</v>
      </c>
    </row>
    <row r="139" spans="1:8" ht="15.95" customHeight="1" x14ac:dyDescent="0.3">
      <c r="A139" s="91">
        <f t="shared" si="5"/>
        <v>10268</v>
      </c>
      <c r="B139" s="9" t="s">
        <v>541</v>
      </c>
      <c r="C139" s="91"/>
      <c r="D139" s="91"/>
      <c r="E139" s="16" t="s">
        <v>145</v>
      </c>
      <c r="F139" s="94">
        <v>3</v>
      </c>
      <c r="G139" s="16">
        <f t="shared" si="6"/>
        <v>2</v>
      </c>
      <c r="H139" s="91">
        <v>1</v>
      </c>
    </row>
    <row r="140" spans="1:8" ht="15.95" customHeight="1" x14ac:dyDescent="0.3">
      <c r="A140" s="91">
        <f t="shared" si="5"/>
        <v>10270</v>
      </c>
      <c r="B140" s="9" t="s">
        <v>542</v>
      </c>
      <c r="C140" s="91"/>
      <c r="D140" s="91"/>
      <c r="E140" s="16" t="s">
        <v>145</v>
      </c>
      <c r="F140" s="16">
        <v>3</v>
      </c>
      <c r="G140" s="16">
        <f t="shared" si="6"/>
        <v>2</v>
      </c>
      <c r="H140" s="91">
        <v>1</v>
      </c>
    </row>
    <row r="141" spans="1:8" ht="15.95" customHeight="1" x14ac:dyDescent="0.3">
      <c r="A141" s="91">
        <f t="shared" si="5"/>
        <v>10272</v>
      </c>
      <c r="B141" s="9" t="s">
        <v>31</v>
      </c>
      <c r="C141" s="91"/>
      <c r="D141" s="91"/>
      <c r="E141" s="16" t="s">
        <v>145</v>
      </c>
      <c r="F141" s="94">
        <v>3</v>
      </c>
      <c r="G141" s="16">
        <f t="shared" si="6"/>
        <v>2</v>
      </c>
      <c r="H141" s="91">
        <v>1</v>
      </c>
    </row>
    <row r="142" spans="1:8" ht="15.95" customHeight="1" x14ac:dyDescent="0.3">
      <c r="A142" s="91">
        <f t="shared" si="5"/>
        <v>10274</v>
      </c>
      <c r="B142" s="9"/>
      <c r="C142" s="91"/>
      <c r="D142" s="91"/>
      <c r="E142" s="16" t="s">
        <v>145</v>
      </c>
      <c r="F142" s="16">
        <v>3</v>
      </c>
      <c r="G142" s="16">
        <f t="shared" si="6"/>
        <v>2</v>
      </c>
      <c r="H142" s="91">
        <v>1</v>
      </c>
    </row>
    <row r="143" spans="1:8" ht="15.95" customHeight="1" x14ac:dyDescent="0.3">
      <c r="A143" s="94">
        <f t="shared" si="5"/>
        <v>10276</v>
      </c>
      <c r="B143" s="59" t="s">
        <v>549</v>
      </c>
      <c r="C143" s="129" t="s">
        <v>553</v>
      </c>
      <c r="D143" s="94"/>
      <c r="E143" s="94" t="s">
        <v>548</v>
      </c>
      <c r="F143" s="94">
        <v>3</v>
      </c>
      <c r="G143" s="94">
        <f t="shared" si="6"/>
        <v>4</v>
      </c>
      <c r="H143" s="94">
        <v>1</v>
      </c>
    </row>
    <row r="144" spans="1:8" ht="15.95" customHeight="1" x14ac:dyDescent="0.3">
      <c r="A144" s="94">
        <f t="shared" si="5"/>
        <v>10280</v>
      </c>
      <c r="B144" s="59" t="s">
        <v>531</v>
      </c>
      <c r="C144" s="129"/>
      <c r="D144" s="94"/>
      <c r="E144" s="94" t="s">
        <v>548</v>
      </c>
      <c r="F144" s="94">
        <v>3</v>
      </c>
      <c r="G144" s="94">
        <f t="shared" si="6"/>
        <v>4</v>
      </c>
      <c r="H144" s="94">
        <v>1</v>
      </c>
    </row>
    <row r="145" spans="1:8" ht="15.95" customHeight="1" x14ac:dyDescent="0.3">
      <c r="A145" s="94">
        <f t="shared" si="5"/>
        <v>10284</v>
      </c>
      <c r="B145" s="59" t="s">
        <v>140</v>
      </c>
      <c r="C145" s="129"/>
      <c r="D145" s="94"/>
      <c r="E145" s="94" t="s">
        <v>548</v>
      </c>
      <c r="F145" s="94">
        <v>3</v>
      </c>
      <c r="G145" s="94">
        <f t="shared" si="6"/>
        <v>4</v>
      </c>
      <c r="H145" s="94">
        <v>1</v>
      </c>
    </row>
    <row r="146" spans="1:8" ht="15.95" customHeight="1" x14ac:dyDescent="0.3">
      <c r="A146" s="94">
        <f t="shared" si="5"/>
        <v>10288</v>
      </c>
      <c r="B146" s="59" t="s">
        <v>141</v>
      </c>
      <c r="C146" s="129"/>
      <c r="D146" s="94"/>
      <c r="E146" s="94" t="s">
        <v>548</v>
      </c>
      <c r="F146" s="94">
        <v>3</v>
      </c>
      <c r="G146" s="94">
        <f t="shared" si="6"/>
        <v>4</v>
      </c>
      <c r="H146" s="94">
        <v>1</v>
      </c>
    </row>
    <row r="147" spans="1:8" ht="15.95" customHeight="1" x14ac:dyDescent="0.3">
      <c r="A147" s="94">
        <f t="shared" si="5"/>
        <v>10292</v>
      </c>
      <c r="B147" s="59" t="s">
        <v>533</v>
      </c>
      <c r="C147" s="129"/>
      <c r="D147" s="94"/>
      <c r="E147" s="94" t="s">
        <v>548</v>
      </c>
      <c r="F147" s="94">
        <v>3</v>
      </c>
      <c r="G147" s="94">
        <f t="shared" si="6"/>
        <v>4</v>
      </c>
      <c r="H147" s="94">
        <v>1</v>
      </c>
    </row>
    <row r="148" spans="1:8" ht="15.95" customHeight="1" x14ac:dyDescent="0.3">
      <c r="A148" s="94">
        <f t="shared" si="5"/>
        <v>10296</v>
      </c>
      <c r="B148" s="59"/>
      <c r="C148" s="129"/>
      <c r="D148" s="94"/>
      <c r="E148" s="94" t="s">
        <v>548</v>
      </c>
      <c r="F148" s="94">
        <v>3</v>
      </c>
      <c r="G148" s="94">
        <f t="shared" si="6"/>
        <v>4</v>
      </c>
      <c r="H148" s="94">
        <v>1</v>
      </c>
    </row>
    <row r="149" spans="1:8" ht="15.95" customHeight="1" x14ac:dyDescent="0.3">
      <c r="A149" s="122" t="s">
        <v>138</v>
      </c>
      <c r="B149" s="122"/>
      <c r="C149" s="122"/>
      <c r="D149" s="122"/>
      <c r="E149" s="122"/>
      <c r="F149" s="122"/>
      <c r="G149" s="122"/>
      <c r="H149" s="122"/>
    </row>
    <row r="150" spans="1:8" ht="15.95" customHeight="1" x14ac:dyDescent="0.3">
      <c r="A150" s="91">
        <f>A148+(G148*H148)</f>
        <v>10300</v>
      </c>
      <c r="B150" s="9" t="s">
        <v>90</v>
      </c>
      <c r="C150" s="123"/>
      <c r="D150" s="91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91">
        <v>1</v>
      </c>
    </row>
    <row r="151" spans="1:8" ht="15.95" customHeight="1" x14ac:dyDescent="0.3">
      <c r="A151" s="91">
        <f t="shared" ref="A151:A186" si="8">A150+(G150*H150)</f>
        <v>10302</v>
      </c>
      <c r="B151" s="9" t="s">
        <v>42</v>
      </c>
      <c r="C151" s="123"/>
      <c r="D151" s="91"/>
      <c r="E151" s="16" t="s">
        <v>58</v>
      </c>
      <c r="F151" s="16">
        <v>3</v>
      </c>
      <c r="G151" s="16">
        <f t="shared" si="7"/>
        <v>2</v>
      </c>
      <c r="H151" s="91">
        <v>1</v>
      </c>
    </row>
    <row r="152" spans="1:8" ht="15.95" customHeight="1" x14ac:dyDescent="0.3">
      <c r="A152" s="91">
        <f t="shared" si="8"/>
        <v>10304</v>
      </c>
      <c r="B152" s="9" t="s">
        <v>90</v>
      </c>
      <c r="C152" s="123"/>
      <c r="D152" s="91"/>
      <c r="E152" s="16" t="s">
        <v>91</v>
      </c>
      <c r="F152" s="16">
        <v>3</v>
      </c>
      <c r="G152" s="16">
        <f t="shared" si="7"/>
        <v>2</v>
      </c>
      <c r="H152" s="91">
        <v>1</v>
      </c>
    </row>
    <row r="153" spans="1:8" ht="15.95" customHeight="1" x14ac:dyDescent="0.3">
      <c r="A153" s="91">
        <f t="shared" si="8"/>
        <v>10306</v>
      </c>
      <c r="B153" s="9" t="s">
        <v>43</v>
      </c>
      <c r="C153" s="123"/>
      <c r="D153" s="91"/>
      <c r="E153" s="16" t="s">
        <v>58</v>
      </c>
      <c r="F153" s="16">
        <v>3</v>
      </c>
      <c r="G153" s="16">
        <f t="shared" si="7"/>
        <v>2</v>
      </c>
      <c r="H153" s="91">
        <v>1</v>
      </c>
    </row>
    <row r="154" spans="1:8" ht="15.95" customHeight="1" x14ac:dyDescent="0.3">
      <c r="A154" s="91">
        <f t="shared" si="8"/>
        <v>10308</v>
      </c>
      <c r="B154" s="9" t="s">
        <v>90</v>
      </c>
      <c r="C154" s="123"/>
      <c r="D154" s="91"/>
      <c r="E154" s="16" t="s">
        <v>91</v>
      </c>
      <c r="F154" s="16">
        <v>3</v>
      </c>
      <c r="G154" s="16">
        <f t="shared" si="7"/>
        <v>2</v>
      </c>
      <c r="H154" s="91">
        <v>1</v>
      </c>
    </row>
    <row r="155" spans="1:8" ht="15.95" customHeight="1" x14ac:dyDescent="0.3">
      <c r="A155" s="91">
        <f t="shared" si="8"/>
        <v>10310</v>
      </c>
      <c r="B155" s="9" t="s">
        <v>44</v>
      </c>
      <c r="C155" s="123"/>
      <c r="D155" s="91"/>
      <c r="E155" s="16" t="s">
        <v>58</v>
      </c>
      <c r="F155" s="16">
        <v>3</v>
      </c>
      <c r="G155" s="16">
        <f t="shared" si="7"/>
        <v>2</v>
      </c>
      <c r="H155" s="91">
        <v>1</v>
      </c>
    </row>
    <row r="156" spans="1:8" ht="15.95" customHeight="1" x14ac:dyDescent="0.3">
      <c r="A156" s="91">
        <f t="shared" si="8"/>
        <v>10312</v>
      </c>
      <c r="B156" s="9" t="s">
        <v>90</v>
      </c>
      <c r="C156" s="123"/>
      <c r="D156" s="91"/>
      <c r="E156" s="16" t="s">
        <v>91</v>
      </c>
      <c r="F156" s="16">
        <v>3</v>
      </c>
      <c r="G156" s="16">
        <f t="shared" si="7"/>
        <v>2</v>
      </c>
      <c r="H156" s="91">
        <v>1</v>
      </c>
    </row>
    <row r="157" spans="1:8" ht="15.95" customHeight="1" x14ac:dyDescent="0.3">
      <c r="A157" s="91">
        <f t="shared" si="8"/>
        <v>10314</v>
      </c>
      <c r="B157" s="9" t="s">
        <v>45</v>
      </c>
      <c r="C157" s="123"/>
      <c r="D157" s="91"/>
      <c r="E157" s="16" t="s">
        <v>58</v>
      </c>
      <c r="F157" s="16">
        <v>3</v>
      </c>
      <c r="G157" s="16">
        <f t="shared" si="7"/>
        <v>2</v>
      </c>
      <c r="H157" s="91">
        <v>1</v>
      </c>
    </row>
    <row r="158" spans="1:8" ht="15.95" customHeight="1" x14ac:dyDescent="0.3">
      <c r="A158" s="91">
        <f t="shared" si="8"/>
        <v>10316</v>
      </c>
      <c r="B158" s="9" t="s">
        <v>90</v>
      </c>
      <c r="C158" s="123"/>
      <c r="D158" s="91"/>
      <c r="E158" s="16" t="s">
        <v>91</v>
      </c>
      <c r="F158" s="16">
        <v>3</v>
      </c>
      <c r="G158" s="16">
        <f t="shared" si="7"/>
        <v>2</v>
      </c>
      <c r="H158" s="91">
        <v>1</v>
      </c>
    </row>
    <row r="159" spans="1:8" ht="15.95" customHeight="1" x14ac:dyDescent="0.3">
      <c r="A159" s="91">
        <f t="shared" si="8"/>
        <v>10318</v>
      </c>
      <c r="B159" s="9" t="s">
        <v>134</v>
      </c>
      <c r="C159" s="123"/>
      <c r="D159" s="91"/>
      <c r="E159" s="16" t="s">
        <v>58</v>
      </c>
      <c r="F159" s="16">
        <v>3</v>
      </c>
      <c r="G159" s="16">
        <f t="shared" si="7"/>
        <v>2</v>
      </c>
      <c r="H159" s="91">
        <v>1</v>
      </c>
    </row>
    <row r="160" spans="1:8" ht="15.95" customHeight="1" x14ac:dyDescent="0.3">
      <c r="A160" s="91">
        <f t="shared" si="8"/>
        <v>10320</v>
      </c>
      <c r="B160" s="9" t="s">
        <v>90</v>
      </c>
      <c r="C160" s="123"/>
      <c r="D160" s="91"/>
      <c r="E160" s="16" t="s">
        <v>91</v>
      </c>
      <c r="F160" s="16">
        <v>3</v>
      </c>
      <c r="G160" s="16">
        <f t="shared" si="7"/>
        <v>2</v>
      </c>
      <c r="H160" s="91">
        <v>1</v>
      </c>
    </row>
    <row r="161" spans="1:8" ht="15.95" customHeight="1" x14ac:dyDescent="0.3">
      <c r="A161" s="91">
        <f t="shared" si="8"/>
        <v>10322</v>
      </c>
      <c r="B161" s="9" t="s">
        <v>46</v>
      </c>
      <c r="C161" s="123"/>
      <c r="D161" s="91"/>
      <c r="E161" s="16" t="s">
        <v>58</v>
      </c>
      <c r="F161" s="16">
        <v>3</v>
      </c>
      <c r="G161" s="16">
        <f t="shared" si="7"/>
        <v>2</v>
      </c>
      <c r="H161" s="91">
        <v>1</v>
      </c>
    </row>
    <row r="162" spans="1:8" ht="15.95" customHeight="1" x14ac:dyDescent="0.3">
      <c r="A162" s="91">
        <f t="shared" si="8"/>
        <v>10324</v>
      </c>
      <c r="B162" s="9" t="s">
        <v>90</v>
      </c>
      <c r="C162" s="123"/>
      <c r="D162" s="91"/>
      <c r="E162" s="16" t="s">
        <v>91</v>
      </c>
      <c r="F162" s="16">
        <v>3</v>
      </c>
      <c r="G162" s="16">
        <f t="shared" si="7"/>
        <v>2</v>
      </c>
      <c r="H162" s="91">
        <v>1</v>
      </c>
    </row>
    <row r="163" spans="1:8" ht="15.95" customHeight="1" x14ac:dyDescent="0.3">
      <c r="A163" s="91">
        <f t="shared" si="8"/>
        <v>10326</v>
      </c>
      <c r="B163" s="9" t="s">
        <v>47</v>
      </c>
      <c r="C163" s="123"/>
      <c r="D163" s="91"/>
      <c r="E163" s="16" t="s">
        <v>58</v>
      </c>
      <c r="F163" s="16">
        <v>3</v>
      </c>
      <c r="G163" s="16">
        <f t="shared" si="7"/>
        <v>2</v>
      </c>
      <c r="H163" s="91">
        <v>1</v>
      </c>
    </row>
    <row r="164" spans="1:8" ht="15.95" customHeight="1" x14ac:dyDescent="0.3">
      <c r="A164" s="91">
        <f t="shared" si="8"/>
        <v>10328</v>
      </c>
      <c r="B164" s="9" t="s">
        <v>90</v>
      </c>
      <c r="C164" s="123"/>
      <c r="D164" s="91"/>
      <c r="E164" s="16" t="s">
        <v>91</v>
      </c>
      <c r="F164" s="16">
        <v>3</v>
      </c>
      <c r="G164" s="16">
        <f t="shared" si="7"/>
        <v>2</v>
      </c>
      <c r="H164" s="91">
        <v>1</v>
      </c>
    </row>
    <row r="165" spans="1:8" ht="15.95" customHeight="1" x14ac:dyDescent="0.3">
      <c r="A165" s="91">
        <f t="shared" si="8"/>
        <v>10330</v>
      </c>
      <c r="B165" s="9" t="s">
        <v>48</v>
      </c>
      <c r="C165" s="123"/>
      <c r="D165" s="91"/>
      <c r="E165" s="16" t="s">
        <v>58</v>
      </c>
      <c r="F165" s="16">
        <v>3</v>
      </c>
      <c r="G165" s="16">
        <f t="shared" si="7"/>
        <v>2</v>
      </c>
      <c r="H165" s="91">
        <v>1</v>
      </c>
    </row>
    <row r="166" spans="1:8" ht="15.95" customHeight="1" x14ac:dyDescent="0.3">
      <c r="A166" s="91">
        <f t="shared" si="8"/>
        <v>10332</v>
      </c>
      <c r="B166" s="9" t="s">
        <v>397</v>
      </c>
      <c r="C166" s="91"/>
      <c r="D166" s="91"/>
      <c r="E166" s="16" t="s">
        <v>91</v>
      </c>
      <c r="F166" s="16">
        <v>3</v>
      </c>
      <c r="G166" s="16">
        <f t="shared" si="7"/>
        <v>2</v>
      </c>
      <c r="H166" s="91">
        <v>1</v>
      </c>
    </row>
    <row r="167" spans="1:8" ht="15.95" customHeight="1" x14ac:dyDescent="0.3">
      <c r="A167" s="91">
        <f t="shared" si="8"/>
        <v>10334</v>
      </c>
      <c r="B167" s="9" t="s">
        <v>49</v>
      </c>
      <c r="C167" s="91"/>
      <c r="D167" s="91"/>
      <c r="E167" s="16" t="s">
        <v>58</v>
      </c>
      <c r="F167" s="16">
        <v>3</v>
      </c>
      <c r="G167" s="16">
        <f t="shared" si="7"/>
        <v>2</v>
      </c>
      <c r="H167" s="91">
        <v>1</v>
      </c>
    </row>
    <row r="168" spans="1:8" ht="15.95" customHeight="1" x14ac:dyDescent="0.3">
      <c r="A168" s="91">
        <f t="shared" si="8"/>
        <v>10336</v>
      </c>
      <c r="B168" s="9" t="s">
        <v>50</v>
      </c>
      <c r="C168" s="91"/>
      <c r="D168" s="91"/>
      <c r="E168" s="16" t="s">
        <v>58</v>
      </c>
      <c r="F168" s="16">
        <v>3</v>
      </c>
      <c r="G168" s="16">
        <f t="shared" si="7"/>
        <v>2</v>
      </c>
      <c r="H168" s="91">
        <v>1</v>
      </c>
    </row>
    <row r="169" spans="1:8" ht="15.95" customHeight="1" x14ac:dyDescent="0.3">
      <c r="A169" s="91">
        <f t="shared" si="8"/>
        <v>10338</v>
      </c>
      <c r="B169" s="9" t="s">
        <v>51</v>
      </c>
      <c r="C169" s="91"/>
      <c r="D169" s="91"/>
      <c r="E169" s="16" t="s">
        <v>58</v>
      </c>
      <c r="F169" s="16">
        <v>3</v>
      </c>
      <c r="G169" s="16">
        <f t="shared" si="7"/>
        <v>2</v>
      </c>
      <c r="H169" s="91">
        <v>1</v>
      </c>
    </row>
    <row r="170" spans="1:8" ht="15.95" customHeight="1" x14ac:dyDescent="0.3">
      <c r="A170" s="91">
        <f t="shared" si="8"/>
        <v>10340</v>
      </c>
      <c r="B170" s="9" t="s">
        <v>52</v>
      </c>
      <c r="C170" s="91"/>
      <c r="D170" s="91"/>
      <c r="E170" s="16" t="s">
        <v>58</v>
      </c>
      <c r="F170" s="16">
        <v>3</v>
      </c>
      <c r="G170" s="16">
        <f t="shared" si="7"/>
        <v>2</v>
      </c>
      <c r="H170" s="91">
        <v>1</v>
      </c>
    </row>
    <row r="171" spans="1:8" ht="15.95" customHeight="1" x14ac:dyDescent="0.3">
      <c r="A171" s="91">
        <f t="shared" si="8"/>
        <v>10342</v>
      </c>
      <c r="B171" s="9" t="s">
        <v>53</v>
      </c>
      <c r="C171" s="91"/>
      <c r="D171" s="91"/>
      <c r="E171" s="16" t="s">
        <v>58</v>
      </c>
      <c r="F171" s="16">
        <v>3</v>
      </c>
      <c r="G171" s="16">
        <f t="shared" si="7"/>
        <v>2</v>
      </c>
      <c r="H171" s="91">
        <v>1</v>
      </c>
    </row>
    <row r="172" spans="1:8" ht="15.95" customHeight="1" x14ac:dyDescent="0.3">
      <c r="A172" s="91">
        <f t="shared" si="8"/>
        <v>10344</v>
      </c>
      <c r="B172" s="9" t="s">
        <v>54</v>
      </c>
      <c r="C172" s="91"/>
      <c r="D172" s="91"/>
      <c r="E172" s="16" t="s">
        <v>58</v>
      </c>
      <c r="F172" s="16">
        <v>3</v>
      </c>
      <c r="G172" s="16">
        <f t="shared" si="7"/>
        <v>2</v>
      </c>
      <c r="H172" s="91">
        <v>1</v>
      </c>
    </row>
    <row r="173" spans="1:8" ht="15.95" customHeight="1" x14ac:dyDescent="0.3">
      <c r="A173" s="91">
        <f t="shared" si="8"/>
        <v>10346</v>
      </c>
      <c r="B173" s="9" t="s">
        <v>55</v>
      </c>
      <c r="C173" s="91"/>
      <c r="D173" s="91"/>
      <c r="E173" s="16" t="s">
        <v>58</v>
      </c>
      <c r="F173" s="16">
        <v>3</v>
      </c>
      <c r="G173" s="16">
        <f t="shared" si="7"/>
        <v>2</v>
      </c>
      <c r="H173" s="91">
        <v>1</v>
      </c>
    </row>
    <row r="174" spans="1:8" ht="15.95" customHeight="1" x14ac:dyDescent="0.3">
      <c r="A174" s="91">
        <f t="shared" si="8"/>
        <v>10348</v>
      </c>
      <c r="B174" s="9" t="s">
        <v>56</v>
      </c>
      <c r="C174" s="91"/>
      <c r="D174" s="91"/>
      <c r="E174" s="16" t="s">
        <v>58</v>
      </c>
      <c r="F174" s="16">
        <v>3</v>
      </c>
      <c r="G174" s="16">
        <f t="shared" si="7"/>
        <v>2</v>
      </c>
      <c r="H174" s="91">
        <v>1</v>
      </c>
    </row>
    <row r="175" spans="1:8" ht="15.95" customHeight="1" x14ac:dyDescent="0.3">
      <c r="A175" s="91">
        <f t="shared" si="8"/>
        <v>10350</v>
      </c>
      <c r="B175" s="9" t="s">
        <v>260</v>
      </c>
      <c r="C175" s="91"/>
      <c r="D175" s="91"/>
      <c r="E175" s="16" t="s">
        <v>58</v>
      </c>
      <c r="F175" s="16">
        <v>3</v>
      </c>
      <c r="G175" s="16">
        <f t="shared" si="7"/>
        <v>2</v>
      </c>
      <c r="H175" s="91">
        <v>1</v>
      </c>
    </row>
    <row r="176" spans="1:8" ht="15.95" customHeight="1" x14ac:dyDescent="0.3">
      <c r="A176" s="91">
        <f t="shared" si="8"/>
        <v>10352</v>
      </c>
      <c r="B176" s="9" t="s">
        <v>261</v>
      </c>
      <c r="C176" s="91"/>
      <c r="D176" s="91"/>
      <c r="E176" s="16" t="s">
        <v>58</v>
      </c>
      <c r="F176" s="16">
        <v>3</v>
      </c>
      <c r="G176" s="16">
        <f t="shared" si="7"/>
        <v>2</v>
      </c>
      <c r="H176" s="91">
        <v>1</v>
      </c>
    </row>
    <row r="177" spans="1:8" ht="15.95" customHeight="1" x14ac:dyDescent="0.3">
      <c r="A177" s="91">
        <f t="shared" si="8"/>
        <v>10354</v>
      </c>
      <c r="B177" s="9" t="s">
        <v>262</v>
      </c>
      <c r="C177" s="91"/>
      <c r="D177" s="91"/>
      <c r="E177" s="16" t="s">
        <v>58</v>
      </c>
      <c r="F177" s="16">
        <v>3</v>
      </c>
      <c r="G177" s="16">
        <f t="shared" si="7"/>
        <v>2</v>
      </c>
      <c r="H177" s="91">
        <v>1</v>
      </c>
    </row>
    <row r="178" spans="1:8" ht="15.95" customHeight="1" x14ac:dyDescent="0.3">
      <c r="A178" s="91">
        <f t="shared" si="8"/>
        <v>10356</v>
      </c>
      <c r="B178" s="9" t="s">
        <v>263</v>
      </c>
      <c r="C178" s="91"/>
      <c r="D178" s="91"/>
      <c r="E178" s="16" t="s">
        <v>58</v>
      </c>
      <c r="F178" s="16">
        <v>3</v>
      </c>
      <c r="G178" s="16">
        <f t="shared" si="7"/>
        <v>2</v>
      </c>
      <c r="H178" s="91">
        <v>1</v>
      </c>
    </row>
    <row r="179" spans="1:8" ht="15.95" customHeight="1" x14ac:dyDescent="0.3">
      <c r="A179" s="91">
        <f t="shared" si="8"/>
        <v>10358</v>
      </c>
      <c r="B179" s="9" t="s">
        <v>264</v>
      </c>
      <c r="C179" s="91"/>
      <c r="D179" s="91"/>
      <c r="E179" s="16" t="s">
        <v>58</v>
      </c>
      <c r="F179" s="16">
        <v>3</v>
      </c>
      <c r="G179" s="16">
        <f t="shared" si="7"/>
        <v>2</v>
      </c>
      <c r="H179" s="91">
        <v>1</v>
      </c>
    </row>
    <row r="180" spans="1:8" ht="15.95" customHeight="1" x14ac:dyDescent="0.3">
      <c r="A180" s="91">
        <f t="shared" si="8"/>
        <v>10360</v>
      </c>
      <c r="B180" s="9" t="s">
        <v>93</v>
      </c>
      <c r="C180" s="91"/>
      <c r="D180" s="91"/>
      <c r="E180" s="16" t="s">
        <v>58</v>
      </c>
      <c r="F180" s="16">
        <v>3</v>
      </c>
      <c r="G180" s="16">
        <f t="shared" si="7"/>
        <v>2</v>
      </c>
      <c r="H180" s="91">
        <v>1</v>
      </c>
    </row>
    <row r="181" spans="1:8" ht="15.95" customHeight="1" x14ac:dyDescent="0.3">
      <c r="A181" s="91">
        <f t="shared" si="8"/>
        <v>10362</v>
      </c>
      <c r="B181" s="9" t="s">
        <v>266</v>
      </c>
      <c r="C181" s="91"/>
      <c r="D181" s="91"/>
      <c r="E181" s="16" t="s">
        <v>58</v>
      </c>
      <c r="F181" s="16">
        <v>3</v>
      </c>
      <c r="G181" s="16">
        <f t="shared" si="7"/>
        <v>2</v>
      </c>
      <c r="H181" s="91">
        <v>1</v>
      </c>
    </row>
    <row r="182" spans="1:8" ht="15.95" customHeight="1" x14ac:dyDescent="0.3">
      <c r="A182" s="91">
        <f t="shared" si="8"/>
        <v>10364</v>
      </c>
      <c r="B182" s="9"/>
      <c r="C182" s="91"/>
      <c r="D182" s="91"/>
      <c r="E182" s="16" t="s">
        <v>58</v>
      </c>
      <c r="F182" s="16">
        <v>3</v>
      </c>
      <c r="G182" s="16">
        <f t="shared" si="7"/>
        <v>2</v>
      </c>
      <c r="H182" s="91">
        <v>1</v>
      </c>
    </row>
    <row r="183" spans="1:8" ht="15.95" customHeight="1" x14ac:dyDescent="0.3">
      <c r="A183" s="91">
        <f t="shared" si="8"/>
        <v>10366</v>
      </c>
      <c r="B183" s="9"/>
      <c r="C183" s="91"/>
      <c r="D183" s="91"/>
      <c r="E183" s="16" t="s">
        <v>58</v>
      </c>
      <c r="F183" s="16">
        <v>3</v>
      </c>
      <c r="G183" s="16">
        <f t="shared" si="7"/>
        <v>2</v>
      </c>
      <c r="H183" s="91">
        <v>1</v>
      </c>
    </row>
    <row r="184" spans="1:8" ht="15.95" customHeight="1" x14ac:dyDescent="0.3">
      <c r="A184" s="91">
        <f t="shared" si="8"/>
        <v>10368</v>
      </c>
      <c r="B184" s="9" t="s">
        <v>570</v>
      </c>
      <c r="C184" s="91"/>
      <c r="D184" s="91"/>
      <c r="E184" s="16" t="s">
        <v>145</v>
      </c>
      <c r="F184" s="16">
        <v>3</v>
      </c>
      <c r="G184" s="16">
        <f t="shared" si="7"/>
        <v>2</v>
      </c>
      <c r="H184" s="91">
        <v>1</v>
      </c>
    </row>
    <row r="185" spans="1:8" ht="15.95" customHeight="1" x14ac:dyDescent="0.3">
      <c r="A185" s="91">
        <f t="shared" si="8"/>
        <v>10370</v>
      </c>
      <c r="B185" s="9" t="s">
        <v>265</v>
      </c>
      <c r="C185" s="91"/>
      <c r="D185" s="91"/>
      <c r="E185" s="16" t="s">
        <v>58</v>
      </c>
      <c r="F185" s="16">
        <v>3</v>
      </c>
      <c r="G185" s="16">
        <f t="shared" si="7"/>
        <v>2</v>
      </c>
      <c r="H185" s="91">
        <v>96</v>
      </c>
    </row>
    <row r="186" spans="1:8" ht="15.95" customHeight="1" x14ac:dyDescent="0.3">
      <c r="A186" s="91">
        <f t="shared" si="8"/>
        <v>10562</v>
      </c>
      <c r="B186" s="9"/>
      <c r="C186" s="91"/>
      <c r="D186" s="91"/>
      <c r="E186" s="16" t="s">
        <v>58</v>
      </c>
      <c r="F186" s="16">
        <v>3</v>
      </c>
      <c r="G186" s="16">
        <f t="shared" si="7"/>
        <v>2</v>
      </c>
      <c r="H186" s="91">
        <v>19</v>
      </c>
    </row>
    <row r="187" spans="1:8" ht="15.95" customHeight="1" x14ac:dyDescent="0.3">
      <c r="A187" s="122" t="s">
        <v>543</v>
      </c>
      <c r="B187" s="122"/>
      <c r="C187" s="122"/>
      <c r="D187" s="122"/>
      <c r="E187" s="122"/>
      <c r="F187" s="122"/>
      <c r="G187" s="122"/>
      <c r="H187" s="122"/>
    </row>
    <row r="188" spans="1:8" ht="15.95" customHeight="1" x14ac:dyDescent="0.3">
      <c r="A188" s="91">
        <f>A186+(G186*H186)</f>
        <v>10600</v>
      </c>
      <c r="B188" s="9" t="s">
        <v>981</v>
      </c>
      <c r="C188" s="35"/>
      <c r="D188" s="91" t="s">
        <v>982</v>
      </c>
      <c r="E188" s="16" t="s">
        <v>437</v>
      </c>
      <c r="F188" s="16">
        <v>3</v>
      </c>
      <c r="G188" s="16">
        <v>2</v>
      </c>
      <c r="H188" s="91">
        <v>1</v>
      </c>
    </row>
    <row r="189" spans="1:8" ht="15.95" customHeight="1" x14ac:dyDescent="0.3">
      <c r="A189" s="91">
        <f t="shared" ref="A189:A215" si="9">A188+(G188*H188)</f>
        <v>10602</v>
      </c>
      <c r="B189" s="9" t="s">
        <v>983</v>
      </c>
      <c r="C189" s="35"/>
      <c r="D189" s="91" t="s">
        <v>982</v>
      </c>
      <c r="E189" s="16" t="s">
        <v>437</v>
      </c>
      <c r="F189" s="16">
        <v>3</v>
      </c>
      <c r="G189" s="16">
        <v>2</v>
      </c>
      <c r="H189" s="91">
        <v>1</v>
      </c>
    </row>
    <row r="190" spans="1:8" ht="15.95" customHeight="1" x14ac:dyDescent="0.3">
      <c r="A190" s="91">
        <f t="shared" si="9"/>
        <v>10604</v>
      </c>
      <c r="B190" s="9" t="s">
        <v>984</v>
      </c>
      <c r="C190" s="35"/>
      <c r="D190" s="91" t="s">
        <v>982</v>
      </c>
      <c r="E190" s="16" t="s">
        <v>437</v>
      </c>
      <c r="F190" s="16">
        <v>3</v>
      </c>
      <c r="G190" s="16">
        <v>2</v>
      </c>
      <c r="H190" s="91">
        <v>1</v>
      </c>
    </row>
    <row r="191" spans="1:8" ht="15.95" customHeight="1" x14ac:dyDescent="0.3">
      <c r="A191" s="91">
        <f t="shared" si="9"/>
        <v>10606</v>
      </c>
      <c r="B191" s="9" t="s">
        <v>985</v>
      </c>
      <c r="C191" s="35"/>
      <c r="D191" s="91" t="s">
        <v>986</v>
      </c>
      <c r="E191" s="16" t="s">
        <v>437</v>
      </c>
      <c r="F191" s="16">
        <v>3</v>
      </c>
      <c r="G191" s="16">
        <v>2</v>
      </c>
      <c r="H191" s="91">
        <v>1</v>
      </c>
    </row>
    <row r="192" spans="1:8" ht="15.95" customHeight="1" x14ac:dyDescent="0.3">
      <c r="A192" s="91">
        <f t="shared" si="9"/>
        <v>10608</v>
      </c>
      <c r="B192" s="9" t="s">
        <v>987</v>
      </c>
      <c r="C192" s="35"/>
      <c r="D192" s="91" t="s">
        <v>986</v>
      </c>
      <c r="E192" s="16" t="s">
        <v>437</v>
      </c>
      <c r="F192" s="16">
        <v>3</v>
      </c>
      <c r="G192" s="16">
        <v>2</v>
      </c>
      <c r="H192" s="91">
        <v>1</v>
      </c>
    </row>
    <row r="193" spans="1:8" ht="15.95" customHeight="1" x14ac:dyDescent="0.3">
      <c r="A193" s="91">
        <f t="shared" si="9"/>
        <v>10610</v>
      </c>
      <c r="B193" s="9" t="s">
        <v>988</v>
      </c>
      <c r="C193" s="35"/>
      <c r="D193" s="91" t="s">
        <v>986</v>
      </c>
      <c r="E193" s="16" t="s">
        <v>437</v>
      </c>
      <c r="F193" s="16">
        <v>3</v>
      </c>
      <c r="G193" s="16">
        <v>2</v>
      </c>
      <c r="H193" s="91">
        <v>1</v>
      </c>
    </row>
    <row r="194" spans="1:8" ht="15.95" customHeight="1" x14ac:dyDescent="0.3">
      <c r="A194" s="91">
        <f t="shared" si="9"/>
        <v>10612</v>
      </c>
      <c r="B194" s="9" t="s">
        <v>989</v>
      </c>
      <c r="C194" s="35"/>
      <c r="D194" s="91" t="s">
        <v>982</v>
      </c>
      <c r="E194" s="16" t="s">
        <v>437</v>
      </c>
      <c r="F194" s="16">
        <v>3</v>
      </c>
      <c r="G194" s="16">
        <v>2</v>
      </c>
      <c r="H194" s="91">
        <v>1</v>
      </c>
    </row>
    <row r="195" spans="1:8" ht="15.95" customHeight="1" x14ac:dyDescent="0.3">
      <c r="A195" s="91">
        <f t="shared" si="9"/>
        <v>10614</v>
      </c>
      <c r="B195" s="9" t="s">
        <v>990</v>
      </c>
      <c r="C195" s="35"/>
      <c r="D195" s="91" t="s">
        <v>982</v>
      </c>
      <c r="E195" s="16" t="s">
        <v>437</v>
      </c>
      <c r="F195" s="16">
        <v>3</v>
      </c>
      <c r="G195" s="16">
        <v>2</v>
      </c>
      <c r="H195" s="91">
        <v>1</v>
      </c>
    </row>
    <row r="196" spans="1:8" ht="15.95" customHeight="1" x14ac:dyDescent="0.3">
      <c r="A196" s="91">
        <f t="shared" si="9"/>
        <v>10616</v>
      </c>
      <c r="B196" s="9" t="s">
        <v>991</v>
      </c>
      <c r="C196" s="35"/>
      <c r="D196" s="91" t="s">
        <v>982</v>
      </c>
      <c r="E196" s="16" t="s">
        <v>437</v>
      </c>
      <c r="F196" s="16">
        <v>3</v>
      </c>
      <c r="G196" s="16">
        <v>2</v>
      </c>
      <c r="H196" s="91">
        <v>1</v>
      </c>
    </row>
    <row r="197" spans="1:8" ht="15.95" customHeight="1" x14ac:dyDescent="0.3">
      <c r="A197" s="91">
        <f t="shared" si="9"/>
        <v>10618</v>
      </c>
      <c r="B197" s="9" t="s">
        <v>992</v>
      </c>
      <c r="C197" s="35"/>
      <c r="D197" s="91" t="s">
        <v>986</v>
      </c>
      <c r="E197" s="16" t="s">
        <v>437</v>
      </c>
      <c r="F197" s="16">
        <v>3</v>
      </c>
      <c r="G197" s="16">
        <v>2</v>
      </c>
      <c r="H197" s="91">
        <v>1</v>
      </c>
    </row>
    <row r="198" spans="1:8" ht="15.95" customHeight="1" x14ac:dyDescent="0.3">
      <c r="A198" s="91">
        <f t="shared" si="9"/>
        <v>10620</v>
      </c>
      <c r="B198" s="9" t="s">
        <v>993</v>
      </c>
      <c r="C198" s="35"/>
      <c r="D198" s="91" t="s">
        <v>986</v>
      </c>
      <c r="E198" s="16" t="s">
        <v>437</v>
      </c>
      <c r="F198" s="16">
        <v>3</v>
      </c>
      <c r="G198" s="16">
        <v>2</v>
      </c>
      <c r="H198" s="91">
        <v>1</v>
      </c>
    </row>
    <row r="199" spans="1:8" ht="15.95" customHeight="1" x14ac:dyDescent="0.3">
      <c r="A199" s="91">
        <f t="shared" si="9"/>
        <v>10622</v>
      </c>
      <c r="B199" s="9" t="s">
        <v>994</v>
      </c>
      <c r="C199" s="35"/>
      <c r="D199" s="91" t="s">
        <v>986</v>
      </c>
      <c r="E199" s="16" t="s">
        <v>437</v>
      </c>
      <c r="F199" s="16">
        <v>3</v>
      </c>
      <c r="G199" s="16">
        <v>2</v>
      </c>
      <c r="H199" s="91">
        <v>1</v>
      </c>
    </row>
    <row r="200" spans="1:8" ht="15.95" customHeight="1" x14ac:dyDescent="0.3">
      <c r="A200" s="91">
        <f t="shared" si="9"/>
        <v>10624</v>
      </c>
      <c r="B200" s="9" t="s">
        <v>995</v>
      </c>
      <c r="C200" s="35" t="s">
        <v>996</v>
      </c>
      <c r="D200" s="91"/>
      <c r="E200" s="16" t="s">
        <v>437</v>
      </c>
      <c r="F200" s="16">
        <v>3</v>
      </c>
      <c r="G200" s="16">
        <v>2</v>
      </c>
      <c r="H200" s="91">
        <v>1</v>
      </c>
    </row>
    <row r="201" spans="1:8" ht="15.95" customHeight="1" x14ac:dyDescent="0.3">
      <c r="A201" s="91">
        <f t="shared" si="9"/>
        <v>10626</v>
      </c>
      <c r="B201" s="9" t="s">
        <v>997</v>
      </c>
      <c r="C201" s="35"/>
      <c r="D201" s="91"/>
      <c r="E201" s="16" t="s">
        <v>437</v>
      </c>
      <c r="F201" s="16">
        <v>3</v>
      </c>
      <c r="G201" s="16">
        <v>2</v>
      </c>
      <c r="H201" s="91">
        <v>1</v>
      </c>
    </row>
    <row r="202" spans="1:8" ht="15.95" customHeight="1" x14ac:dyDescent="0.3">
      <c r="A202" s="91">
        <f t="shared" si="9"/>
        <v>10628</v>
      </c>
      <c r="B202" s="9" t="s">
        <v>998</v>
      </c>
      <c r="C202" s="35"/>
      <c r="D202" s="91"/>
      <c r="E202" s="16" t="s">
        <v>437</v>
      </c>
      <c r="F202" s="16">
        <v>3</v>
      </c>
      <c r="G202" s="16">
        <v>2</v>
      </c>
      <c r="H202" s="91">
        <v>1</v>
      </c>
    </row>
    <row r="203" spans="1:8" ht="15.95" customHeight="1" x14ac:dyDescent="0.3">
      <c r="A203" s="91">
        <f t="shared" si="9"/>
        <v>10630</v>
      </c>
      <c r="B203" s="9" t="s">
        <v>999</v>
      </c>
      <c r="C203" s="35" t="s">
        <v>1000</v>
      </c>
      <c r="D203" s="91"/>
      <c r="E203" s="16" t="s">
        <v>437</v>
      </c>
      <c r="F203" s="16">
        <v>3</v>
      </c>
      <c r="G203" s="16">
        <v>2</v>
      </c>
      <c r="H203" s="91">
        <v>1</v>
      </c>
    </row>
    <row r="204" spans="1:8" ht="15.95" customHeight="1" x14ac:dyDescent="0.3">
      <c r="A204" s="91">
        <f t="shared" si="9"/>
        <v>10632</v>
      </c>
      <c r="B204" s="9" t="s">
        <v>1001</v>
      </c>
      <c r="C204" s="91"/>
      <c r="D204" s="91"/>
      <c r="E204" s="16" t="s">
        <v>437</v>
      </c>
      <c r="F204" s="16">
        <v>3</v>
      </c>
      <c r="G204" s="16">
        <v>2</v>
      </c>
      <c r="H204" s="91">
        <v>1</v>
      </c>
    </row>
    <row r="205" spans="1:8" ht="15.95" customHeight="1" x14ac:dyDescent="0.3">
      <c r="A205" s="91">
        <f t="shared" si="9"/>
        <v>10634</v>
      </c>
      <c r="B205" s="9" t="s">
        <v>1002</v>
      </c>
      <c r="C205" s="91"/>
      <c r="D205" s="91"/>
      <c r="E205" s="16" t="s">
        <v>437</v>
      </c>
      <c r="F205" s="16">
        <v>3</v>
      </c>
      <c r="G205" s="16">
        <v>2</v>
      </c>
      <c r="H205" s="91">
        <v>1</v>
      </c>
    </row>
    <row r="206" spans="1:8" ht="15.95" customHeight="1" x14ac:dyDescent="0.3">
      <c r="A206" s="91">
        <f t="shared" si="9"/>
        <v>10636</v>
      </c>
      <c r="B206" s="9" t="s">
        <v>1003</v>
      </c>
      <c r="C206" s="91" t="s">
        <v>1004</v>
      </c>
      <c r="D206" s="91"/>
      <c r="E206" s="16" t="s">
        <v>437</v>
      </c>
      <c r="F206" s="16">
        <v>3</v>
      </c>
      <c r="G206" s="16">
        <v>2</v>
      </c>
      <c r="H206" s="91">
        <v>1</v>
      </c>
    </row>
    <row r="207" spans="1:8" ht="15.95" customHeight="1" x14ac:dyDescent="0.3">
      <c r="A207" s="91">
        <f t="shared" si="9"/>
        <v>10638</v>
      </c>
      <c r="B207" s="9" t="s">
        <v>1005</v>
      </c>
      <c r="C207" s="91"/>
      <c r="D207" s="91"/>
      <c r="E207" s="16" t="s">
        <v>437</v>
      </c>
      <c r="F207" s="16">
        <v>3</v>
      </c>
      <c r="G207" s="16">
        <v>2</v>
      </c>
      <c r="H207" s="91">
        <v>1</v>
      </c>
    </row>
    <row r="208" spans="1:8" ht="15.95" customHeight="1" x14ac:dyDescent="0.3">
      <c r="A208" s="91">
        <f t="shared" si="9"/>
        <v>10640</v>
      </c>
      <c r="B208" s="9" t="s">
        <v>1006</v>
      </c>
      <c r="C208" s="91"/>
      <c r="D208" s="91"/>
      <c r="E208" s="16" t="s">
        <v>437</v>
      </c>
      <c r="F208" s="16">
        <v>3</v>
      </c>
      <c r="G208" s="16">
        <v>2</v>
      </c>
      <c r="H208" s="91">
        <v>1</v>
      </c>
    </row>
    <row r="209" spans="1:8" ht="27" x14ac:dyDescent="0.3">
      <c r="A209" s="91">
        <f t="shared" si="9"/>
        <v>10642</v>
      </c>
      <c r="B209" s="9" t="s">
        <v>1007</v>
      </c>
      <c r="C209" s="91" t="s">
        <v>1008</v>
      </c>
      <c r="D209" s="91"/>
      <c r="E209" s="16" t="s">
        <v>437</v>
      </c>
      <c r="F209" s="16">
        <v>3</v>
      </c>
      <c r="G209" s="16">
        <v>2</v>
      </c>
      <c r="H209" s="91">
        <v>1</v>
      </c>
    </row>
    <row r="210" spans="1:8" ht="15.95" customHeight="1" x14ac:dyDescent="0.3">
      <c r="A210" s="91">
        <f t="shared" si="9"/>
        <v>10644</v>
      </c>
      <c r="B210" s="9" t="s">
        <v>1009</v>
      </c>
      <c r="C210" s="91"/>
      <c r="D210" s="91"/>
      <c r="E210" s="16" t="s">
        <v>437</v>
      </c>
      <c r="F210" s="16">
        <v>3</v>
      </c>
      <c r="G210" s="16">
        <v>2</v>
      </c>
      <c r="H210" s="91">
        <v>1</v>
      </c>
    </row>
    <row r="211" spans="1:8" ht="15.95" customHeight="1" x14ac:dyDescent="0.3">
      <c r="A211" s="91">
        <f t="shared" si="9"/>
        <v>10646</v>
      </c>
      <c r="B211" s="9" t="s">
        <v>1010</v>
      </c>
      <c r="C211" s="91"/>
      <c r="D211" s="91"/>
      <c r="E211" s="16" t="s">
        <v>437</v>
      </c>
      <c r="F211" s="16">
        <v>3</v>
      </c>
      <c r="G211" s="16">
        <v>2</v>
      </c>
      <c r="H211" s="91">
        <v>1</v>
      </c>
    </row>
    <row r="212" spans="1:8" ht="40.5" x14ac:dyDescent="0.3">
      <c r="A212" s="91">
        <f t="shared" si="9"/>
        <v>10648</v>
      </c>
      <c r="B212" s="9" t="s">
        <v>1011</v>
      </c>
      <c r="C212" s="91" t="s">
        <v>1012</v>
      </c>
      <c r="D212" s="91"/>
      <c r="E212" s="16" t="s">
        <v>437</v>
      </c>
      <c r="F212" s="16">
        <v>3</v>
      </c>
      <c r="G212" s="16">
        <v>2</v>
      </c>
      <c r="H212" s="91">
        <v>1</v>
      </c>
    </row>
    <row r="213" spans="1:8" ht="15.95" customHeight="1" x14ac:dyDescent="0.3">
      <c r="A213" s="91">
        <f t="shared" si="9"/>
        <v>10650</v>
      </c>
      <c r="B213" s="9" t="s">
        <v>1013</v>
      </c>
      <c r="C213" s="91"/>
      <c r="D213" s="91"/>
      <c r="E213" s="16" t="s">
        <v>437</v>
      </c>
      <c r="F213" s="16">
        <v>3</v>
      </c>
      <c r="G213" s="16">
        <v>2</v>
      </c>
      <c r="H213" s="91">
        <v>1</v>
      </c>
    </row>
    <row r="214" spans="1:8" ht="15.95" customHeight="1" x14ac:dyDescent="0.3">
      <c r="A214" s="91">
        <f t="shared" si="9"/>
        <v>10652</v>
      </c>
      <c r="B214" s="9" t="s">
        <v>1014</v>
      </c>
      <c r="C214" s="91"/>
      <c r="D214" s="91"/>
      <c r="E214" s="16" t="s">
        <v>437</v>
      </c>
      <c r="F214" s="16">
        <v>3</v>
      </c>
      <c r="G214" s="16">
        <v>2</v>
      </c>
      <c r="H214" s="91">
        <v>1</v>
      </c>
    </row>
    <row r="215" spans="1:8" ht="15.95" customHeight="1" x14ac:dyDescent="0.3">
      <c r="A215" s="91">
        <f t="shared" si="9"/>
        <v>10654</v>
      </c>
      <c r="B215" s="9"/>
      <c r="C215" s="91"/>
      <c r="D215" s="91"/>
      <c r="E215" s="16" t="s">
        <v>437</v>
      </c>
      <c r="F215" s="16">
        <v>3</v>
      </c>
      <c r="G215" s="16">
        <v>2</v>
      </c>
      <c r="H215" s="91">
        <v>23</v>
      </c>
    </row>
    <row r="216" spans="1:8" ht="15.95" customHeight="1" x14ac:dyDescent="0.3">
      <c r="A216" s="122" t="s">
        <v>697</v>
      </c>
      <c r="B216" s="122"/>
      <c r="C216" s="122"/>
      <c r="D216" s="122"/>
      <c r="E216" s="122"/>
      <c r="F216" s="122"/>
      <c r="G216" s="122"/>
      <c r="H216" s="122"/>
    </row>
    <row r="217" spans="1:8" ht="15.95" customHeight="1" x14ac:dyDescent="0.3">
      <c r="A217" s="91">
        <f>A215+(G215*H215)</f>
        <v>10700</v>
      </c>
      <c r="B217" s="9" t="s">
        <v>762</v>
      </c>
      <c r="C217" s="91"/>
      <c r="D217" s="91"/>
      <c r="E217" s="16" t="s">
        <v>91</v>
      </c>
      <c r="F217" s="16">
        <v>3</v>
      </c>
      <c r="G217" s="16">
        <f>IF(OR(D217="U16", D217="S16"),1,IF(D217="TS",6,2))</f>
        <v>2</v>
      </c>
      <c r="H217" s="91">
        <v>1</v>
      </c>
    </row>
    <row r="218" spans="1:8" ht="15.95" customHeight="1" x14ac:dyDescent="0.3">
      <c r="A218" s="91">
        <f t="shared" ref="A218:A235" si="10">A217+(G217*H217)</f>
        <v>10702</v>
      </c>
      <c r="B218" s="9" t="s">
        <v>763</v>
      </c>
      <c r="C218" s="91"/>
      <c r="D218" s="91"/>
      <c r="E218" s="16" t="s">
        <v>91</v>
      </c>
      <c r="F218" s="16">
        <v>3</v>
      </c>
      <c r="G218" s="16">
        <f>IF(OR(D218="U16", D218="S16"),1,IF(D218="TS",6,2))</f>
        <v>2</v>
      </c>
      <c r="H218" s="91">
        <v>1</v>
      </c>
    </row>
    <row r="219" spans="1:8" ht="405" x14ac:dyDescent="0.3">
      <c r="A219" s="91">
        <f t="shared" si="10"/>
        <v>10704</v>
      </c>
      <c r="B219" s="9" t="s">
        <v>764</v>
      </c>
      <c r="C219" s="35" t="s">
        <v>1110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91">
        <v>1</v>
      </c>
    </row>
    <row r="220" spans="1:8" ht="15.95" customHeight="1" x14ac:dyDescent="0.3">
      <c r="A220" s="91">
        <f t="shared" si="10"/>
        <v>10706</v>
      </c>
      <c r="B220" s="9" t="s">
        <v>765</v>
      </c>
      <c r="C220" s="91">
        <v>0</v>
      </c>
      <c r="D220" s="91"/>
      <c r="E220" s="16" t="s">
        <v>123</v>
      </c>
      <c r="F220" s="16">
        <v>3</v>
      </c>
      <c r="G220" s="16">
        <v>1</v>
      </c>
      <c r="H220" s="91">
        <v>1</v>
      </c>
    </row>
    <row r="221" spans="1:8" ht="15.95" customHeight="1" x14ac:dyDescent="0.3">
      <c r="A221" s="91">
        <f t="shared" si="10"/>
        <v>10707</v>
      </c>
      <c r="B221" s="9" t="s">
        <v>766</v>
      </c>
      <c r="C221" s="91">
        <v>1</v>
      </c>
      <c r="D221" s="91"/>
      <c r="E221" s="16" t="s">
        <v>123</v>
      </c>
      <c r="F221" s="16">
        <v>3</v>
      </c>
      <c r="G221" s="16">
        <v>1</v>
      </c>
      <c r="H221" s="91">
        <v>1</v>
      </c>
    </row>
    <row r="222" spans="1:8" ht="15.95" customHeight="1" x14ac:dyDescent="0.3">
      <c r="A222" s="91">
        <f t="shared" si="10"/>
        <v>10708</v>
      </c>
      <c r="B222" s="9" t="s">
        <v>767</v>
      </c>
      <c r="C222" s="123">
        <v>2</v>
      </c>
      <c r="D222" s="91"/>
      <c r="E222" s="16" t="s">
        <v>123</v>
      </c>
      <c r="F222" s="16">
        <v>3</v>
      </c>
      <c r="G222" s="16">
        <v>1</v>
      </c>
      <c r="H222" s="91">
        <v>1</v>
      </c>
    </row>
    <row r="223" spans="1:8" ht="15.95" customHeight="1" x14ac:dyDescent="0.3">
      <c r="A223" s="91">
        <f t="shared" si="10"/>
        <v>10709</v>
      </c>
      <c r="B223" s="9" t="s">
        <v>768</v>
      </c>
      <c r="C223" s="123"/>
      <c r="D223" s="91"/>
      <c r="E223" s="16" t="s">
        <v>123</v>
      </c>
      <c r="F223" s="16">
        <v>3</v>
      </c>
      <c r="G223" s="16">
        <v>1</v>
      </c>
      <c r="H223" s="91">
        <v>1</v>
      </c>
    </row>
    <row r="224" spans="1:8" ht="15.95" customHeight="1" x14ac:dyDescent="0.3">
      <c r="A224" s="91">
        <f t="shared" si="10"/>
        <v>10710</v>
      </c>
      <c r="B224" s="9" t="s">
        <v>769</v>
      </c>
      <c r="C224" s="123"/>
      <c r="D224" s="91"/>
      <c r="E224" s="16" t="s">
        <v>123</v>
      </c>
      <c r="F224" s="16">
        <v>3</v>
      </c>
      <c r="G224" s="16">
        <v>1</v>
      </c>
      <c r="H224" s="91">
        <v>1</v>
      </c>
    </row>
    <row r="225" spans="1:8" ht="15.95" customHeight="1" x14ac:dyDescent="0.3">
      <c r="A225" s="91">
        <f t="shared" si="10"/>
        <v>10711</v>
      </c>
      <c r="B225" s="9" t="s">
        <v>770</v>
      </c>
      <c r="C225" s="123">
        <v>3</v>
      </c>
      <c r="D225" s="91"/>
      <c r="E225" s="16" t="s">
        <v>123</v>
      </c>
      <c r="F225" s="16">
        <v>3</v>
      </c>
      <c r="G225" s="16">
        <v>1</v>
      </c>
      <c r="H225" s="91">
        <v>1</v>
      </c>
    </row>
    <row r="226" spans="1:8" ht="15.95" customHeight="1" x14ac:dyDescent="0.3">
      <c r="A226" s="91">
        <f t="shared" si="10"/>
        <v>10712</v>
      </c>
      <c r="B226" s="9" t="s">
        <v>771</v>
      </c>
      <c r="C226" s="123"/>
      <c r="D226" s="91"/>
      <c r="E226" s="16" t="s">
        <v>123</v>
      </c>
      <c r="F226" s="16">
        <v>3</v>
      </c>
      <c r="G226" s="16">
        <v>1</v>
      </c>
      <c r="H226" s="91">
        <v>1</v>
      </c>
    </row>
    <row r="227" spans="1:8" ht="15.95" customHeight="1" x14ac:dyDescent="0.3">
      <c r="A227" s="91">
        <f t="shared" si="10"/>
        <v>10713</v>
      </c>
      <c r="B227" s="9" t="s">
        <v>772</v>
      </c>
      <c r="C227" s="123"/>
      <c r="D227" s="91"/>
      <c r="E227" s="16" t="s">
        <v>123</v>
      </c>
      <c r="F227" s="16">
        <v>3</v>
      </c>
      <c r="G227" s="16">
        <v>1</v>
      </c>
      <c r="H227" s="91">
        <v>1</v>
      </c>
    </row>
    <row r="228" spans="1:8" ht="15.95" customHeight="1" x14ac:dyDescent="0.3">
      <c r="A228" s="91">
        <f t="shared" si="10"/>
        <v>10714</v>
      </c>
      <c r="B228" s="9" t="s">
        <v>773</v>
      </c>
      <c r="C228" s="91">
        <v>4</v>
      </c>
      <c r="D228" s="91"/>
      <c r="E228" s="16" t="s">
        <v>123</v>
      </c>
      <c r="F228" s="16">
        <v>3</v>
      </c>
      <c r="G228" s="16">
        <v>1</v>
      </c>
      <c r="H228" s="91">
        <v>1</v>
      </c>
    </row>
    <row r="229" spans="1:8" ht="15.95" customHeight="1" x14ac:dyDescent="0.3">
      <c r="A229" s="16">
        <f t="shared" si="10"/>
        <v>10715</v>
      </c>
      <c r="B229" s="9" t="s">
        <v>774</v>
      </c>
      <c r="C229" s="123">
        <v>5</v>
      </c>
      <c r="D229" s="91"/>
      <c r="E229" s="16" t="s">
        <v>123</v>
      </c>
      <c r="F229" s="16">
        <v>3</v>
      </c>
      <c r="G229" s="16">
        <v>1</v>
      </c>
      <c r="H229" s="91">
        <v>1</v>
      </c>
    </row>
    <row r="230" spans="1:8" ht="15.95" customHeight="1" x14ac:dyDescent="0.3">
      <c r="A230" s="16">
        <f t="shared" si="10"/>
        <v>10716</v>
      </c>
      <c r="B230" s="9" t="s">
        <v>775</v>
      </c>
      <c r="C230" s="123"/>
      <c r="D230" s="91"/>
      <c r="E230" s="16" t="s">
        <v>123</v>
      </c>
      <c r="F230" s="16">
        <v>3</v>
      </c>
      <c r="G230" s="16">
        <v>1</v>
      </c>
      <c r="H230" s="91">
        <v>1</v>
      </c>
    </row>
    <row r="231" spans="1:8" ht="15.95" customHeight="1" x14ac:dyDescent="0.3">
      <c r="A231" s="16">
        <f t="shared" si="10"/>
        <v>10717</v>
      </c>
      <c r="B231" s="9" t="s">
        <v>776</v>
      </c>
      <c r="C231" s="123"/>
      <c r="D231" s="91"/>
      <c r="E231" s="16" t="s">
        <v>123</v>
      </c>
      <c r="F231" s="16">
        <v>3</v>
      </c>
      <c r="G231" s="16">
        <v>1</v>
      </c>
      <c r="H231" s="91">
        <v>1</v>
      </c>
    </row>
    <row r="232" spans="1:8" ht="15.95" customHeight="1" x14ac:dyDescent="0.3">
      <c r="A232" s="16">
        <f t="shared" si="10"/>
        <v>10718</v>
      </c>
      <c r="B232" s="9" t="s">
        <v>777</v>
      </c>
      <c r="C232" s="123">
        <v>6</v>
      </c>
      <c r="D232" s="91"/>
      <c r="E232" s="16" t="s">
        <v>123</v>
      </c>
      <c r="F232" s="16">
        <v>3</v>
      </c>
      <c r="G232" s="16">
        <v>1</v>
      </c>
      <c r="H232" s="91">
        <v>1</v>
      </c>
    </row>
    <row r="233" spans="1:8" ht="15.95" customHeight="1" x14ac:dyDescent="0.3">
      <c r="A233" s="16">
        <f t="shared" si="10"/>
        <v>10719</v>
      </c>
      <c r="B233" s="9" t="s">
        <v>778</v>
      </c>
      <c r="C233" s="123"/>
      <c r="D233" s="91"/>
      <c r="E233" s="16" t="s">
        <v>123</v>
      </c>
      <c r="F233" s="16">
        <v>3</v>
      </c>
      <c r="G233" s="16">
        <v>1</v>
      </c>
      <c r="H233" s="91">
        <v>1</v>
      </c>
    </row>
    <row r="234" spans="1:8" ht="15.95" customHeight="1" x14ac:dyDescent="0.3">
      <c r="A234" s="16">
        <f t="shared" si="10"/>
        <v>10720</v>
      </c>
      <c r="B234" s="9" t="s">
        <v>779</v>
      </c>
      <c r="C234" s="123"/>
      <c r="D234" s="91"/>
      <c r="E234" s="16" t="s">
        <v>123</v>
      </c>
      <c r="F234" s="16">
        <v>3</v>
      </c>
      <c r="G234" s="16">
        <v>1</v>
      </c>
      <c r="H234" s="91">
        <v>1</v>
      </c>
    </row>
    <row r="235" spans="1:8" ht="15.95" customHeight="1" x14ac:dyDescent="0.3">
      <c r="A235" s="91">
        <f t="shared" si="10"/>
        <v>10721</v>
      </c>
      <c r="B235" s="12" t="s">
        <v>780</v>
      </c>
      <c r="C235" s="139">
        <v>7</v>
      </c>
      <c r="D235" s="97"/>
      <c r="E235" s="97" t="s">
        <v>123</v>
      </c>
      <c r="F235" s="16">
        <v>3</v>
      </c>
      <c r="G235" s="16">
        <v>1</v>
      </c>
      <c r="H235" s="97">
        <v>1</v>
      </c>
    </row>
    <row r="236" spans="1:8" ht="15.95" customHeight="1" x14ac:dyDescent="0.3">
      <c r="A236" s="91">
        <f>A235+(G235*H235)</f>
        <v>10722</v>
      </c>
      <c r="B236" s="12" t="s">
        <v>781</v>
      </c>
      <c r="C236" s="139"/>
      <c r="D236" s="97"/>
      <c r="E236" s="97" t="s">
        <v>123</v>
      </c>
      <c r="F236" s="16">
        <v>3</v>
      </c>
      <c r="G236" s="16">
        <v>1</v>
      </c>
      <c r="H236" s="97">
        <v>1</v>
      </c>
    </row>
    <row r="237" spans="1:8" ht="15.95" customHeight="1" x14ac:dyDescent="0.3">
      <c r="A237" s="91">
        <f>A236+(G236*H236)</f>
        <v>10723</v>
      </c>
      <c r="B237" s="12" t="s">
        <v>782</v>
      </c>
      <c r="C237" s="139"/>
      <c r="D237" s="97"/>
      <c r="E237" s="97" t="s">
        <v>123</v>
      </c>
      <c r="F237" s="16">
        <v>3</v>
      </c>
      <c r="G237" s="16">
        <v>1</v>
      </c>
      <c r="H237" s="97">
        <v>1</v>
      </c>
    </row>
    <row r="238" spans="1:8" ht="15.95" customHeight="1" x14ac:dyDescent="0.3">
      <c r="A238" s="91">
        <f>A237+(G237*H237)</f>
        <v>10724</v>
      </c>
      <c r="B238" s="12" t="s">
        <v>783</v>
      </c>
      <c r="C238" s="139">
        <v>8</v>
      </c>
      <c r="D238" s="97"/>
      <c r="E238" s="97" t="s">
        <v>123</v>
      </c>
      <c r="F238" s="16">
        <v>3</v>
      </c>
      <c r="G238" s="16">
        <v>1</v>
      </c>
      <c r="H238" s="97">
        <v>1</v>
      </c>
    </row>
    <row r="239" spans="1:8" ht="15.95" customHeight="1" x14ac:dyDescent="0.3">
      <c r="A239" s="91">
        <f>A238+(G238*H238)</f>
        <v>10725</v>
      </c>
      <c r="B239" s="12" t="s">
        <v>784</v>
      </c>
      <c r="C239" s="139"/>
      <c r="D239" s="97"/>
      <c r="E239" s="97" t="s">
        <v>123</v>
      </c>
      <c r="F239" s="16">
        <v>3</v>
      </c>
      <c r="G239" s="16">
        <v>1</v>
      </c>
      <c r="H239" s="97">
        <v>1</v>
      </c>
    </row>
    <row r="240" spans="1:8" ht="15.95" customHeight="1" x14ac:dyDescent="0.3">
      <c r="A240" s="91">
        <f>A239+(G239*H239)</f>
        <v>10726</v>
      </c>
      <c r="B240" s="12" t="s">
        <v>785</v>
      </c>
      <c r="C240" s="139"/>
      <c r="D240" s="97"/>
      <c r="E240" s="97" t="s">
        <v>123</v>
      </c>
      <c r="F240" s="16">
        <v>3</v>
      </c>
      <c r="G240" s="16">
        <v>1</v>
      </c>
      <c r="H240" s="97">
        <v>1</v>
      </c>
    </row>
    <row r="241" spans="1:8" ht="15.95" customHeight="1" x14ac:dyDescent="0.3">
      <c r="A241" s="91">
        <f t="shared" ref="A241:A263" si="11">A240+(G240*H240)</f>
        <v>10727</v>
      </c>
      <c r="B241" s="12" t="s">
        <v>786</v>
      </c>
      <c r="C241" s="139">
        <v>9</v>
      </c>
      <c r="D241" s="97"/>
      <c r="E241" s="97" t="s">
        <v>123</v>
      </c>
      <c r="F241" s="16">
        <v>3</v>
      </c>
      <c r="G241" s="16">
        <v>1</v>
      </c>
      <c r="H241" s="97">
        <v>1</v>
      </c>
    </row>
    <row r="242" spans="1:8" ht="15.95" customHeight="1" x14ac:dyDescent="0.3">
      <c r="A242" s="91">
        <f t="shared" si="11"/>
        <v>10728</v>
      </c>
      <c r="B242" s="12" t="s">
        <v>787</v>
      </c>
      <c r="C242" s="139"/>
      <c r="D242" s="97"/>
      <c r="E242" s="97" t="s">
        <v>123</v>
      </c>
      <c r="F242" s="16">
        <v>3</v>
      </c>
      <c r="G242" s="16">
        <v>1</v>
      </c>
      <c r="H242" s="97">
        <v>1</v>
      </c>
    </row>
    <row r="243" spans="1:8" ht="15.95" customHeight="1" x14ac:dyDescent="0.3">
      <c r="A243" s="91">
        <f t="shared" si="11"/>
        <v>10729</v>
      </c>
      <c r="B243" s="12" t="s">
        <v>788</v>
      </c>
      <c r="C243" s="139"/>
      <c r="D243" s="97"/>
      <c r="E243" s="97" t="s">
        <v>123</v>
      </c>
      <c r="F243" s="16">
        <v>3</v>
      </c>
      <c r="G243" s="16">
        <v>1</v>
      </c>
      <c r="H243" s="97">
        <v>1</v>
      </c>
    </row>
    <row r="244" spans="1:8" ht="15.95" customHeight="1" x14ac:dyDescent="0.3">
      <c r="A244" s="91">
        <f t="shared" si="11"/>
        <v>10730</v>
      </c>
      <c r="B244" s="9" t="s">
        <v>789</v>
      </c>
      <c r="C244" s="123"/>
      <c r="D244" s="91"/>
      <c r="E244" s="16" t="s">
        <v>123</v>
      </c>
      <c r="F244" s="16">
        <v>3</v>
      </c>
      <c r="G244" s="16">
        <v>1</v>
      </c>
      <c r="H244" s="91">
        <v>1</v>
      </c>
    </row>
    <row r="245" spans="1:8" ht="15.95" customHeight="1" x14ac:dyDescent="0.3">
      <c r="A245" s="91">
        <f t="shared" si="11"/>
        <v>10731</v>
      </c>
      <c r="B245" s="9" t="s">
        <v>790</v>
      </c>
      <c r="C245" s="123"/>
      <c r="D245" s="91"/>
      <c r="E245" s="16" t="s">
        <v>123</v>
      </c>
      <c r="F245" s="16">
        <v>3</v>
      </c>
      <c r="G245" s="16">
        <v>1</v>
      </c>
      <c r="H245" s="91">
        <v>1</v>
      </c>
    </row>
    <row r="246" spans="1:8" ht="15.95" customHeight="1" x14ac:dyDescent="0.3">
      <c r="A246" s="91">
        <f t="shared" si="11"/>
        <v>10732</v>
      </c>
      <c r="B246" s="9" t="s">
        <v>791</v>
      </c>
      <c r="C246" s="123"/>
      <c r="D246" s="91"/>
      <c r="E246" s="16" t="s">
        <v>123</v>
      </c>
      <c r="F246" s="16">
        <v>3</v>
      </c>
      <c r="G246" s="16">
        <v>1</v>
      </c>
      <c r="H246" s="91">
        <v>1</v>
      </c>
    </row>
    <row r="247" spans="1:8" ht="15.95" customHeight="1" x14ac:dyDescent="0.3">
      <c r="A247" s="91">
        <f t="shared" si="11"/>
        <v>10733</v>
      </c>
      <c r="B247" s="9" t="s">
        <v>792</v>
      </c>
      <c r="C247" s="123"/>
      <c r="D247" s="91"/>
      <c r="E247" s="16" t="s">
        <v>123</v>
      </c>
      <c r="F247" s="16">
        <v>3</v>
      </c>
      <c r="G247" s="16">
        <v>1</v>
      </c>
      <c r="H247" s="91">
        <v>1</v>
      </c>
    </row>
    <row r="248" spans="1:8" ht="15.95" customHeight="1" x14ac:dyDescent="0.3">
      <c r="A248" s="91">
        <f t="shared" si="11"/>
        <v>10734</v>
      </c>
      <c r="B248" s="9" t="s">
        <v>793</v>
      </c>
      <c r="C248" s="123"/>
      <c r="D248" s="91"/>
      <c r="E248" s="16" t="s">
        <v>123</v>
      </c>
      <c r="F248" s="16">
        <v>3</v>
      </c>
      <c r="G248" s="16">
        <v>1</v>
      </c>
      <c r="H248" s="91">
        <v>1</v>
      </c>
    </row>
    <row r="249" spans="1:8" ht="15.95" customHeight="1" x14ac:dyDescent="0.3">
      <c r="A249" s="91">
        <f t="shared" si="11"/>
        <v>10735</v>
      </c>
      <c r="B249" s="9" t="s">
        <v>794</v>
      </c>
      <c r="C249" s="123"/>
      <c r="D249" s="91"/>
      <c r="E249" s="16" t="s">
        <v>123</v>
      </c>
      <c r="F249" s="16">
        <v>3</v>
      </c>
      <c r="G249" s="16">
        <v>1</v>
      </c>
      <c r="H249" s="91">
        <v>1</v>
      </c>
    </row>
    <row r="250" spans="1:8" ht="15.95" customHeight="1" x14ac:dyDescent="0.3">
      <c r="A250" s="91">
        <f t="shared" si="11"/>
        <v>10736</v>
      </c>
      <c r="B250" s="9" t="s">
        <v>795</v>
      </c>
      <c r="C250" s="123"/>
      <c r="D250" s="91"/>
      <c r="E250" s="16" t="s">
        <v>123</v>
      </c>
      <c r="F250" s="16">
        <v>3</v>
      </c>
      <c r="G250" s="16">
        <v>1</v>
      </c>
      <c r="H250" s="91">
        <v>1</v>
      </c>
    </row>
    <row r="251" spans="1:8" ht="15.95" customHeight="1" x14ac:dyDescent="0.3">
      <c r="A251" s="91">
        <f t="shared" si="11"/>
        <v>10737</v>
      </c>
      <c r="B251" s="9" t="s">
        <v>796</v>
      </c>
      <c r="C251" s="123"/>
      <c r="D251" s="91"/>
      <c r="E251" s="16" t="s">
        <v>123</v>
      </c>
      <c r="F251" s="16">
        <v>3</v>
      </c>
      <c r="G251" s="16">
        <v>1</v>
      </c>
      <c r="H251" s="91">
        <v>1</v>
      </c>
    </row>
    <row r="252" spans="1:8" ht="15.95" customHeight="1" x14ac:dyDescent="0.3">
      <c r="A252" s="91">
        <f t="shared" si="11"/>
        <v>10738</v>
      </c>
      <c r="B252" s="9" t="s">
        <v>797</v>
      </c>
      <c r="C252" s="123"/>
      <c r="D252" s="91"/>
      <c r="E252" s="16" t="s">
        <v>123</v>
      </c>
      <c r="F252" s="16">
        <v>3</v>
      </c>
      <c r="G252" s="16">
        <v>1</v>
      </c>
      <c r="H252" s="91">
        <v>1</v>
      </c>
    </row>
    <row r="253" spans="1:8" ht="15.95" customHeight="1" x14ac:dyDescent="0.3">
      <c r="A253" s="91">
        <f t="shared" si="11"/>
        <v>10739</v>
      </c>
      <c r="B253" s="9" t="s">
        <v>798</v>
      </c>
      <c r="C253" s="123"/>
      <c r="D253" s="91"/>
      <c r="E253" s="16" t="s">
        <v>123</v>
      </c>
      <c r="F253" s="16">
        <v>3</v>
      </c>
      <c r="G253" s="16">
        <v>1</v>
      </c>
      <c r="H253" s="91">
        <v>1</v>
      </c>
    </row>
    <row r="254" spans="1:8" ht="15.95" customHeight="1" x14ac:dyDescent="0.3">
      <c r="A254" s="91">
        <f t="shared" si="11"/>
        <v>10740</v>
      </c>
      <c r="B254" s="9" t="s">
        <v>799</v>
      </c>
      <c r="C254" s="123"/>
      <c r="D254" s="91"/>
      <c r="E254" s="16" t="s">
        <v>123</v>
      </c>
      <c r="F254" s="16">
        <v>3</v>
      </c>
      <c r="G254" s="16">
        <v>1</v>
      </c>
      <c r="H254" s="91">
        <v>1</v>
      </c>
    </row>
    <row r="255" spans="1:8" ht="15.95" customHeight="1" x14ac:dyDescent="0.3">
      <c r="A255" s="91">
        <f t="shared" si="11"/>
        <v>10741</v>
      </c>
      <c r="B255" s="9" t="s">
        <v>800</v>
      </c>
      <c r="C255" s="123"/>
      <c r="D255" s="91"/>
      <c r="E255" s="16" t="s">
        <v>123</v>
      </c>
      <c r="F255" s="16">
        <v>3</v>
      </c>
      <c r="G255" s="16">
        <v>1</v>
      </c>
      <c r="H255" s="91">
        <v>1</v>
      </c>
    </row>
    <row r="256" spans="1:8" ht="15.95" customHeight="1" x14ac:dyDescent="0.3">
      <c r="A256" s="91">
        <f t="shared" si="11"/>
        <v>10742</v>
      </c>
      <c r="B256" s="9" t="s">
        <v>801</v>
      </c>
      <c r="C256" s="123"/>
      <c r="D256" s="91"/>
      <c r="E256" s="16" t="s">
        <v>123</v>
      </c>
      <c r="F256" s="16">
        <v>3</v>
      </c>
      <c r="G256" s="16">
        <v>1</v>
      </c>
      <c r="H256" s="91">
        <v>1</v>
      </c>
    </row>
    <row r="257" spans="1:8" ht="15.95" customHeight="1" x14ac:dyDescent="0.3">
      <c r="A257" s="91">
        <f t="shared" si="11"/>
        <v>10743</v>
      </c>
      <c r="B257" s="9" t="s">
        <v>802</v>
      </c>
      <c r="C257" s="123"/>
      <c r="D257" s="91"/>
      <c r="E257" s="16" t="s">
        <v>123</v>
      </c>
      <c r="F257" s="16">
        <v>3</v>
      </c>
      <c r="G257" s="16">
        <v>1</v>
      </c>
      <c r="H257" s="91">
        <v>1</v>
      </c>
    </row>
    <row r="258" spans="1:8" ht="15.95" customHeight="1" x14ac:dyDescent="0.3">
      <c r="A258" s="91">
        <f t="shared" si="11"/>
        <v>10744</v>
      </c>
      <c r="B258" s="9" t="s">
        <v>803</v>
      </c>
      <c r="C258" s="123"/>
      <c r="D258" s="91"/>
      <c r="E258" s="16" t="s">
        <v>123</v>
      </c>
      <c r="F258" s="16">
        <v>3</v>
      </c>
      <c r="G258" s="16">
        <v>1</v>
      </c>
      <c r="H258" s="91">
        <v>1</v>
      </c>
    </row>
    <row r="259" spans="1:8" ht="15.95" customHeight="1" x14ac:dyDescent="0.3">
      <c r="A259" s="91">
        <f t="shared" si="11"/>
        <v>10745</v>
      </c>
      <c r="B259" s="9" t="s">
        <v>804</v>
      </c>
      <c r="C259" s="123"/>
      <c r="D259" s="91"/>
      <c r="E259" s="16" t="s">
        <v>123</v>
      </c>
      <c r="F259" s="16">
        <v>3</v>
      </c>
      <c r="G259" s="16">
        <v>1</v>
      </c>
      <c r="H259" s="91">
        <v>1</v>
      </c>
    </row>
    <row r="260" spans="1:8" ht="15.95" customHeight="1" x14ac:dyDescent="0.3">
      <c r="A260" s="91">
        <f t="shared" si="11"/>
        <v>10746</v>
      </c>
      <c r="B260" s="12" t="s">
        <v>805</v>
      </c>
      <c r="C260" s="123"/>
      <c r="D260" s="91"/>
      <c r="E260" s="97" t="s">
        <v>123</v>
      </c>
      <c r="F260" s="16">
        <v>3</v>
      </c>
      <c r="G260" s="16">
        <v>1</v>
      </c>
      <c r="H260" s="97">
        <v>1</v>
      </c>
    </row>
    <row r="261" spans="1:8" ht="15.95" customHeight="1" x14ac:dyDescent="0.3">
      <c r="A261" s="91">
        <f t="shared" si="11"/>
        <v>10747</v>
      </c>
      <c r="B261" s="12" t="s">
        <v>806</v>
      </c>
      <c r="C261" s="123"/>
      <c r="D261" s="91"/>
      <c r="E261" s="97" t="s">
        <v>123</v>
      </c>
      <c r="F261" s="16">
        <v>3</v>
      </c>
      <c r="G261" s="16">
        <v>1</v>
      </c>
      <c r="H261" s="97">
        <v>1</v>
      </c>
    </row>
    <row r="262" spans="1:8" ht="15.95" customHeight="1" x14ac:dyDescent="0.3">
      <c r="A262" s="91">
        <f t="shared" si="11"/>
        <v>10748</v>
      </c>
      <c r="B262" s="12" t="s">
        <v>807</v>
      </c>
      <c r="C262" s="123"/>
      <c r="D262" s="91"/>
      <c r="E262" s="97" t="s">
        <v>123</v>
      </c>
      <c r="F262" s="16">
        <v>3</v>
      </c>
      <c r="G262" s="16">
        <v>1</v>
      </c>
      <c r="H262" s="97">
        <v>1</v>
      </c>
    </row>
    <row r="263" spans="1:8" ht="15.95" customHeight="1" x14ac:dyDescent="0.3">
      <c r="A263" s="91">
        <f t="shared" si="11"/>
        <v>10749</v>
      </c>
      <c r="B263" s="12" t="s">
        <v>808</v>
      </c>
      <c r="C263" s="123"/>
      <c r="D263" s="91"/>
      <c r="E263" s="97" t="s">
        <v>123</v>
      </c>
      <c r="F263" s="16">
        <v>3</v>
      </c>
      <c r="G263" s="16">
        <v>1</v>
      </c>
      <c r="H263" s="97">
        <v>1</v>
      </c>
    </row>
    <row r="264" spans="1:8" ht="15.95" customHeight="1" x14ac:dyDescent="0.3">
      <c r="A264" s="122" t="s">
        <v>143</v>
      </c>
      <c r="B264" s="122"/>
      <c r="C264" s="122"/>
      <c r="D264" s="122"/>
      <c r="E264" s="122"/>
      <c r="F264" s="122"/>
      <c r="G264" s="122"/>
      <c r="H264" s="122"/>
    </row>
    <row r="265" spans="1:8" ht="15.95" customHeight="1" x14ac:dyDescent="0.3">
      <c r="A265" s="91">
        <f>A263+G263*H263</f>
        <v>10750</v>
      </c>
      <c r="B265" s="9" t="s">
        <v>762</v>
      </c>
      <c r="C265" s="91"/>
      <c r="D265" s="91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91">
        <v>1</v>
      </c>
    </row>
    <row r="266" spans="1:8" ht="15.95" customHeight="1" x14ac:dyDescent="0.3">
      <c r="A266" s="91">
        <f t="shared" ref="A266:A312" si="13">A265+(G265*H265)</f>
        <v>10752</v>
      </c>
      <c r="B266" s="9" t="s">
        <v>763</v>
      </c>
      <c r="C266" s="91"/>
      <c r="D266" s="91"/>
      <c r="E266" s="16" t="s">
        <v>91</v>
      </c>
      <c r="F266" s="16">
        <v>3</v>
      </c>
      <c r="G266" s="16">
        <f t="shared" si="12"/>
        <v>2</v>
      </c>
      <c r="H266" s="91">
        <v>1</v>
      </c>
    </row>
    <row r="267" spans="1:8" ht="15.95" customHeight="1" x14ac:dyDescent="0.3">
      <c r="A267" s="91">
        <f t="shared" si="13"/>
        <v>10754</v>
      </c>
      <c r="B267" s="9" t="s">
        <v>809</v>
      </c>
      <c r="C267" s="91"/>
      <c r="D267" s="91"/>
      <c r="E267" s="16" t="s">
        <v>123</v>
      </c>
      <c r="F267" s="16">
        <v>3</v>
      </c>
      <c r="G267" s="16">
        <f t="shared" si="12"/>
        <v>1</v>
      </c>
      <c r="H267" s="91">
        <v>1</v>
      </c>
    </row>
    <row r="268" spans="1:8" ht="15.95" customHeight="1" x14ac:dyDescent="0.3">
      <c r="A268" s="91">
        <f t="shared" si="13"/>
        <v>10755</v>
      </c>
      <c r="B268" s="9" t="s">
        <v>810</v>
      </c>
      <c r="C268" s="91"/>
      <c r="D268" s="91"/>
      <c r="E268" s="16" t="s">
        <v>123</v>
      </c>
      <c r="F268" s="16">
        <v>3</v>
      </c>
      <c r="G268" s="16">
        <f t="shared" si="12"/>
        <v>1</v>
      </c>
      <c r="H268" s="91">
        <v>1</v>
      </c>
    </row>
    <row r="269" spans="1:8" ht="15.95" customHeight="1" x14ac:dyDescent="0.3">
      <c r="A269" s="91">
        <f t="shared" si="13"/>
        <v>10756</v>
      </c>
      <c r="B269" s="9" t="s">
        <v>765</v>
      </c>
      <c r="C269" s="91">
        <v>0</v>
      </c>
      <c r="D269" s="91"/>
      <c r="E269" s="16" t="s">
        <v>123</v>
      </c>
      <c r="F269" s="16">
        <v>3</v>
      </c>
      <c r="G269" s="16">
        <f t="shared" si="12"/>
        <v>1</v>
      </c>
      <c r="H269" s="91">
        <v>1</v>
      </c>
    </row>
    <row r="270" spans="1:8" ht="15.95" customHeight="1" x14ac:dyDescent="0.3">
      <c r="A270" s="91">
        <f t="shared" si="13"/>
        <v>10757</v>
      </c>
      <c r="B270" s="9" t="s">
        <v>766</v>
      </c>
      <c r="C270" s="91">
        <v>1</v>
      </c>
      <c r="D270" s="91"/>
      <c r="E270" s="16" t="s">
        <v>123</v>
      </c>
      <c r="F270" s="16">
        <v>3</v>
      </c>
      <c r="G270" s="16">
        <f t="shared" si="12"/>
        <v>1</v>
      </c>
      <c r="H270" s="91">
        <v>1</v>
      </c>
    </row>
    <row r="271" spans="1:8" ht="15.95" customHeight="1" x14ac:dyDescent="0.3">
      <c r="A271" s="91">
        <f t="shared" si="13"/>
        <v>10758</v>
      </c>
      <c r="B271" s="9" t="s">
        <v>767</v>
      </c>
      <c r="C271" s="123">
        <v>2</v>
      </c>
      <c r="D271" s="91"/>
      <c r="E271" s="16" t="s">
        <v>123</v>
      </c>
      <c r="F271" s="16">
        <v>3</v>
      </c>
      <c r="G271" s="16">
        <f t="shared" si="12"/>
        <v>1</v>
      </c>
      <c r="H271" s="91">
        <v>1</v>
      </c>
    </row>
    <row r="272" spans="1:8" ht="15.95" customHeight="1" x14ac:dyDescent="0.3">
      <c r="A272" s="91">
        <f t="shared" si="13"/>
        <v>10759</v>
      </c>
      <c r="B272" s="9" t="s">
        <v>768</v>
      </c>
      <c r="C272" s="123"/>
      <c r="D272" s="91"/>
      <c r="E272" s="16" t="s">
        <v>123</v>
      </c>
      <c r="F272" s="16">
        <v>3</v>
      </c>
      <c r="G272" s="16">
        <f t="shared" si="12"/>
        <v>1</v>
      </c>
      <c r="H272" s="91">
        <v>1</v>
      </c>
    </row>
    <row r="273" spans="1:8" ht="15.95" customHeight="1" x14ac:dyDescent="0.3">
      <c r="A273" s="91">
        <f t="shared" si="13"/>
        <v>10760</v>
      </c>
      <c r="B273" s="9" t="s">
        <v>769</v>
      </c>
      <c r="C273" s="123"/>
      <c r="D273" s="91"/>
      <c r="E273" s="16" t="s">
        <v>123</v>
      </c>
      <c r="F273" s="16">
        <v>3</v>
      </c>
      <c r="G273" s="16">
        <f t="shared" si="12"/>
        <v>1</v>
      </c>
      <c r="H273" s="91">
        <v>1</v>
      </c>
    </row>
    <row r="274" spans="1:8" ht="15.95" customHeight="1" x14ac:dyDescent="0.3">
      <c r="A274" s="91">
        <f t="shared" si="13"/>
        <v>10761</v>
      </c>
      <c r="B274" s="9" t="s">
        <v>770</v>
      </c>
      <c r="C274" s="123">
        <v>3</v>
      </c>
      <c r="D274" s="91"/>
      <c r="E274" s="16" t="s">
        <v>123</v>
      </c>
      <c r="F274" s="16">
        <v>3</v>
      </c>
      <c r="G274" s="16">
        <f t="shared" si="12"/>
        <v>1</v>
      </c>
      <c r="H274" s="91">
        <v>1</v>
      </c>
    </row>
    <row r="275" spans="1:8" ht="15.95" customHeight="1" x14ac:dyDescent="0.3">
      <c r="A275" s="91">
        <f t="shared" si="13"/>
        <v>10762</v>
      </c>
      <c r="B275" s="9" t="s">
        <v>771</v>
      </c>
      <c r="C275" s="123"/>
      <c r="D275" s="91"/>
      <c r="E275" s="16" t="s">
        <v>123</v>
      </c>
      <c r="F275" s="16">
        <v>3</v>
      </c>
      <c r="G275" s="16">
        <f t="shared" si="12"/>
        <v>1</v>
      </c>
      <c r="H275" s="91">
        <v>1</v>
      </c>
    </row>
    <row r="276" spans="1:8" ht="15.95" customHeight="1" x14ac:dyDescent="0.3">
      <c r="A276" s="91">
        <f t="shared" si="13"/>
        <v>10763</v>
      </c>
      <c r="B276" s="9" t="s">
        <v>772</v>
      </c>
      <c r="C276" s="123"/>
      <c r="D276" s="91"/>
      <c r="E276" s="16" t="s">
        <v>123</v>
      </c>
      <c r="F276" s="16">
        <v>3</v>
      </c>
      <c r="G276" s="16">
        <f t="shared" si="12"/>
        <v>1</v>
      </c>
      <c r="H276" s="91">
        <v>1</v>
      </c>
    </row>
    <row r="277" spans="1:8" ht="15.95" customHeight="1" x14ac:dyDescent="0.3">
      <c r="A277" s="91">
        <f t="shared" si="13"/>
        <v>10764</v>
      </c>
      <c r="B277" s="9" t="s">
        <v>773</v>
      </c>
      <c r="C277" s="91">
        <v>4</v>
      </c>
      <c r="D277" s="91"/>
      <c r="E277" s="16" t="s">
        <v>123</v>
      </c>
      <c r="F277" s="16">
        <v>3</v>
      </c>
      <c r="G277" s="16">
        <f t="shared" si="12"/>
        <v>1</v>
      </c>
      <c r="H277" s="91">
        <v>1</v>
      </c>
    </row>
    <row r="278" spans="1:8" ht="15.95" customHeight="1" x14ac:dyDescent="0.3">
      <c r="A278" s="91">
        <f t="shared" si="13"/>
        <v>10765</v>
      </c>
      <c r="B278" s="9" t="s">
        <v>774</v>
      </c>
      <c r="C278" s="123">
        <v>5</v>
      </c>
      <c r="D278" s="91"/>
      <c r="E278" s="16" t="s">
        <v>123</v>
      </c>
      <c r="F278" s="16">
        <v>3</v>
      </c>
      <c r="G278" s="16">
        <f t="shared" si="12"/>
        <v>1</v>
      </c>
      <c r="H278" s="91">
        <v>1</v>
      </c>
    </row>
    <row r="279" spans="1:8" ht="15.95" customHeight="1" x14ac:dyDescent="0.3">
      <c r="A279" s="91">
        <f t="shared" si="13"/>
        <v>10766</v>
      </c>
      <c r="B279" s="9" t="s">
        <v>775</v>
      </c>
      <c r="C279" s="123"/>
      <c r="D279" s="91"/>
      <c r="E279" s="16" t="s">
        <v>123</v>
      </c>
      <c r="F279" s="16">
        <v>3</v>
      </c>
      <c r="G279" s="16">
        <f t="shared" si="12"/>
        <v>1</v>
      </c>
      <c r="H279" s="91">
        <v>1</v>
      </c>
    </row>
    <row r="280" spans="1:8" ht="15.95" customHeight="1" x14ac:dyDescent="0.3">
      <c r="A280" s="91">
        <f t="shared" si="13"/>
        <v>10767</v>
      </c>
      <c r="B280" s="9" t="s">
        <v>776</v>
      </c>
      <c r="C280" s="123"/>
      <c r="D280" s="91"/>
      <c r="E280" s="16" t="s">
        <v>123</v>
      </c>
      <c r="F280" s="16">
        <v>3</v>
      </c>
      <c r="G280" s="16">
        <f t="shared" si="12"/>
        <v>1</v>
      </c>
      <c r="H280" s="91">
        <v>1</v>
      </c>
    </row>
    <row r="281" spans="1:8" ht="15.95" customHeight="1" x14ac:dyDescent="0.3">
      <c r="A281" s="91">
        <f t="shared" si="13"/>
        <v>10768</v>
      </c>
      <c r="B281" s="9" t="s">
        <v>777</v>
      </c>
      <c r="C281" s="123">
        <v>6</v>
      </c>
      <c r="D281" s="91"/>
      <c r="E281" s="16" t="s">
        <v>123</v>
      </c>
      <c r="F281" s="16">
        <v>3</v>
      </c>
      <c r="G281" s="16">
        <f t="shared" si="12"/>
        <v>1</v>
      </c>
      <c r="H281" s="91">
        <v>1</v>
      </c>
    </row>
    <row r="282" spans="1:8" ht="15.95" customHeight="1" x14ac:dyDescent="0.3">
      <c r="A282" s="91">
        <f t="shared" si="13"/>
        <v>10769</v>
      </c>
      <c r="B282" s="9" t="s">
        <v>778</v>
      </c>
      <c r="C282" s="123"/>
      <c r="D282" s="91"/>
      <c r="E282" s="16" t="s">
        <v>123</v>
      </c>
      <c r="F282" s="16">
        <v>3</v>
      </c>
      <c r="G282" s="16">
        <f t="shared" si="12"/>
        <v>1</v>
      </c>
      <c r="H282" s="91">
        <v>1</v>
      </c>
    </row>
    <row r="283" spans="1:8" ht="15.95" customHeight="1" x14ac:dyDescent="0.3">
      <c r="A283" s="91">
        <f t="shared" si="13"/>
        <v>10770</v>
      </c>
      <c r="B283" s="9" t="s">
        <v>779</v>
      </c>
      <c r="C283" s="123"/>
      <c r="D283" s="91"/>
      <c r="E283" s="16" t="s">
        <v>123</v>
      </c>
      <c r="F283" s="16">
        <v>3</v>
      </c>
      <c r="G283" s="16">
        <f t="shared" si="12"/>
        <v>1</v>
      </c>
      <c r="H283" s="91">
        <v>1</v>
      </c>
    </row>
    <row r="284" spans="1:8" ht="15.95" customHeight="1" x14ac:dyDescent="0.3">
      <c r="A284" s="91">
        <f t="shared" si="13"/>
        <v>10771</v>
      </c>
      <c r="B284" s="12" t="s">
        <v>780</v>
      </c>
      <c r="C284" s="139">
        <v>7</v>
      </c>
      <c r="D284" s="97"/>
      <c r="E284" s="97" t="s">
        <v>123</v>
      </c>
      <c r="F284" s="16">
        <v>3</v>
      </c>
      <c r="G284" s="97">
        <f t="shared" si="12"/>
        <v>1</v>
      </c>
      <c r="H284" s="97">
        <v>1</v>
      </c>
    </row>
    <row r="285" spans="1:8" ht="15.95" customHeight="1" x14ac:dyDescent="0.3">
      <c r="A285" s="91">
        <f t="shared" si="13"/>
        <v>10772</v>
      </c>
      <c r="B285" s="12" t="s">
        <v>781</v>
      </c>
      <c r="C285" s="139"/>
      <c r="D285" s="97"/>
      <c r="E285" s="97" t="s">
        <v>123</v>
      </c>
      <c r="F285" s="16">
        <v>3</v>
      </c>
      <c r="G285" s="97">
        <f t="shared" si="12"/>
        <v>1</v>
      </c>
      <c r="H285" s="97">
        <v>1</v>
      </c>
    </row>
    <row r="286" spans="1:8" ht="15.95" customHeight="1" x14ac:dyDescent="0.3">
      <c r="A286" s="91">
        <f t="shared" si="13"/>
        <v>10773</v>
      </c>
      <c r="B286" s="12" t="s">
        <v>782</v>
      </c>
      <c r="C286" s="139"/>
      <c r="D286" s="97"/>
      <c r="E286" s="97" t="s">
        <v>123</v>
      </c>
      <c r="F286" s="16">
        <v>3</v>
      </c>
      <c r="G286" s="97">
        <f t="shared" si="12"/>
        <v>1</v>
      </c>
      <c r="H286" s="97">
        <v>1</v>
      </c>
    </row>
    <row r="287" spans="1:8" ht="15.95" customHeight="1" x14ac:dyDescent="0.3">
      <c r="A287" s="91">
        <f t="shared" si="13"/>
        <v>10774</v>
      </c>
      <c r="B287" s="12" t="s">
        <v>783</v>
      </c>
      <c r="C287" s="139">
        <v>8</v>
      </c>
      <c r="D287" s="97"/>
      <c r="E287" s="97" t="s">
        <v>123</v>
      </c>
      <c r="F287" s="16">
        <v>3</v>
      </c>
      <c r="G287" s="97">
        <f t="shared" si="12"/>
        <v>1</v>
      </c>
      <c r="H287" s="97">
        <v>1</v>
      </c>
    </row>
    <row r="288" spans="1:8" ht="15.95" customHeight="1" x14ac:dyDescent="0.3">
      <c r="A288" s="91">
        <f t="shared" si="13"/>
        <v>10775</v>
      </c>
      <c r="B288" s="12" t="s">
        <v>784</v>
      </c>
      <c r="C288" s="139"/>
      <c r="D288" s="97"/>
      <c r="E288" s="97" t="s">
        <v>123</v>
      </c>
      <c r="F288" s="16">
        <v>3</v>
      </c>
      <c r="G288" s="97">
        <f t="shared" si="12"/>
        <v>1</v>
      </c>
      <c r="H288" s="97">
        <v>1</v>
      </c>
    </row>
    <row r="289" spans="1:8" ht="15.95" customHeight="1" x14ac:dyDescent="0.3">
      <c r="A289" s="91">
        <f t="shared" si="13"/>
        <v>10776</v>
      </c>
      <c r="B289" s="12" t="s">
        <v>785</v>
      </c>
      <c r="C289" s="139"/>
      <c r="D289" s="97"/>
      <c r="E289" s="97" t="s">
        <v>123</v>
      </c>
      <c r="F289" s="16">
        <v>3</v>
      </c>
      <c r="G289" s="97">
        <f t="shared" si="12"/>
        <v>1</v>
      </c>
      <c r="H289" s="97">
        <v>1</v>
      </c>
    </row>
    <row r="290" spans="1:8" ht="15.95" customHeight="1" x14ac:dyDescent="0.3">
      <c r="A290" s="91">
        <f t="shared" si="13"/>
        <v>10777</v>
      </c>
      <c r="B290" s="12" t="s">
        <v>786</v>
      </c>
      <c r="C290" s="139">
        <v>9</v>
      </c>
      <c r="D290" s="97"/>
      <c r="E290" s="97" t="s">
        <v>123</v>
      </c>
      <c r="F290" s="16">
        <v>3</v>
      </c>
      <c r="G290" s="97">
        <f t="shared" si="12"/>
        <v>1</v>
      </c>
      <c r="H290" s="97">
        <v>1</v>
      </c>
    </row>
    <row r="291" spans="1:8" ht="15.95" customHeight="1" x14ac:dyDescent="0.3">
      <c r="A291" s="91">
        <f t="shared" si="13"/>
        <v>10778</v>
      </c>
      <c r="B291" s="12" t="s">
        <v>787</v>
      </c>
      <c r="C291" s="139"/>
      <c r="D291" s="97"/>
      <c r="E291" s="97" t="s">
        <v>123</v>
      </c>
      <c r="F291" s="16">
        <v>3</v>
      </c>
      <c r="G291" s="97">
        <f t="shared" si="12"/>
        <v>1</v>
      </c>
      <c r="H291" s="97">
        <v>1</v>
      </c>
    </row>
    <row r="292" spans="1:8" ht="15.95" customHeight="1" x14ac:dyDescent="0.3">
      <c r="A292" s="91">
        <f t="shared" si="13"/>
        <v>10779</v>
      </c>
      <c r="B292" s="12" t="s">
        <v>788</v>
      </c>
      <c r="C292" s="139"/>
      <c r="D292" s="97"/>
      <c r="E292" s="97" t="s">
        <v>123</v>
      </c>
      <c r="F292" s="16">
        <v>3</v>
      </c>
      <c r="G292" s="97">
        <f t="shared" si="12"/>
        <v>1</v>
      </c>
      <c r="H292" s="97">
        <v>1</v>
      </c>
    </row>
    <row r="293" spans="1:8" ht="15.95" customHeight="1" x14ac:dyDescent="0.3">
      <c r="A293" s="91">
        <f t="shared" si="13"/>
        <v>10780</v>
      </c>
      <c r="B293" s="9" t="s">
        <v>789</v>
      </c>
      <c r="C293" s="123"/>
      <c r="D293" s="91"/>
      <c r="E293" s="16" t="s">
        <v>123</v>
      </c>
      <c r="F293" s="16">
        <v>3</v>
      </c>
      <c r="G293" s="16">
        <f t="shared" si="12"/>
        <v>1</v>
      </c>
      <c r="H293" s="91">
        <v>1</v>
      </c>
    </row>
    <row r="294" spans="1:8" ht="15.95" customHeight="1" x14ac:dyDescent="0.3">
      <c r="A294" s="91">
        <f t="shared" si="13"/>
        <v>10781</v>
      </c>
      <c r="B294" s="9" t="s">
        <v>790</v>
      </c>
      <c r="C294" s="123"/>
      <c r="D294" s="91"/>
      <c r="E294" s="16" t="s">
        <v>123</v>
      </c>
      <c r="F294" s="16">
        <v>3</v>
      </c>
      <c r="G294" s="16">
        <f t="shared" si="12"/>
        <v>1</v>
      </c>
      <c r="H294" s="91">
        <v>1</v>
      </c>
    </row>
    <row r="295" spans="1:8" ht="15.95" customHeight="1" x14ac:dyDescent="0.3">
      <c r="A295" s="91">
        <f t="shared" si="13"/>
        <v>10782</v>
      </c>
      <c r="B295" s="9" t="s">
        <v>791</v>
      </c>
      <c r="C295" s="123"/>
      <c r="D295" s="91"/>
      <c r="E295" s="16" t="s">
        <v>123</v>
      </c>
      <c r="F295" s="16">
        <v>3</v>
      </c>
      <c r="G295" s="16">
        <f t="shared" si="12"/>
        <v>1</v>
      </c>
      <c r="H295" s="91">
        <v>1</v>
      </c>
    </row>
    <row r="296" spans="1:8" ht="15.95" customHeight="1" x14ac:dyDescent="0.3">
      <c r="A296" s="91">
        <f t="shared" si="13"/>
        <v>10783</v>
      </c>
      <c r="B296" s="9" t="s">
        <v>792</v>
      </c>
      <c r="C296" s="123"/>
      <c r="D296" s="91"/>
      <c r="E296" s="16" t="s">
        <v>123</v>
      </c>
      <c r="F296" s="16">
        <v>3</v>
      </c>
      <c r="G296" s="16">
        <f t="shared" si="12"/>
        <v>1</v>
      </c>
      <c r="H296" s="91">
        <v>1</v>
      </c>
    </row>
    <row r="297" spans="1:8" ht="15.95" customHeight="1" x14ac:dyDescent="0.3">
      <c r="A297" s="91">
        <f t="shared" si="13"/>
        <v>10784</v>
      </c>
      <c r="B297" s="9" t="s">
        <v>793</v>
      </c>
      <c r="C297" s="123"/>
      <c r="D297" s="91"/>
      <c r="E297" s="16" t="s">
        <v>123</v>
      </c>
      <c r="F297" s="16">
        <v>3</v>
      </c>
      <c r="G297" s="16">
        <f t="shared" si="12"/>
        <v>1</v>
      </c>
      <c r="H297" s="91">
        <v>1</v>
      </c>
    </row>
    <row r="298" spans="1:8" ht="15.95" customHeight="1" x14ac:dyDescent="0.3">
      <c r="A298" s="91">
        <f t="shared" si="13"/>
        <v>10785</v>
      </c>
      <c r="B298" s="9" t="s">
        <v>794</v>
      </c>
      <c r="C298" s="123"/>
      <c r="D298" s="91"/>
      <c r="E298" s="16" t="s">
        <v>123</v>
      </c>
      <c r="F298" s="16">
        <v>3</v>
      </c>
      <c r="G298" s="16">
        <f t="shared" si="12"/>
        <v>1</v>
      </c>
      <c r="H298" s="91">
        <v>1</v>
      </c>
    </row>
    <row r="299" spans="1:8" ht="15.95" customHeight="1" x14ac:dyDescent="0.3">
      <c r="A299" s="91">
        <f t="shared" si="13"/>
        <v>10786</v>
      </c>
      <c r="B299" s="9" t="s">
        <v>795</v>
      </c>
      <c r="C299" s="123"/>
      <c r="D299" s="91"/>
      <c r="E299" s="16" t="s">
        <v>123</v>
      </c>
      <c r="F299" s="16">
        <v>3</v>
      </c>
      <c r="G299" s="16">
        <f t="shared" si="12"/>
        <v>1</v>
      </c>
      <c r="H299" s="91">
        <v>1</v>
      </c>
    </row>
    <row r="300" spans="1:8" ht="15.95" customHeight="1" x14ac:dyDescent="0.3">
      <c r="A300" s="91">
        <f t="shared" si="13"/>
        <v>10787</v>
      </c>
      <c r="B300" s="9" t="s">
        <v>796</v>
      </c>
      <c r="C300" s="123"/>
      <c r="D300" s="91"/>
      <c r="E300" s="16" t="s">
        <v>123</v>
      </c>
      <c r="F300" s="16">
        <v>3</v>
      </c>
      <c r="G300" s="16">
        <f t="shared" si="12"/>
        <v>1</v>
      </c>
      <c r="H300" s="91">
        <v>1</v>
      </c>
    </row>
    <row r="301" spans="1:8" ht="15.95" customHeight="1" x14ac:dyDescent="0.3">
      <c r="A301" s="91">
        <f t="shared" si="13"/>
        <v>10788</v>
      </c>
      <c r="B301" s="9" t="s">
        <v>797</v>
      </c>
      <c r="C301" s="123"/>
      <c r="D301" s="91"/>
      <c r="E301" s="16" t="s">
        <v>123</v>
      </c>
      <c r="F301" s="16">
        <v>3</v>
      </c>
      <c r="G301" s="16">
        <f t="shared" si="12"/>
        <v>1</v>
      </c>
      <c r="H301" s="91">
        <v>1</v>
      </c>
    </row>
    <row r="302" spans="1:8" ht="15.95" customHeight="1" x14ac:dyDescent="0.3">
      <c r="A302" s="91">
        <f t="shared" si="13"/>
        <v>10789</v>
      </c>
      <c r="B302" s="9" t="s">
        <v>798</v>
      </c>
      <c r="C302" s="123"/>
      <c r="D302" s="91"/>
      <c r="E302" s="16" t="s">
        <v>123</v>
      </c>
      <c r="F302" s="16">
        <v>3</v>
      </c>
      <c r="G302" s="16">
        <f t="shared" si="12"/>
        <v>1</v>
      </c>
      <c r="H302" s="91">
        <v>1</v>
      </c>
    </row>
    <row r="303" spans="1:8" ht="15.95" customHeight="1" x14ac:dyDescent="0.3">
      <c r="A303" s="91">
        <f t="shared" si="13"/>
        <v>10790</v>
      </c>
      <c r="B303" s="9" t="s">
        <v>799</v>
      </c>
      <c r="C303" s="123"/>
      <c r="D303" s="91"/>
      <c r="E303" s="16" t="s">
        <v>123</v>
      </c>
      <c r="F303" s="16">
        <v>3</v>
      </c>
      <c r="G303" s="16">
        <f t="shared" si="12"/>
        <v>1</v>
      </c>
      <c r="H303" s="91">
        <v>1</v>
      </c>
    </row>
    <row r="304" spans="1:8" ht="15.95" customHeight="1" x14ac:dyDescent="0.3">
      <c r="A304" s="91">
        <f t="shared" si="13"/>
        <v>10791</v>
      </c>
      <c r="B304" s="9" t="s">
        <v>800</v>
      </c>
      <c r="C304" s="123"/>
      <c r="D304" s="91"/>
      <c r="E304" s="16" t="s">
        <v>123</v>
      </c>
      <c r="F304" s="16">
        <v>3</v>
      </c>
      <c r="G304" s="16">
        <f t="shared" si="12"/>
        <v>1</v>
      </c>
      <c r="H304" s="91">
        <v>1</v>
      </c>
    </row>
    <row r="305" spans="1:8" ht="15.95" customHeight="1" x14ac:dyDescent="0.3">
      <c r="A305" s="91">
        <f t="shared" si="13"/>
        <v>10792</v>
      </c>
      <c r="B305" s="9" t="s">
        <v>801</v>
      </c>
      <c r="C305" s="123"/>
      <c r="D305" s="91"/>
      <c r="E305" s="16" t="s">
        <v>123</v>
      </c>
      <c r="F305" s="16">
        <v>3</v>
      </c>
      <c r="G305" s="16">
        <f t="shared" si="12"/>
        <v>1</v>
      </c>
      <c r="H305" s="91">
        <v>1</v>
      </c>
    </row>
    <row r="306" spans="1:8" ht="15.95" customHeight="1" x14ac:dyDescent="0.3">
      <c r="A306" s="91">
        <f t="shared" si="13"/>
        <v>10793</v>
      </c>
      <c r="B306" s="9" t="s">
        <v>802</v>
      </c>
      <c r="C306" s="123"/>
      <c r="D306" s="91"/>
      <c r="E306" s="16" t="s">
        <v>123</v>
      </c>
      <c r="F306" s="16">
        <v>3</v>
      </c>
      <c r="G306" s="16">
        <f t="shared" si="12"/>
        <v>1</v>
      </c>
      <c r="H306" s="91">
        <v>1</v>
      </c>
    </row>
    <row r="307" spans="1:8" ht="15.95" customHeight="1" x14ac:dyDescent="0.3">
      <c r="A307" s="91">
        <f t="shared" si="13"/>
        <v>10794</v>
      </c>
      <c r="B307" s="9" t="s">
        <v>803</v>
      </c>
      <c r="C307" s="123"/>
      <c r="D307" s="91"/>
      <c r="E307" s="16" t="s">
        <v>123</v>
      </c>
      <c r="F307" s="16">
        <v>3</v>
      </c>
      <c r="G307" s="16">
        <f t="shared" si="12"/>
        <v>1</v>
      </c>
      <c r="H307" s="91">
        <v>1</v>
      </c>
    </row>
    <row r="308" spans="1:8" ht="15.95" customHeight="1" x14ac:dyDescent="0.3">
      <c r="A308" s="91">
        <f t="shared" si="13"/>
        <v>10795</v>
      </c>
      <c r="B308" s="9" t="s">
        <v>804</v>
      </c>
      <c r="C308" s="123"/>
      <c r="D308" s="91"/>
      <c r="E308" s="16" t="s">
        <v>123</v>
      </c>
      <c r="F308" s="16">
        <v>3</v>
      </c>
      <c r="G308" s="16">
        <f t="shared" si="12"/>
        <v>1</v>
      </c>
      <c r="H308" s="91">
        <v>1</v>
      </c>
    </row>
    <row r="309" spans="1:8" ht="15.95" customHeight="1" x14ac:dyDescent="0.3">
      <c r="A309" s="91">
        <f t="shared" si="13"/>
        <v>10796</v>
      </c>
      <c r="B309" s="12" t="s">
        <v>805</v>
      </c>
      <c r="C309" s="123"/>
      <c r="D309" s="91"/>
      <c r="E309" s="97" t="s">
        <v>123</v>
      </c>
      <c r="F309" s="16">
        <v>3</v>
      </c>
      <c r="G309" s="97">
        <f t="shared" si="12"/>
        <v>1</v>
      </c>
      <c r="H309" s="97">
        <v>1</v>
      </c>
    </row>
    <row r="310" spans="1:8" ht="15.95" customHeight="1" x14ac:dyDescent="0.3">
      <c r="A310" s="91">
        <f t="shared" si="13"/>
        <v>10797</v>
      </c>
      <c r="B310" s="12" t="s">
        <v>806</v>
      </c>
      <c r="C310" s="123"/>
      <c r="D310" s="91"/>
      <c r="E310" s="97" t="s">
        <v>123</v>
      </c>
      <c r="F310" s="16">
        <v>3</v>
      </c>
      <c r="G310" s="97">
        <f t="shared" si="12"/>
        <v>1</v>
      </c>
      <c r="H310" s="97">
        <v>1</v>
      </c>
    </row>
    <row r="311" spans="1:8" ht="15.95" customHeight="1" x14ac:dyDescent="0.3">
      <c r="A311" s="91">
        <f t="shared" si="13"/>
        <v>10798</v>
      </c>
      <c r="B311" s="12" t="s">
        <v>807</v>
      </c>
      <c r="C311" s="123"/>
      <c r="D311" s="91"/>
      <c r="E311" s="97" t="s">
        <v>123</v>
      </c>
      <c r="F311" s="16">
        <v>3</v>
      </c>
      <c r="G311" s="97">
        <f t="shared" si="12"/>
        <v>1</v>
      </c>
      <c r="H311" s="97">
        <v>1</v>
      </c>
    </row>
    <row r="312" spans="1:8" ht="15.95" customHeight="1" x14ac:dyDescent="0.3">
      <c r="A312" s="91">
        <f t="shared" si="13"/>
        <v>10799</v>
      </c>
      <c r="B312" s="12" t="s">
        <v>808</v>
      </c>
      <c r="C312" s="123"/>
      <c r="D312" s="91"/>
      <c r="E312" s="97" t="s">
        <v>123</v>
      </c>
      <c r="F312" s="16">
        <v>3</v>
      </c>
      <c r="G312" s="97">
        <f t="shared" si="12"/>
        <v>1</v>
      </c>
      <c r="H312" s="97">
        <v>1</v>
      </c>
    </row>
    <row r="313" spans="1:8" ht="15.95" customHeight="1" x14ac:dyDescent="0.3">
      <c r="A313" s="122" t="s">
        <v>103</v>
      </c>
      <c r="B313" s="122"/>
      <c r="C313" s="122"/>
      <c r="D313" s="122"/>
      <c r="E313" s="122"/>
      <c r="F313" s="122"/>
      <c r="G313" s="122"/>
      <c r="H313" s="122"/>
    </row>
    <row r="314" spans="1:8" ht="15.95" customHeight="1" x14ac:dyDescent="0.3">
      <c r="A314" s="91">
        <f>A312+G312*H312</f>
        <v>10800</v>
      </c>
      <c r="B314" s="9" t="s">
        <v>94</v>
      </c>
      <c r="C314" s="91"/>
      <c r="D314" s="91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91">
        <v>64</v>
      </c>
    </row>
    <row r="315" spans="1:8" ht="15.95" customHeight="1" x14ac:dyDescent="0.3">
      <c r="A315" s="91">
        <f t="shared" ref="A315:A323" si="15">A314+(G314*H314)</f>
        <v>10864</v>
      </c>
      <c r="B315" s="9" t="s">
        <v>95</v>
      </c>
      <c r="C315" s="91"/>
      <c r="D315" s="91"/>
      <c r="E315" s="16" t="s">
        <v>114</v>
      </c>
      <c r="F315" s="16">
        <v>3</v>
      </c>
      <c r="G315" s="16">
        <f t="shared" si="14"/>
        <v>1</v>
      </c>
      <c r="H315" s="91">
        <v>64</v>
      </c>
    </row>
    <row r="316" spans="1:8" ht="15.95" customHeight="1" x14ac:dyDescent="0.3">
      <c r="A316" s="91">
        <f t="shared" si="15"/>
        <v>10928</v>
      </c>
      <c r="B316" s="9" t="s">
        <v>96</v>
      </c>
      <c r="C316" s="91"/>
      <c r="D316" s="91"/>
      <c r="E316" s="16" t="s">
        <v>114</v>
      </c>
      <c r="F316" s="16">
        <v>3</v>
      </c>
      <c r="G316" s="16">
        <f t="shared" si="14"/>
        <v>1</v>
      </c>
      <c r="H316" s="91">
        <v>64</v>
      </c>
    </row>
    <row r="317" spans="1:8" ht="15.95" customHeight="1" x14ac:dyDescent="0.3">
      <c r="A317" s="91">
        <f t="shared" si="15"/>
        <v>10992</v>
      </c>
      <c r="B317" s="9" t="s">
        <v>97</v>
      </c>
      <c r="C317" s="91"/>
      <c r="D317" s="91"/>
      <c r="E317" s="16" t="s">
        <v>114</v>
      </c>
      <c r="F317" s="16">
        <v>3</v>
      </c>
      <c r="G317" s="16">
        <f t="shared" si="14"/>
        <v>1</v>
      </c>
      <c r="H317" s="91">
        <v>64</v>
      </c>
    </row>
    <row r="318" spans="1:8" ht="15.95" customHeight="1" x14ac:dyDescent="0.3">
      <c r="A318" s="91">
        <f t="shared" si="15"/>
        <v>11056</v>
      </c>
      <c r="B318" s="9" t="s">
        <v>98</v>
      </c>
      <c r="C318" s="91"/>
      <c r="D318" s="91"/>
      <c r="E318" s="16" t="s">
        <v>114</v>
      </c>
      <c r="F318" s="16">
        <v>3</v>
      </c>
      <c r="G318" s="16">
        <f t="shared" si="14"/>
        <v>1</v>
      </c>
      <c r="H318" s="91">
        <v>64</v>
      </c>
    </row>
    <row r="319" spans="1:8" ht="15.95" customHeight="1" x14ac:dyDescent="0.3">
      <c r="A319" s="91">
        <f t="shared" si="15"/>
        <v>11120</v>
      </c>
      <c r="B319" s="9" t="s">
        <v>99</v>
      </c>
      <c r="C319" s="91"/>
      <c r="D319" s="91"/>
      <c r="E319" s="16" t="s">
        <v>114</v>
      </c>
      <c r="F319" s="16">
        <v>3</v>
      </c>
      <c r="G319" s="16">
        <f t="shared" si="14"/>
        <v>1</v>
      </c>
      <c r="H319" s="91">
        <v>64</v>
      </c>
    </row>
    <row r="320" spans="1:8" ht="15.95" customHeight="1" x14ac:dyDescent="0.3">
      <c r="A320" s="91">
        <f t="shared" si="15"/>
        <v>11184</v>
      </c>
      <c r="B320" s="9" t="s">
        <v>100</v>
      </c>
      <c r="C320" s="91"/>
      <c r="D320" s="91"/>
      <c r="E320" s="16" t="s">
        <v>114</v>
      </c>
      <c r="F320" s="16">
        <v>3</v>
      </c>
      <c r="G320" s="16">
        <f t="shared" si="14"/>
        <v>1</v>
      </c>
      <c r="H320" s="91">
        <v>64</v>
      </c>
    </row>
    <row r="321" spans="1:8" ht="15.95" customHeight="1" x14ac:dyDescent="0.3">
      <c r="A321" s="91">
        <f t="shared" si="15"/>
        <v>11248</v>
      </c>
      <c r="B321" s="9" t="s">
        <v>101</v>
      </c>
      <c r="C321" s="91"/>
      <c r="D321" s="91"/>
      <c r="E321" s="16" t="s">
        <v>114</v>
      </c>
      <c r="F321" s="16">
        <v>3</v>
      </c>
      <c r="G321" s="16">
        <f t="shared" si="14"/>
        <v>1</v>
      </c>
      <c r="H321" s="91">
        <v>64</v>
      </c>
    </row>
    <row r="322" spans="1:8" ht="15.95" customHeight="1" x14ac:dyDescent="0.3">
      <c r="A322" s="91">
        <f t="shared" si="15"/>
        <v>11312</v>
      </c>
      <c r="B322" s="9" t="s">
        <v>102</v>
      </c>
      <c r="C322" s="91"/>
      <c r="D322" s="91"/>
      <c r="E322" s="16" t="s">
        <v>114</v>
      </c>
      <c r="F322" s="16">
        <v>3</v>
      </c>
      <c r="G322" s="16">
        <f t="shared" si="14"/>
        <v>1</v>
      </c>
      <c r="H322" s="91">
        <v>64</v>
      </c>
    </row>
    <row r="323" spans="1:8" ht="15.95" customHeight="1" x14ac:dyDescent="0.3">
      <c r="A323" s="91">
        <f t="shared" si="15"/>
        <v>11376</v>
      </c>
      <c r="B323" s="9" t="s">
        <v>41</v>
      </c>
      <c r="C323" s="91"/>
      <c r="D323" s="91"/>
      <c r="E323" s="16" t="s">
        <v>114</v>
      </c>
      <c r="F323" s="16">
        <v>3</v>
      </c>
      <c r="G323" s="16">
        <f t="shared" si="14"/>
        <v>1</v>
      </c>
      <c r="H323" s="91">
        <v>24</v>
      </c>
    </row>
    <row r="324" spans="1:8" ht="15.95" customHeight="1" x14ac:dyDescent="0.3">
      <c r="A324" s="122" t="s">
        <v>128</v>
      </c>
      <c r="B324" s="122"/>
      <c r="C324" s="122"/>
      <c r="D324" s="122"/>
      <c r="E324" s="122"/>
      <c r="F324" s="122"/>
      <c r="G324" s="122"/>
      <c r="H324" s="122"/>
    </row>
    <row r="325" spans="1:8" ht="15.95" customHeight="1" x14ac:dyDescent="0.3">
      <c r="A325" s="91">
        <f>A323+(G323*H323)</f>
        <v>11400</v>
      </c>
      <c r="B325" s="9" t="s">
        <v>94</v>
      </c>
      <c r="C325" s="91"/>
      <c r="D325" s="91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91">
        <v>64</v>
      </c>
    </row>
    <row r="326" spans="1:8" ht="15.95" customHeight="1" x14ac:dyDescent="0.3">
      <c r="A326" s="91">
        <f t="shared" ref="A326:A334" si="17">A325+(G325*H325)</f>
        <v>11464</v>
      </c>
      <c r="B326" s="9" t="s">
        <v>95</v>
      </c>
      <c r="C326" s="91"/>
      <c r="D326" s="91"/>
      <c r="E326" s="16" t="s">
        <v>114</v>
      </c>
      <c r="F326" s="16">
        <v>3</v>
      </c>
      <c r="G326" s="16">
        <f t="shared" si="16"/>
        <v>1</v>
      </c>
      <c r="H326" s="91">
        <v>64</v>
      </c>
    </row>
    <row r="327" spans="1:8" ht="15.95" customHeight="1" x14ac:dyDescent="0.3">
      <c r="A327" s="91">
        <f t="shared" si="17"/>
        <v>11528</v>
      </c>
      <c r="B327" s="9" t="s">
        <v>96</v>
      </c>
      <c r="C327" s="91"/>
      <c r="D327" s="91"/>
      <c r="E327" s="16" t="s">
        <v>114</v>
      </c>
      <c r="F327" s="16">
        <v>3</v>
      </c>
      <c r="G327" s="16">
        <f t="shared" si="16"/>
        <v>1</v>
      </c>
      <c r="H327" s="91">
        <v>64</v>
      </c>
    </row>
    <row r="328" spans="1:8" ht="15.95" customHeight="1" x14ac:dyDescent="0.3">
      <c r="A328" s="91">
        <f t="shared" si="17"/>
        <v>11592</v>
      </c>
      <c r="B328" s="9" t="s">
        <v>97</v>
      </c>
      <c r="C328" s="91"/>
      <c r="D328" s="91"/>
      <c r="E328" s="16" t="s">
        <v>114</v>
      </c>
      <c r="F328" s="16">
        <v>3</v>
      </c>
      <c r="G328" s="16">
        <f t="shared" si="16"/>
        <v>1</v>
      </c>
      <c r="H328" s="91">
        <v>64</v>
      </c>
    </row>
    <row r="329" spans="1:8" ht="15.95" customHeight="1" x14ac:dyDescent="0.3">
      <c r="A329" s="91">
        <f t="shared" si="17"/>
        <v>11656</v>
      </c>
      <c r="B329" s="9" t="s">
        <v>98</v>
      </c>
      <c r="C329" s="91"/>
      <c r="D329" s="91"/>
      <c r="E329" s="16" t="s">
        <v>114</v>
      </c>
      <c r="F329" s="16">
        <v>3</v>
      </c>
      <c r="G329" s="16">
        <f t="shared" si="16"/>
        <v>1</v>
      </c>
      <c r="H329" s="91">
        <v>64</v>
      </c>
    </row>
    <row r="330" spans="1:8" ht="15.95" customHeight="1" x14ac:dyDescent="0.3">
      <c r="A330" s="91">
        <f t="shared" si="17"/>
        <v>11720</v>
      </c>
      <c r="B330" s="9" t="s">
        <v>99</v>
      </c>
      <c r="C330" s="91"/>
      <c r="D330" s="91"/>
      <c r="E330" s="16" t="s">
        <v>114</v>
      </c>
      <c r="F330" s="16">
        <v>3</v>
      </c>
      <c r="G330" s="16">
        <f t="shared" si="16"/>
        <v>1</v>
      </c>
      <c r="H330" s="91">
        <v>64</v>
      </c>
    </row>
    <row r="331" spans="1:8" ht="15.95" customHeight="1" x14ac:dyDescent="0.3">
      <c r="A331" s="91">
        <f t="shared" si="17"/>
        <v>11784</v>
      </c>
      <c r="B331" s="9" t="s">
        <v>100</v>
      </c>
      <c r="C331" s="91"/>
      <c r="D331" s="91"/>
      <c r="E331" s="16" t="s">
        <v>114</v>
      </c>
      <c r="F331" s="16">
        <v>3</v>
      </c>
      <c r="G331" s="16">
        <f t="shared" si="16"/>
        <v>1</v>
      </c>
      <c r="H331" s="91">
        <v>64</v>
      </c>
    </row>
    <row r="332" spans="1:8" ht="15.95" customHeight="1" x14ac:dyDescent="0.3">
      <c r="A332" s="91">
        <f t="shared" si="17"/>
        <v>11848</v>
      </c>
      <c r="B332" s="9" t="s">
        <v>101</v>
      </c>
      <c r="C332" s="91"/>
      <c r="D332" s="91"/>
      <c r="E332" s="16" t="s">
        <v>114</v>
      </c>
      <c r="F332" s="16">
        <v>3</v>
      </c>
      <c r="G332" s="16">
        <f t="shared" si="16"/>
        <v>1</v>
      </c>
      <c r="H332" s="91">
        <v>64</v>
      </c>
    </row>
    <row r="333" spans="1:8" ht="15.95" customHeight="1" x14ac:dyDescent="0.3">
      <c r="A333" s="91">
        <f t="shared" si="17"/>
        <v>11912</v>
      </c>
      <c r="B333" s="9" t="s">
        <v>102</v>
      </c>
      <c r="C333" s="91"/>
      <c r="D333" s="91"/>
      <c r="E333" s="16" t="s">
        <v>114</v>
      </c>
      <c r="F333" s="16">
        <v>3</v>
      </c>
      <c r="G333" s="16">
        <f t="shared" si="16"/>
        <v>1</v>
      </c>
      <c r="H333" s="91">
        <v>64</v>
      </c>
    </row>
    <row r="334" spans="1:8" ht="15.95" customHeight="1" x14ac:dyDescent="0.3">
      <c r="A334" s="91">
        <f t="shared" si="17"/>
        <v>11976</v>
      </c>
      <c r="B334" s="9"/>
      <c r="C334" s="91"/>
      <c r="D334" s="91"/>
      <c r="E334" s="16" t="s">
        <v>114</v>
      </c>
      <c r="F334" s="16">
        <v>3</v>
      </c>
      <c r="G334" s="16">
        <f t="shared" si="16"/>
        <v>1</v>
      </c>
      <c r="H334" s="91">
        <v>24</v>
      </c>
    </row>
    <row r="335" spans="1:8" ht="15.95" customHeight="1" x14ac:dyDescent="0.3">
      <c r="A335" s="122" t="s">
        <v>116</v>
      </c>
      <c r="B335" s="122"/>
      <c r="C335" s="122"/>
      <c r="D335" s="122"/>
      <c r="E335" s="122"/>
      <c r="F335" s="122"/>
      <c r="G335" s="122"/>
      <c r="H335" s="122"/>
    </row>
    <row r="336" spans="1:8" ht="15.95" customHeight="1" x14ac:dyDescent="0.3">
      <c r="A336" s="91">
        <f>A334+(G334*H334)</f>
        <v>12000</v>
      </c>
      <c r="B336" s="9" t="s">
        <v>400</v>
      </c>
      <c r="C336" s="91"/>
      <c r="D336" s="91"/>
      <c r="E336" s="16" t="s">
        <v>123</v>
      </c>
      <c r="F336" s="16">
        <v>3</v>
      </c>
      <c r="G336" s="16">
        <f t="shared" ref="G336:G385" si="18">IF(OR(E336="U16", E336="S16"),1,IF(E336="TS",6,2))</f>
        <v>1</v>
      </c>
      <c r="H336" s="91">
        <v>1</v>
      </c>
    </row>
    <row r="337" spans="1:8" ht="15.95" customHeight="1" x14ac:dyDescent="0.3">
      <c r="A337" s="91">
        <f t="shared" ref="A337:A387" si="19">A336+(G336*H336)</f>
        <v>12001</v>
      </c>
      <c r="B337" s="9" t="s">
        <v>401</v>
      </c>
      <c r="C337" s="91"/>
      <c r="D337" s="91"/>
      <c r="E337" s="16" t="s">
        <v>123</v>
      </c>
      <c r="F337" s="16">
        <v>3</v>
      </c>
      <c r="G337" s="16">
        <f t="shared" si="18"/>
        <v>1</v>
      </c>
      <c r="H337" s="91">
        <v>1</v>
      </c>
    </row>
    <row r="338" spans="1:8" ht="15.95" customHeight="1" x14ac:dyDescent="0.3">
      <c r="A338" s="91">
        <f t="shared" si="19"/>
        <v>12002</v>
      </c>
      <c r="B338" s="9" t="s">
        <v>117</v>
      </c>
      <c r="C338" s="91"/>
      <c r="D338" s="91"/>
      <c r="E338" s="16" t="s">
        <v>91</v>
      </c>
      <c r="F338" s="16">
        <v>3</v>
      </c>
      <c r="G338" s="16">
        <f t="shared" si="18"/>
        <v>2</v>
      </c>
      <c r="H338" s="91">
        <v>1</v>
      </c>
    </row>
    <row r="339" spans="1:8" ht="15.95" customHeight="1" x14ac:dyDescent="0.3">
      <c r="A339" s="91">
        <f t="shared" si="19"/>
        <v>12004</v>
      </c>
      <c r="B339" s="146" t="s">
        <v>30</v>
      </c>
      <c r="C339" s="91" t="s">
        <v>1153</v>
      </c>
      <c r="D339" s="91"/>
      <c r="E339" s="16" t="s">
        <v>437</v>
      </c>
      <c r="F339" s="16">
        <v>3</v>
      </c>
      <c r="G339" s="16">
        <v>2</v>
      </c>
      <c r="H339" s="91">
        <v>1</v>
      </c>
    </row>
    <row r="340" spans="1:8" ht="15.95" customHeight="1" x14ac:dyDescent="0.3">
      <c r="A340" s="91">
        <f>A339+(G339*H339)</f>
        <v>12006</v>
      </c>
      <c r="B340" s="147"/>
      <c r="C340" s="91" t="s">
        <v>1152</v>
      </c>
      <c r="D340" s="91"/>
      <c r="E340" s="16" t="s">
        <v>259</v>
      </c>
      <c r="F340" s="16">
        <v>3</v>
      </c>
      <c r="G340" s="16">
        <v>2</v>
      </c>
      <c r="H340" s="91">
        <v>1</v>
      </c>
    </row>
    <row r="341" spans="1:8" ht="15.95" customHeight="1" x14ac:dyDescent="0.3">
      <c r="A341" s="117">
        <f t="shared" ref="A341:A344" si="20">A340+(G340*H340)</f>
        <v>12008</v>
      </c>
      <c r="B341" s="147"/>
      <c r="C341" s="117" t="s">
        <v>1154</v>
      </c>
      <c r="D341" s="117"/>
      <c r="E341" s="16" t="s">
        <v>437</v>
      </c>
      <c r="F341" s="16">
        <v>3</v>
      </c>
      <c r="G341" s="16">
        <v>2</v>
      </c>
      <c r="H341" s="117">
        <v>1</v>
      </c>
    </row>
    <row r="342" spans="1:8" ht="15.95" customHeight="1" x14ac:dyDescent="0.3">
      <c r="A342" s="117">
        <f t="shared" si="20"/>
        <v>12010</v>
      </c>
      <c r="B342" s="148"/>
      <c r="C342" s="117" t="s">
        <v>1155</v>
      </c>
      <c r="D342" s="117"/>
      <c r="E342" s="16" t="s">
        <v>259</v>
      </c>
      <c r="F342" s="16">
        <v>3</v>
      </c>
      <c r="G342" s="16">
        <v>2</v>
      </c>
      <c r="H342" s="117">
        <v>1</v>
      </c>
    </row>
    <row r="343" spans="1:8" ht="15.95" customHeight="1" x14ac:dyDescent="0.3">
      <c r="A343" s="117">
        <f t="shared" si="20"/>
        <v>12012</v>
      </c>
      <c r="B343" s="9" t="s">
        <v>198</v>
      </c>
      <c r="C343" s="117"/>
      <c r="D343" s="117"/>
      <c r="E343" s="16" t="s">
        <v>58</v>
      </c>
      <c r="F343" s="16">
        <v>3</v>
      </c>
      <c r="G343" s="16">
        <f t="shared" ref="G343" si="21">IF(OR(E343="U16", E343="S16"),1,IF(E343="TS",6,2))</f>
        <v>2</v>
      </c>
      <c r="H343" s="117">
        <v>4</v>
      </c>
    </row>
    <row r="344" spans="1:8" ht="15.95" customHeight="1" x14ac:dyDescent="0.3">
      <c r="A344" s="117">
        <f t="shared" si="20"/>
        <v>12020</v>
      </c>
      <c r="B344" s="9" t="s">
        <v>154</v>
      </c>
      <c r="C344" s="91"/>
      <c r="D344" s="91"/>
      <c r="E344" s="16" t="s">
        <v>58</v>
      </c>
      <c r="F344" s="16">
        <v>3</v>
      </c>
      <c r="G344" s="16">
        <f t="shared" si="18"/>
        <v>2</v>
      </c>
      <c r="H344" s="91">
        <v>4</v>
      </c>
    </row>
    <row r="345" spans="1:8" ht="15.95" customHeight="1" x14ac:dyDescent="0.3">
      <c r="A345" s="117">
        <f t="shared" ref="A341:A346" si="22">A344+(G344*H344)</f>
        <v>12028</v>
      </c>
      <c r="B345" s="9" t="s">
        <v>155</v>
      </c>
      <c r="C345" s="91"/>
      <c r="D345" s="91"/>
      <c r="E345" s="16" t="s">
        <v>58</v>
      </c>
      <c r="F345" s="16">
        <v>3</v>
      </c>
      <c r="G345" s="16">
        <f t="shared" si="18"/>
        <v>2</v>
      </c>
      <c r="H345" s="91">
        <v>4</v>
      </c>
    </row>
    <row r="346" spans="1:8" ht="15.95" customHeight="1" x14ac:dyDescent="0.3">
      <c r="A346" s="117">
        <f t="shared" si="22"/>
        <v>12036</v>
      </c>
      <c r="B346" s="9" t="s">
        <v>156</v>
      </c>
      <c r="C346" s="91"/>
      <c r="D346" s="91"/>
      <c r="E346" s="16" t="s">
        <v>58</v>
      </c>
      <c r="F346" s="16">
        <v>3</v>
      </c>
      <c r="G346" s="16">
        <f t="shared" si="18"/>
        <v>2</v>
      </c>
      <c r="H346" s="91">
        <v>4</v>
      </c>
    </row>
    <row r="347" spans="1:8" ht="15.95" customHeight="1" x14ac:dyDescent="0.3">
      <c r="A347" s="91">
        <f t="shared" si="19"/>
        <v>12044</v>
      </c>
      <c r="B347" s="9" t="s">
        <v>157</v>
      </c>
      <c r="C347" s="91"/>
      <c r="D347" s="91"/>
      <c r="E347" s="16" t="s">
        <v>58</v>
      </c>
      <c r="F347" s="16">
        <v>3</v>
      </c>
      <c r="G347" s="16">
        <f t="shared" si="18"/>
        <v>2</v>
      </c>
      <c r="H347" s="91">
        <v>4</v>
      </c>
    </row>
    <row r="348" spans="1:8" ht="15.95" customHeight="1" x14ac:dyDescent="0.3">
      <c r="A348" s="91">
        <f t="shared" si="19"/>
        <v>12052</v>
      </c>
      <c r="B348" s="9" t="s">
        <v>158</v>
      </c>
      <c r="C348" s="91"/>
      <c r="D348" s="91"/>
      <c r="E348" s="16" t="s">
        <v>58</v>
      </c>
      <c r="F348" s="16">
        <v>3</v>
      </c>
      <c r="G348" s="16">
        <f t="shared" si="18"/>
        <v>2</v>
      </c>
      <c r="H348" s="91">
        <v>4</v>
      </c>
    </row>
    <row r="349" spans="1:8" ht="15.95" customHeight="1" x14ac:dyDescent="0.3">
      <c r="A349" s="91">
        <f t="shared" si="19"/>
        <v>12060</v>
      </c>
      <c r="B349" s="9" t="s">
        <v>159</v>
      </c>
      <c r="C349" s="91"/>
      <c r="D349" s="91"/>
      <c r="E349" s="16" t="s">
        <v>58</v>
      </c>
      <c r="F349" s="16">
        <v>3</v>
      </c>
      <c r="G349" s="16">
        <f t="shared" si="18"/>
        <v>2</v>
      </c>
      <c r="H349" s="91">
        <v>4</v>
      </c>
    </row>
    <row r="350" spans="1:8" ht="15.95" customHeight="1" x14ac:dyDescent="0.3">
      <c r="A350" s="91">
        <f t="shared" si="19"/>
        <v>12068</v>
      </c>
      <c r="B350" s="9" t="s">
        <v>160</v>
      </c>
      <c r="C350" s="91"/>
      <c r="D350" s="91"/>
      <c r="E350" s="16" t="s">
        <v>58</v>
      </c>
      <c r="F350" s="16">
        <v>3</v>
      </c>
      <c r="G350" s="16">
        <f t="shared" si="18"/>
        <v>2</v>
      </c>
      <c r="H350" s="91">
        <v>4</v>
      </c>
    </row>
    <row r="351" spans="1:8" ht="15.95" customHeight="1" x14ac:dyDescent="0.3">
      <c r="A351" s="91">
        <f t="shared" si="19"/>
        <v>12076</v>
      </c>
      <c r="B351" s="9" t="s">
        <v>161</v>
      </c>
      <c r="C351" s="91"/>
      <c r="D351" s="91"/>
      <c r="E351" s="16" t="s">
        <v>58</v>
      </c>
      <c r="F351" s="16">
        <v>3</v>
      </c>
      <c r="G351" s="16">
        <f t="shared" si="18"/>
        <v>2</v>
      </c>
      <c r="H351" s="91">
        <v>4</v>
      </c>
    </row>
    <row r="352" spans="1:8" ht="15.95" customHeight="1" x14ac:dyDescent="0.3">
      <c r="A352" s="91">
        <f t="shared" si="19"/>
        <v>12084</v>
      </c>
      <c r="B352" s="9" t="s">
        <v>0</v>
      </c>
      <c r="C352" s="91"/>
      <c r="D352" s="91"/>
      <c r="E352" s="16" t="s">
        <v>58</v>
      </c>
      <c r="F352" s="16">
        <v>3</v>
      </c>
      <c r="G352" s="16">
        <f t="shared" si="18"/>
        <v>2</v>
      </c>
      <c r="H352" s="91">
        <v>4</v>
      </c>
    </row>
    <row r="353" spans="1:8" ht="15.95" customHeight="1" x14ac:dyDescent="0.3">
      <c r="A353" s="91">
        <f t="shared" si="19"/>
        <v>12092</v>
      </c>
      <c r="B353" s="9" t="s">
        <v>119</v>
      </c>
      <c r="C353" s="91"/>
      <c r="D353" s="91"/>
      <c r="E353" s="16" t="s">
        <v>58</v>
      </c>
      <c r="F353" s="16">
        <v>3</v>
      </c>
      <c r="G353" s="16">
        <f t="shared" si="18"/>
        <v>2</v>
      </c>
      <c r="H353" s="91">
        <v>4</v>
      </c>
    </row>
    <row r="354" spans="1:8" ht="15.95" customHeight="1" x14ac:dyDescent="0.3">
      <c r="A354" s="91">
        <f t="shared" si="19"/>
        <v>12100</v>
      </c>
      <c r="B354" s="9" t="s">
        <v>120</v>
      </c>
      <c r="C354" s="91"/>
      <c r="D354" s="91"/>
      <c r="E354" s="16" t="s">
        <v>58</v>
      </c>
      <c r="F354" s="16">
        <v>3</v>
      </c>
      <c r="G354" s="16">
        <f t="shared" si="18"/>
        <v>2</v>
      </c>
      <c r="H354" s="91">
        <v>4</v>
      </c>
    </row>
    <row r="355" spans="1:8" ht="15.95" customHeight="1" x14ac:dyDescent="0.3">
      <c r="A355" s="91">
        <f t="shared" si="19"/>
        <v>12108</v>
      </c>
      <c r="B355" s="9" t="s">
        <v>129</v>
      </c>
      <c r="C355" s="91"/>
      <c r="D355" s="91"/>
      <c r="E355" s="16" t="s">
        <v>58</v>
      </c>
      <c r="F355" s="16">
        <v>3</v>
      </c>
      <c r="G355" s="16">
        <f t="shared" si="18"/>
        <v>2</v>
      </c>
      <c r="H355" s="91">
        <v>4</v>
      </c>
    </row>
    <row r="356" spans="1:8" ht="15.95" customHeight="1" x14ac:dyDescent="0.3">
      <c r="A356" s="91">
        <f t="shared" si="19"/>
        <v>12116</v>
      </c>
      <c r="B356" s="9" t="s">
        <v>131</v>
      </c>
      <c r="C356" s="91"/>
      <c r="D356" s="91"/>
      <c r="E356" s="16" t="s">
        <v>58</v>
      </c>
      <c r="F356" s="16">
        <v>3</v>
      </c>
      <c r="G356" s="16">
        <f t="shared" si="18"/>
        <v>2</v>
      </c>
      <c r="H356" s="91">
        <v>4</v>
      </c>
    </row>
    <row r="357" spans="1:8" ht="15.95" customHeight="1" x14ac:dyDescent="0.3">
      <c r="A357" s="91">
        <f t="shared" si="19"/>
        <v>12124</v>
      </c>
      <c r="B357" s="9" t="s">
        <v>122</v>
      </c>
      <c r="C357" s="91"/>
      <c r="D357" s="91"/>
      <c r="E357" s="16" t="s">
        <v>58</v>
      </c>
      <c r="F357" s="16">
        <v>3</v>
      </c>
      <c r="G357" s="16">
        <f t="shared" si="18"/>
        <v>2</v>
      </c>
      <c r="H357" s="91">
        <v>4</v>
      </c>
    </row>
    <row r="358" spans="1:8" ht="15.95" customHeight="1" x14ac:dyDescent="0.3">
      <c r="A358" s="91">
        <f t="shared" si="19"/>
        <v>12132</v>
      </c>
      <c r="B358" s="9" t="s">
        <v>130</v>
      </c>
      <c r="C358" s="91"/>
      <c r="D358" s="91"/>
      <c r="E358" s="16" t="s">
        <v>58</v>
      </c>
      <c r="F358" s="16">
        <v>3</v>
      </c>
      <c r="G358" s="16">
        <f t="shared" si="18"/>
        <v>2</v>
      </c>
      <c r="H358" s="91">
        <v>4</v>
      </c>
    </row>
    <row r="359" spans="1:8" ht="15.95" customHeight="1" x14ac:dyDescent="0.3">
      <c r="A359" s="91">
        <f t="shared" si="19"/>
        <v>12140</v>
      </c>
      <c r="B359" s="9" t="s">
        <v>60</v>
      </c>
      <c r="C359" s="91"/>
      <c r="D359" s="91"/>
      <c r="E359" s="16" t="s">
        <v>58</v>
      </c>
      <c r="F359" s="16">
        <v>3</v>
      </c>
      <c r="G359" s="16">
        <f t="shared" si="18"/>
        <v>2</v>
      </c>
      <c r="H359" s="91">
        <v>4</v>
      </c>
    </row>
    <row r="360" spans="1:8" ht="15.95" customHeight="1" x14ac:dyDescent="0.3">
      <c r="A360" s="91">
        <f t="shared" si="19"/>
        <v>12148</v>
      </c>
      <c r="B360" s="9" t="s">
        <v>3</v>
      </c>
      <c r="C360" s="91"/>
      <c r="D360" s="91"/>
      <c r="E360" s="16" t="s">
        <v>58</v>
      </c>
      <c r="F360" s="16">
        <v>3</v>
      </c>
      <c r="G360" s="16">
        <f t="shared" si="18"/>
        <v>2</v>
      </c>
      <c r="H360" s="91">
        <v>4</v>
      </c>
    </row>
    <row r="361" spans="1:8" ht="15.95" customHeight="1" x14ac:dyDescent="0.3">
      <c r="A361" s="91">
        <f t="shared" si="19"/>
        <v>12156</v>
      </c>
      <c r="B361" s="9" t="s">
        <v>4</v>
      </c>
      <c r="C361" s="91"/>
      <c r="D361" s="91"/>
      <c r="E361" s="16" t="s">
        <v>58</v>
      </c>
      <c r="F361" s="16">
        <v>3</v>
      </c>
      <c r="G361" s="16">
        <f>IF(OR(E361="U16", E361="S16"),1,IF(E361="TS",6,2))</f>
        <v>2</v>
      </c>
      <c r="H361" s="91">
        <v>4</v>
      </c>
    </row>
    <row r="362" spans="1:8" ht="15.95" customHeight="1" x14ac:dyDescent="0.3">
      <c r="A362" s="91">
        <f t="shared" si="19"/>
        <v>12164</v>
      </c>
      <c r="B362" s="9" t="s">
        <v>61</v>
      </c>
      <c r="C362" s="91"/>
      <c r="D362" s="91"/>
      <c r="E362" s="16" t="s">
        <v>58</v>
      </c>
      <c r="F362" s="16">
        <v>3</v>
      </c>
      <c r="G362" s="16">
        <f>IF(OR(E362="U16", E362="S16"),1,IF(E362="TS",6,2))</f>
        <v>2</v>
      </c>
      <c r="H362" s="91">
        <v>4</v>
      </c>
    </row>
    <row r="363" spans="1:8" ht="15.95" customHeight="1" x14ac:dyDescent="0.3">
      <c r="A363" s="91">
        <f t="shared" si="19"/>
        <v>12172</v>
      </c>
      <c r="B363" s="9" t="s">
        <v>62</v>
      </c>
      <c r="C363" s="91"/>
      <c r="D363" s="91"/>
      <c r="E363" s="16" t="s">
        <v>58</v>
      </c>
      <c r="F363" s="16">
        <v>3</v>
      </c>
      <c r="G363" s="16">
        <f>IF(OR(E363="U16", E363="S16"),1,IF(E363="TS",6,2))</f>
        <v>2</v>
      </c>
      <c r="H363" s="91">
        <v>4</v>
      </c>
    </row>
    <row r="364" spans="1:8" ht="15.95" customHeight="1" x14ac:dyDescent="0.3">
      <c r="A364" s="91">
        <f t="shared" si="19"/>
        <v>12180</v>
      </c>
      <c r="B364" s="9" t="s">
        <v>63</v>
      </c>
      <c r="C364" s="91"/>
      <c r="D364" s="91"/>
      <c r="E364" s="16" t="s">
        <v>58</v>
      </c>
      <c r="F364" s="16">
        <v>3</v>
      </c>
      <c r="G364" s="16">
        <f>IF(OR(E364="U16", E364="S16"),1,IF(E364="TS",6,2))</f>
        <v>2</v>
      </c>
      <c r="H364" s="91">
        <v>4</v>
      </c>
    </row>
    <row r="365" spans="1:8" ht="15.95" customHeight="1" x14ac:dyDescent="0.3">
      <c r="A365" s="91">
        <f t="shared" si="19"/>
        <v>12188</v>
      </c>
      <c r="B365" s="9" t="s">
        <v>64</v>
      </c>
      <c r="C365" s="91"/>
      <c r="D365" s="91"/>
      <c r="E365" s="16" t="s">
        <v>58</v>
      </c>
      <c r="F365" s="16">
        <v>3</v>
      </c>
      <c r="G365" s="16">
        <f t="shared" si="18"/>
        <v>2</v>
      </c>
      <c r="H365" s="91">
        <v>4</v>
      </c>
    </row>
    <row r="366" spans="1:8" ht="15.95" customHeight="1" x14ac:dyDescent="0.3">
      <c r="A366" s="91">
        <f t="shared" si="19"/>
        <v>12196</v>
      </c>
      <c r="B366" s="9" t="s">
        <v>65</v>
      </c>
      <c r="C366" s="91"/>
      <c r="D366" s="91"/>
      <c r="E366" s="16" t="s">
        <v>58</v>
      </c>
      <c r="F366" s="16">
        <v>3</v>
      </c>
      <c r="G366" s="16">
        <f t="shared" si="18"/>
        <v>2</v>
      </c>
      <c r="H366" s="91">
        <v>4</v>
      </c>
    </row>
    <row r="367" spans="1:8" ht="15.95" customHeight="1" x14ac:dyDescent="0.3">
      <c r="A367" s="91">
        <f t="shared" si="19"/>
        <v>12204</v>
      </c>
      <c r="B367" s="9" t="s">
        <v>66</v>
      </c>
      <c r="C367" s="91"/>
      <c r="D367" s="91"/>
      <c r="E367" s="16" t="s">
        <v>58</v>
      </c>
      <c r="F367" s="16">
        <v>3</v>
      </c>
      <c r="G367" s="16">
        <f t="shared" si="18"/>
        <v>2</v>
      </c>
      <c r="H367" s="91">
        <v>4</v>
      </c>
    </row>
    <row r="368" spans="1:8" ht="15.95" customHeight="1" x14ac:dyDescent="0.3">
      <c r="A368" s="91">
        <f t="shared" si="19"/>
        <v>12212</v>
      </c>
      <c r="B368" s="9" t="s">
        <v>6</v>
      </c>
      <c r="C368" s="91"/>
      <c r="D368" s="91"/>
      <c r="E368" s="16" t="s">
        <v>58</v>
      </c>
      <c r="F368" s="16">
        <v>3</v>
      </c>
      <c r="G368" s="16">
        <f t="shared" si="18"/>
        <v>2</v>
      </c>
      <c r="H368" s="91">
        <v>4</v>
      </c>
    </row>
    <row r="369" spans="1:8" ht="15.95" customHeight="1" x14ac:dyDescent="0.3">
      <c r="A369" s="91">
        <f t="shared" si="19"/>
        <v>12220</v>
      </c>
      <c r="B369" s="9" t="s">
        <v>7</v>
      </c>
      <c r="C369" s="91"/>
      <c r="D369" s="91"/>
      <c r="E369" s="16" t="s">
        <v>58</v>
      </c>
      <c r="F369" s="16">
        <v>3</v>
      </c>
      <c r="G369" s="16">
        <f t="shared" si="18"/>
        <v>2</v>
      </c>
      <c r="H369" s="91">
        <v>4</v>
      </c>
    </row>
    <row r="370" spans="1:8" ht="15.95" customHeight="1" x14ac:dyDescent="0.3">
      <c r="A370" s="91">
        <f t="shared" si="19"/>
        <v>12228</v>
      </c>
      <c r="B370" s="9" t="s">
        <v>67</v>
      </c>
      <c r="C370" s="91"/>
      <c r="D370" s="91"/>
      <c r="E370" s="16" t="s">
        <v>58</v>
      </c>
      <c r="F370" s="16">
        <v>3</v>
      </c>
      <c r="G370" s="16">
        <f t="shared" si="18"/>
        <v>2</v>
      </c>
      <c r="H370" s="91">
        <v>4</v>
      </c>
    </row>
    <row r="371" spans="1:8" ht="15.95" customHeight="1" x14ac:dyDescent="0.3">
      <c r="A371" s="91">
        <f t="shared" si="19"/>
        <v>12236</v>
      </c>
      <c r="B371" s="9" t="s">
        <v>135</v>
      </c>
      <c r="C371" s="91"/>
      <c r="D371" s="91"/>
      <c r="E371" s="16" t="s">
        <v>58</v>
      </c>
      <c r="F371" s="16">
        <v>3</v>
      </c>
      <c r="G371" s="16">
        <f t="shared" si="18"/>
        <v>2</v>
      </c>
      <c r="H371" s="91">
        <v>4</v>
      </c>
    </row>
    <row r="372" spans="1:8" ht="15.95" customHeight="1" x14ac:dyDescent="0.3">
      <c r="A372" s="91">
        <f t="shared" si="19"/>
        <v>12244</v>
      </c>
      <c r="B372" s="9" t="s">
        <v>136</v>
      </c>
      <c r="C372" s="91"/>
      <c r="D372" s="91"/>
      <c r="E372" s="16" t="s">
        <v>58</v>
      </c>
      <c r="F372" s="16">
        <v>3</v>
      </c>
      <c r="G372" s="16">
        <f t="shared" si="18"/>
        <v>2</v>
      </c>
      <c r="H372" s="91">
        <v>4</v>
      </c>
    </row>
    <row r="373" spans="1:8" ht="15.95" customHeight="1" x14ac:dyDescent="0.3">
      <c r="A373" s="91">
        <f t="shared" si="19"/>
        <v>12252</v>
      </c>
      <c r="B373" s="9" t="s">
        <v>137</v>
      </c>
      <c r="C373" s="91"/>
      <c r="D373" s="91"/>
      <c r="E373" s="16" t="s">
        <v>58</v>
      </c>
      <c r="F373" s="16">
        <v>3</v>
      </c>
      <c r="G373" s="16">
        <f t="shared" si="18"/>
        <v>2</v>
      </c>
      <c r="H373" s="91">
        <v>4</v>
      </c>
    </row>
    <row r="374" spans="1:8" ht="15.95" customHeight="1" x14ac:dyDescent="0.3">
      <c r="A374" s="91">
        <f t="shared" si="19"/>
        <v>12260</v>
      </c>
      <c r="B374" s="9" t="s">
        <v>81</v>
      </c>
      <c r="C374" s="91"/>
      <c r="D374" s="91"/>
      <c r="E374" s="16" t="s">
        <v>58</v>
      </c>
      <c r="F374" s="16">
        <v>3</v>
      </c>
      <c r="G374" s="16">
        <f t="shared" si="18"/>
        <v>2</v>
      </c>
      <c r="H374" s="91">
        <v>4</v>
      </c>
    </row>
    <row r="375" spans="1:8" ht="15.95" customHeight="1" x14ac:dyDescent="0.3">
      <c r="A375" s="91">
        <f t="shared" si="19"/>
        <v>12268</v>
      </c>
      <c r="B375" s="9" t="s">
        <v>237</v>
      </c>
      <c r="C375" s="91"/>
      <c r="D375" s="91"/>
      <c r="E375" s="16" t="s">
        <v>58</v>
      </c>
      <c r="F375" s="16">
        <v>3</v>
      </c>
      <c r="G375" s="16">
        <f t="shared" si="18"/>
        <v>2</v>
      </c>
      <c r="H375" s="91">
        <v>4</v>
      </c>
    </row>
    <row r="376" spans="1:8" ht="15.95" customHeight="1" x14ac:dyDescent="0.3">
      <c r="A376" s="91">
        <f t="shared" si="19"/>
        <v>12276</v>
      </c>
      <c r="B376" s="9" t="s">
        <v>238</v>
      </c>
      <c r="C376" s="91"/>
      <c r="D376" s="91"/>
      <c r="E376" s="16" t="s">
        <v>58</v>
      </c>
      <c r="F376" s="16">
        <v>3</v>
      </c>
      <c r="G376" s="16">
        <f t="shared" si="18"/>
        <v>2</v>
      </c>
      <c r="H376" s="91">
        <v>4</v>
      </c>
    </row>
    <row r="377" spans="1:8" ht="15.95" customHeight="1" x14ac:dyDescent="0.3">
      <c r="A377" s="91">
        <f t="shared" si="19"/>
        <v>12284</v>
      </c>
      <c r="B377" s="9" t="s">
        <v>239</v>
      </c>
      <c r="C377" s="91"/>
      <c r="D377" s="91"/>
      <c r="E377" s="16" t="s">
        <v>58</v>
      </c>
      <c r="F377" s="16">
        <v>3</v>
      </c>
      <c r="G377" s="16">
        <f t="shared" si="18"/>
        <v>2</v>
      </c>
      <c r="H377" s="91">
        <v>4</v>
      </c>
    </row>
    <row r="378" spans="1:8" ht="15.95" customHeight="1" x14ac:dyDescent="0.3">
      <c r="A378" s="91">
        <f t="shared" si="19"/>
        <v>12292</v>
      </c>
      <c r="B378" s="9" t="s">
        <v>240</v>
      </c>
      <c r="C378" s="91"/>
      <c r="D378" s="91"/>
      <c r="E378" s="16" t="s">
        <v>58</v>
      </c>
      <c r="F378" s="16">
        <v>3</v>
      </c>
      <c r="G378" s="16">
        <f t="shared" si="18"/>
        <v>2</v>
      </c>
      <c r="H378" s="91">
        <v>4</v>
      </c>
    </row>
    <row r="379" spans="1:8" ht="15.95" customHeight="1" x14ac:dyDescent="0.3">
      <c r="A379" s="91">
        <f t="shared" si="19"/>
        <v>12300</v>
      </c>
      <c r="B379" s="9" t="s">
        <v>241</v>
      </c>
      <c r="C379" s="91"/>
      <c r="D379" s="91"/>
      <c r="E379" s="16" t="s">
        <v>58</v>
      </c>
      <c r="F379" s="16">
        <v>3</v>
      </c>
      <c r="G379" s="16">
        <f t="shared" si="18"/>
        <v>2</v>
      </c>
      <c r="H379" s="91">
        <v>4</v>
      </c>
    </row>
    <row r="380" spans="1:8" ht="15.95" customHeight="1" x14ac:dyDescent="0.3">
      <c r="A380" s="91">
        <f t="shared" si="19"/>
        <v>12308</v>
      </c>
      <c r="B380" s="9" t="s">
        <v>242</v>
      </c>
      <c r="C380" s="91"/>
      <c r="D380" s="91"/>
      <c r="E380" s="16" t="s">
        <v>58</v>
      </c>
      <c r="F380" s="16">
        <v>3</v>
      </c>
      <c r="G380" s="16">
        <f t="shared" si="18"/>
        <v>2</v>
      </c>
      <c r="H380" s="91">
        <v>4</v>
      </c>
    </row>
    <row r="381" spans="1:8" ht="15.95" customHeight="1" x14ac:dyDescent="0.3">
      <c r="A381" s="91">
        <f t="shared" si="19"/>
        <v>12316</v>
      </c>
      <c r="B381" s="9" t="s">
        <v>243</v>
      </c>
      <c r="C381" s="91"/>
      <c r="D381" s="91"/>
      <c r="E381" s="16" t="s">
        <v>58</v>
      </c>
      <c r="F381" s="16">
        <v>3</v>
      </c>
      <c r="G381" s="16">
        <f t="shared" si="18"/>
        <v>2</v>
      </c>
      <c r="H381" s="91">
        <v>4</v>
      </c>
    </row>
    <row r="382" spans="1:8" ht="15.95" customHeight="1" x14ac:dyDescent="0.3">
      <c r="A382" s="91">
        <f t="shared" si="19"/>
        <v>12324</v>
      </c>
      <c r="B382" s="9" t="s">
        <v>25</v>
      </c>
      <c r="C382" s="91"/>
      <c r="D382" s="91"/>
      <c r="E382" s="16" t="s">
        <v>58</v>
      </c>
      <c r="F382" s="16">
        <v>3</v>
      </c>
      <c r="G382" s="16">
        <f t="shared" si="18"/>
        <v>2</v>
      </c>
      <c r="H382" s="91">
        <v>4</v>
      </c>
    </row>
    <row r="383" spans="1:8" ht="15.95" customHeight="1" x14ac:dyDescent="0.3">
      <c r="A383" s="91">
        <f t="shared" si="19"/>
        <v>12332</v>
      </c>
      <c r="B383" s="9" t="s">
        <v>26</v>
      </c>
      <c r="C383" s="91"/>
      <c r="D383" s="91"/>
      <c r="E383" s="16" t="s">
        <v>58</v>
      </c>
      <c r="F383" s="16">
        <v>3</v>
      </c>
      <c r="G383" s="16">
        <f>IF(OR(E383="U16", E383="S16"),1,IF(E383="TS",6,2))</f>
        <v>2</v>
      </c>
      <c r="H383" s="91">
        <v>4</v>
      </c>
    </row>
    <row r="384" spans="1:8" ht="15.95" customHeight="1" x14ac:dyDescent="0.3">
      <c r="A384" s="91">
        <f t="shared" si="19"/>
        <v>12340</v>
      </c>
      <c r="B384" s="9" t="s">
        <v>402</v>
      </c>
      <c r="C384" s="91"/>
      <c r="D384" s="91"/>
      <c r="E384" s="16" t="s">
        <v>259</v>
      </c>
      <c r="F384" s="16">
        <v>3</v>
      </c>
      <c r="G384" s="16">
        <f>IF(OR(E384="U16", E384="S16"),1,IF(E384="TS",6,2))</f>
        <v>2</v>
      </c>
      <c r="H384" s="91">
        <v>1</v>
      </c>
    </row>
    <row r="385" spans="1:8" ht="15.95" customHeight="1" x14ac:dyDescent="0.3">
      <c r="A385" s="91">
        <f t="shared" si="19"/>
        <v>12342</v>
      </c>
      <c r="B385" s="9" t="s">
        <v>196</v>
      </c>
      <c r="C385" s="91"/>
      <c r="D385" s="91"/>
      <c r="E385" s="16" t="s">
        <v>123</v>
      </c>
      <c r="F385" s="16">
        <v>3</v>
      </c>
      <c r="G385" s="16">
        <f t="shared" si="18"/>
        <v>1</v>
      </c>
      <c r="H385" s="91">
        <v>1</v>
      </c>
    </row>
    <row r="386" spans="1:8" ht="15.95" customHeight="1" x14ac:dyDescent="0.3">
      <c r="A386" s="91">
        <f t="shared" si="19"/>
        <v>12343</v>
      </c>
      <c r="B386" s="9" t="s">
        <v>398</v>
      </c>
      <c r="C386" s="91"/>
      <c r="D386" s="91"/>
      <c r="E386" s="16" t="s">
        <v>123</v>
      </c>
      <c r="F386" s="16">
        <v>3</v>
      </c>
      <c r="G386" s="16">
        <f>IF(OR(E386="U16", E386="S16"),1,IF(E386="TS",6,2))</f>
        <v>1</v>
      </c>
      <c r="H386" s="91">
        <v>1</v>
      </c>
    </row>
    <row r="387" spans="1:8" ht="15.95" customHeight="1" x14ac:dyDescent="0.3">
      <c r="A387" s="91">
        <f t="shared" si="19"/>
        <v>12344</v>
      </c>
      <c r="B387" s="9"/>
      <c r="C387" s="91"/>
      <c r="D387" s="91"/>
      <c r="E387" s="16" t="s">
        <v>123</v>
      </c>
      <c r="F387" s="16">
        <v>3</v>
      </c>
      <c r="G387" s="16">
        <f>IF(OR(E387="U16", E387="S16"),1,IF(E387="TS",6,2))</f>
        <v>1</v>
      </c>
      <c r="H387" s="91">
        <v>6</v>
      </c>
    </row>
    <row r="388" spans="1:8" ht="15.95" customHeight="1" x14ac:dyDescent="0.3">
      <c r="A388" s="122" t="s">
        <v>438</v>
      </c>
      <c r="B388" s="122"/>
      <c r="C388" s="122"/>
      <c r="D388" s="122"/>
      <c r="E388" s="122"/>
      <c r="F388" s="122"/>
      <c r="G388" s="122"/>
      <c r="H388" s="122"/>
    </row>
    <row r="389" spans="1:8" ht="15.95" customHeight="1" x14ac:dyDescent="0.3">
      <c r="A389" s="91">
        <f>A387+(G387*H387)</f>
        <v>12350</v>
      </c>
      <c r="B389" s="9" t="s">
        <v>400</v>
      </c>
      <c r="C389" s="91"/>
      <c r="D389" s="91"/>
      <c r="E389" s="16" t="s">
        <v>123</v>
      </c>
      <c r="F389" s="16">
        <v>3</v>
      </c>
      <c r="G389" s="16">
        <f t="shared" ref="G389:G428" si="23">IF(OR(E389="U16", E389="S16"),1,IF(E389="TS",6,2))</f>
        <v>1</v>
      </c>
      <c r="H389" s="91">
        <v>1</v>
      </c>
    </row>
    <row r="390" spans="1:8" ht="15.95" customHeight="1" x14ac:dyDescent="0.3">
      <c r="A390" s="91">
        <f t="shared" ref="A390:A430" si="24">A389+(G389*H389)</f>
        <v>12351</v>
      </c>
      <c r="B390" s="9" t="s">
        <v>401</v>
      </c>
      <c r="C390" s="91"/>
      <c r="D390" s="91"/>
      <c r="E390" s="16" t="s">
        <v>123</v>
      </c>
      <c r="F390" s="16">
        <v>3</v>
      </c>
      <c r="G390" s="16">
        <f t="shared" si="23"/>
        <v>1</v>
      </c>
      <c r="H390" s="91">
        <v>1</v>
      </c>
    </row>
    <row r="391" spans="1:8" ht="15.95" customHeight="1" thickBot="1" x14ac:dyDescent="0.35">
      <c r="A391" s="92">
        <f t="shared" si="24"/>
        <v>12352</v>
      </c>
      <c r="B391" s="27" t="s">
        <v>811</v>
      </c>
      <c r="C391" s="92"/>
      <c r="D391" s="92"/>
      <c r="E391" s="18" t="s">
        <v>259</v>
      </c>
      <c r="F391" s="18">
        <v>3</v>
      </c>
      <c r="G391" s="18">
        <f t="shared" si="23"/>
        <v>2</v>
      </c>
      <c r="H391" s="92">
        <v>1</v>
      </c>
    </row>
    <row r="392" spans="1:8" ht="15.95" customHeight="1" x14ac:dyDescent="0.3">
      <c r="A392" s="36">
        <f t="shared" si="24"/>
        <v>12354</v>
      </c>
      <c r="B392" s="140" t="s">
        <v>812</v>
      </c>
      <c r="C392" s="63" t="s">
        <v>813</v>
      </c>
      <c r="D392" s="37"/>
      <c r="E392" s="37" t="s">
        <v>123</v>
      </c>
      <c r="F392" s="37">
        <v>3</v>
      </c>
      <c r="G392" s="37">
        <f t="shared" si="23"/>
        <v>1</v>
      </c>
      <c r="H392" s="38">
        <v>1</v>
      </c>
    </row>
    <row r="393" spans="1:8" ht="15.95" customHeight="1" x14ac:dyDescent="0.3">
      <c r="A393" s="69">
        <f t="shared" si="24"/>
        <v>12355</v>
      </c>
      <c r="B393" s="141"/>
      <c r="C393" s="62" t="s">
        <v>814</v>
      </c>
      <c r="D393" s="102"/>
      <c r="E393" s="102" t="s">
        <v>123</v>
      </c>
      <c r="F393" s="102">
        <v>3</v>
      </c>
      <c r="G393" s="102">
        <f t="shared" si="23"/>
        <v>1</v>
      </c>
      <c r="H393" s="71">
        <v>1</v>
      </c>
    </row>
    <row r="394" spans="1:8" ht="15.95" customHeight="1" x14ac:dyDescent="0.3">
      <c r="A394" s="69">
        <f t="shared" si="24"/>
        <v>12356</v>
      </c>
      <c r="B394" s="141"/>
      <c r="C394" s="62" t="s">
        <v>815</v>
      </c>
      <c r="D394" s="102"/>
      <c r="E394" s="102" t="s">
        <v>58</v>
      </c>
      <c r="F394" s="102">
        <v>3</v>
      </c>
      <c r="G394" s="102">
        <f t="shared" si="23"/>
        <v>2</v>
      </c>
      <c r="H394" s="71">
        <v>1</v>
      </c>
    </row>
    <row r="395" spans="1:8" ht="15.95" customHeight="1" x14ac:dyDescent="0.3">
      <c r="A395" s="69">
        <f t="shared" si="24"/>
        <v>12358</v>
      </c>
      <c r="B395" s="141"/>
      <c r="C395" s="62" t="s">
        <v>816</v>
      </c>
      <c r="D395" s="102"/>
      <c r="E395" s="102" t="s">
        <v>123</v>
      </c>
      <c r="F395" s="102">
        <v>3</v>
      </c>
      <c r="G395" s="102">
        <f t="shared" si="23"/>
        <v>1</v>
      </c>
      <c r="H395" s="71">
        <v>1</v>
      </c>
    </row>
    <row r="396" spans="1:8" ht="15.95" customHeight="1" thickBot="1" x14ac:dyDescent="0.35">
      <c r="A396" s="39">
        <f t="shared" si="24"/>
        <v>12359</v>
      </c>
      <c r="B396" s="142"/>
      <c r="C396" s="64" t="s">
        <v>817</v>
      </c>
      <c r="D396" s="40"/>
      <c r="E396" s="40" t="s">
        <v>123</v>
      </c>
      <c r="F396" s="40">
        <v>3</v>
      </c>
      <c r="G396" s="40">
        <f t="shared" si="23"/>
        <v>1</v>
      </c>
      <c r="H396" s="41">
        <v>1</v>
      </c>
    </row>
    <row r="397" spans="1:8" ht="15.95" customHeight="1" x14ac:dyDescent="0.3">
      <c r="A397" s="93">
        <f t="shared" si="24"/>
        <v>12360</v>
      </c>
      <c r="B397" s="32" t="s">
        <v>818</v>
      </c>
      <c r="C397" s="93"/>
      <c r="D397" s="93"/>
      <c r="E397" s="34" t="s">
        <v>123</v>
      </c>
      <c r="F397" s="34">
        <v>3</v>
      </c>
      <c r="G397" s="34">
        <f t="shared" si="23"/>
        <v>1</v>
      </c>
      <c r="H397" s="93">
        <v>6</v>
      </c>
    </row>
    <row r="398" spans="1:8" ht="15.95" customHeight="1" x14ac:dyDescent="0.3">
      <c r="A398" s="91">
        <f t="shared" si="24"/>
        <v>12366</v>
      </c>
      <c r="B398" s="9" t="s">
        <v>819</v>
      </c>
      <c r="C398" s="91"/>
      <c r="D398" s="91"/>
      <c r="E398" s="16" t="s">
        <v>123</v>
      </c>
      <c r="F398" s="16">
        <v>3</v>
      </c>
      <c r="G398" s="16">
        <f t="shared" si="23"/>
        <v>1</v>
      </c>
      <c r="H398" s="91">
        <v>6</v>
      </c>
    </row>
    <row r="399" spans="1:8" ht="15.95" customHeight="1" x14ac:dyDescent="0.3">
      <c r="A399" s="91">
        <f t="shared" si="24"/>
        <v>12372</v>
      </c>
      <c r="B399" s="9" t="s">
        <v>820</v>
      </c>
      <c r="C399" s="91"/>
      <c r="D399" s="91"/>
      <c r="E399" s="16" t="s">
        <v>123</v>
      </c>
      <c r="F399" s="16">
        <v>3</v>
      </c>
      <c r="G399" s="16">
        <f t="shared" si="23"/>
        <v>1</v>
      </c>
      <c r="H399" s="91">
        <v>6</v>
      </c>
    </row>
    <row r="400" spans="1:8" ht="15.95" customHeight="1" x14ac:dyDescent="0.3">
      <c r="A400" s="91">
        <f t="shared" si="24"/>
        <v>12378</v>
      </c>
      <c r="B400" s="9" t="s">
        <v>821</v>
      </c>
      <c r="C400" s="91"/>
      <c r="D400" s="91"/>
      <c r="E400" s="16" t="s">
        <v>123</v>
      </c>
      <c r="F400" s="16">
        <v>3</v>
      </c>
      <c r="G400" s="16">
        <f t="shared" si="23"/>
        <v>1</v>
      </c>
      <c r="H400" s="91">
        <v>6</v>
      </c>
    </row>
    <row r="401" spans="1:8" ht="15.95" customHeight="1" x14ac:dyDescent="0.3">
      <c r="A401" s="91">
        <f t="shared" si="24"/>
        <v>12384</v>
      </c>
      <c r="B401" s="9" t="s">
        <v>822</v>
      </c>
      <c r="C401" s="91"/>
      <c r="D401" s="91"/>
      <c r="E401" s="16" t="s">
        <v>123</v>
      </c>
      <c r="F401" s="16">
        <v>3</v>
      </c>
      <c r="G401" s="16">
        <f t="shared" si="23"/>
        <v>1</v>
      </c>
      <c r="H401" s="91">
        <v>6</v>
      </c>
    </row>
    <row r="402" spans="1:8" ht="15.95" customHeight="1" x14ac:dyDescent="0.3">
      <c r="A402" s="91">
        <f t="shared" si="24"/>
        <v>12390</v>
      </c>
      <c r="B402" s="9" t="s">
        <v>823</v>
      </c>
      <c r="C402" s="91"/>
      <c r="D402" s="91"/>
      <c r="E402" s="16" t="s">
        <v>123</v>
      </c>
      <c r="F402" s="16">
        <v>3</v>
      </c>
      <c r="G402" s="16">
        <f t="shared" si="23"/>
        <v>1</v>
      </c>
      <c r="H402" s="91">
        <v>6</v>
      </c>
    </row>
    <row r="403" spans="1:8" ht="15.95" customHeight="1" x14ac:dyDescent="0.3">
      <c r="A403" s="91">
        <f t="shared" si="24"/>
        <v>12396</v>
      </c>
      <c r="B403" s="9" t="s">
        <v>824</v>
      </c>
      <c r="C403" s="91"/>
      <c r="D403" s="91"/>
      <c r="E403" s="16" t="s">
        <v>123</v>
      </c>
      <c r="F403" s="16">
        <v>3</v>
      </c>
      <c r="G403" s="16">
        <f t="shared" si="23"/>
        <v>1</v>
      </c>
      <c r="H403" s="91">
        <v>6</v>
      </c>
    </row>
    <row r="404" spans="1:8" ht="15.95" customHeight="1" x14ac:dyDescent="0.3">
      <c r="A404" s="91">
        <f t="shared" si="24"/>
        <v>12402</v>
      </c>
      <c r="B404" s="9" t="s">
        <v>825</v>
      </c>
      <c r="C404" s="91"/>
      <c r="D404" s="91"/>
      <c r="E404" s="16" t="s">
        <v>123</v>
      </c>
      <c r="F404" s="16">
        <v>3</v>
      </c>
      <c r="G404" s="16">
        <f t="shared" si="23"/>
        <v>1</v>
      </c>
      <c r="H404" s="91">
        <v>6</v>
      </c>
    </row>
    <row r="405" spans="1:8" ht="15.95" customHeight="1" x14ac:dyDescent="0.3">
      <c r="A405" s="91">
        <f t="shared" si="24"/>
        <v>12408</v>
      </c>
      <c r="B405" s="9" t="s">
        <v>826</v>
      </c>
      <c r="C405" s="91"/>
      <c r="D405" s="91"/>
      <c r="E405" s="16" t="s">
        <v>123</v>
      </c>
      <c r="F405" s="16">
        <v>3</v>
      </c>
      <c r="G405" s="16">
        <f t="shared" si="23"/>
        <v>1</v>
      </c>
      <c r="H405" s="91">
        <v>6</v>
      </c>
    </row>
    <row r="406" spans="1:8" ht="15.95" customHeight="1" x14ac:dyDescent="0.3">
      <c r="A406" s="91">
        <f t="shared" si="24"/>
        <v>12414</v>
      </c>
      <c r="B406" s="9" t="s">
        <v>827</v>
      </c>
      <c r="C406" s="91"/>
      <c r="D406" s="91"/>
      <c r="E406" s="16" t="s">
        <v>123</v>
      </c>
      <c r="F406" s="16">
        <v>3</v>
      </c>
      <c r="G406" s="16">
        <f t="shared" si="23"/>
        <v>1</v>
      </c>
      <c r="H406" s="91">
        <v>6</v>
      </c>
    </row>
    <row r="407" spans="1:8" ht="15.95" customHeight="1" x14ac:dyDescent="0.3">
      <c r="A407" s="91">
        <f t="shared" si="24"/>
        <v>12420</v>
      </c>
      <c r="B407" s="9" t="s">
        <v>828</v>
      </c>
      <c r="C407" s="91"/>
      <c r="D407" s="91"/>
      <c r="E407" s="16" t="s">
        <v>123</v>
      </c>
      <c r="F407" s="16">
        <v>3</v>
      </c>
      <c r="G407" s="16">
        <f t="shared" si="23"/>
        <v>1</v>
      </c>
      <c r="H407" s="91">
        <v>6</v>
      </c>
    </row>
    <row r="408" spans="1:8" ht="15.95" customHeight="1" x14ac:dyDescent="0.3">
      <c r="A408" s="91">
        <f t="shared" si="24"/>
        <v>12426</v>
      </c>
      <c r="B408" s="9" t="s">
        <v>829</v>
      </c>
      <c r="C408" s="91"/>
      <c r="D408" s="91"/>
      <c r="E408" s="16" t="s">
        <v>123</v>
      </c>
      <c r="F408" s="16">
        <v>3</v>
      </c>
      <c r="G408" s="16">
        <f t="shared" si="23"/>
        <v>1</v>
      </c>
      <c r="H408" s="91">
        <v>6</v>
      </c>
    </row>
    <row r="409" spans="1:8" ht="15.95" customHeight="1" x14ac:dyDescent="0.3">
      <c r="A409" s="91">
        <f t="shared" si="24"/>
        <v>12432</v>
      </c>
      <c r="B409" s="9" t="s">
        <v>830</v>
      </c>
      <c r="C409" s="91"/>
      <c r="D409" s="91"/>
      <c r="E409" s="16" t="s">
        <v>123</v>
      </c>
      <c r="F409" s="16">
        <v>3</v>
      </c>
      <c r="G409" s="16">
        <f t="shared" si="23"/>
        <v>1</v>
      </c>
      <c r="H409" s="91">
        <v>6</v>
      </c>
    </row>
    <row r="410" spans="1:8" ht="15.95" customHeight="1" x14ac:dyDescent="0.3">
      <c r="A410" s="91">
        <f t="shared" si="24"/>
        <v>12438</v>
      </c>
      <c r="B410" s="9" t="s">
        <v>831</v>
      </c>
      <c r="C410" s="91"/>
      <c r="D410" s="91"/>
      <c r="E410" s="16" t="s">
        <v>123</v>
      </c>
      <c r="F410" s="16">
        <v>3</v>
      </c>
      <c r="G410" s="16">
        <f t="shared" si="23"/>
        <v>1</v>
      </c>
      <c r="H410" s="91">
        <v>6</v>
      </c>
    </row>
    <row r="411" spans="1:8" ht="15.95" customHeight="1" x14ac:dyDescent="0.3">
      <c r="A411" s="91">
        <f t="shared" si="24"/>
        <v>12444</v>
      </c>
      <c r="B411" s="9" t="s">
        <v>832</v>
      </c>
      <c r="C411" s="91"/>
      <c r="D411" s="91"/>
      <c r="E411" s="16" t="s">
        <v>123</v>
      </c>
      <c r="F411" s="16">
        <v>3</v>
      </c>
      <c r="G411" s="16">
        <f t="shared" si="23"/>
        <v>1</v>
      </c>
      <c r="H411" s="91">
        <v>6</v>
      </c>
    </row>
    <row r="412" spans="1:8" ht="15.95" customHeight="1" x14ac:dyDescent="0.3">
      <c r="A412" s="91">
        <f t="shared" si="24"/>
        <v>12450</v>
      </c>
      <c r="B412" s="9" t="s">
        <v>833</v>
      </c>
      <c r="C412" s="91"/>
      <c r="D412" s="91"/>
      <c r="E412" s="16" t="s">
        <v>123</v>
      </c>
      <c r="F412" s="16">
        <v>3</v>
      </c>
      <c r="G412" s="16">
        <f t="shared" si="23"/>
        <v>1</v>
      </c>
      <c r="H412" s="91">
        <v>6</v>
      </c>
    </row>
    <row r="413" spans="1:8" ht="15.95" customHeight="1" x14ac:dyDescent="0.3">
      <c r="A413" s="91">
        <f t="shared" si="24"/>
        <v>12456</v>
      </c>
      <c r="B413" s="9" t="s">
        <v>834</v>
      </c>
      <c r="C413" s="91"/>
      <c r="D413" s="91"/>
      <c r="E413" s="16" t="s">
        <v>123</v>
      </c>
      <c r="F413" s="16">
        <v>3</v>
      </c>
      <c r="G413" s="16">
        <f t="shared" si="23"/>
        <v>1</v>
      </c>
      <c r="H413" s="91">
        <v>6</v>
      </c>
    </row>
    <row r="414" spans="1:8" ht="15.95" customHeight="1" x14ac:dyDescent="0.3">
      <c r="A414" s="91">
        <f t="shared" si="24"/>
        <v>12462</v>
      </c>
      <c r="B414" s="9" t="s">
        <v>835</v>
      </c>
      <c r="C414" s="91"/>
      <c r="D414" s="91"/>
      <c r="E414" s="16" t="s">
        <v>123</v>
      </c>
      <c r="F414" s="16">
        <v>3</v>
      </c>
      <c r="G414" s="16">
        <f t="shared" si="23"/>
        <v>1</v>
      </c>
      <c r="H414" s="91">
        <v>6</v>
      </c>
    </row>
    <row r="415" spans="1:8" ht="15.95" customHeight="1" x14ac:dyDescent="0.3">
      <c r="A415" s="91">
        <f t="shared" si="24"/>
        <v>12468</v>
      </c>
      <c r="B415" s="9" t="s">
        <v>836</v>
      </c>
      <c r="C415" s="91"/>
      <c r="D415" s="91"/>
      <c r="E415" s="16" t="s">
        <v>123</v>
      </c>
      <c r="F415" s="16">
        <v>3</v>
      </c>
      <c r="G415" s="16">
        <f t="shared" si="23"/>
        <v>1</v>
      </c>
      <c r="H415" s="91">
        <v>6</v>
      </c>
    </row>
    <row r="416" spans="1:8" ht="15.95" customHeight="1" x14ac:dyDescent="0.3">
      <c r="A416" s="91">
        <f t="shared" si="24"/>
        <v>12474</v>
      </c>
      <c r="B416" s="9" t="s">
        <v>837</v>
      </c>
      <c r="C416" s="91"/>
      <c r="D416" s="91"/>
      <c r="E416" s="16" t="s">
        <v>123</v>
      </c>
      <c r="F416" s="16">
        <v>3</v>
      </c>
      <c r="G416" s="16">
        <f t="shared" si="23"/>
        <v>1</v>
      </c>
      <c r="H416" s="91">
        <v>6</v>
      </c>
    </row>
    <row r="417" spans="1:8" ht="15.95" customHeight="1" x14ac:dyDescent="0.3">
      <c r="A417" s="91">
        <f t="shared" si="24"/>
        <v>12480</v>
      </c>
      <c r="B417" s="9" t="s">
        <v>838</v>
      </c>
      <c r="C417" s="91"/>
      <c r="D417" s="91"/>
      <c r="E417" s="16" t="s">
        <v>123</v>
      </c>
      <c r="F417" s="16">
        <v>3</v>
      </c>
      <c r="G417" s="16">
        <f t="shared" si="23"/>
        <v>1</v>
      </c>
      <c r="H417" s="91">
        <v>6</v>
      </c>
    </row>
    <row r="418" spans="1:8" ht="15.95" customHeight="1" x14ac:dyDescent="0.3">
      <c r="A418" s="91">
        <f t="shared" si="24"/>
        <v>12486</v>
      </c>
      <c r="B418" s="9" t="s">
        <v>839</v>
      </c>
      <c r="C418" s="91"/>
      <c r="D418" s="91"/>
      <c r="E418" s="16" t="s">
        <v>123</v>
      </c>
      <c r="F418" s="16">
        <v>3</v>
      </c>
      <c r="G418" s="16">
        <f t="shared" si="23"/>
        <v>1</v>
      </c>
      <c r="H418" s="91">
        <v>6</v>
      </c>
    </row>
    <row r="419" spans="1:8" ht="15.95" customHeight="1" x14ac:dyDescent="0.3">
      <c r="A419" s="91">
        <f t="shared" si="24"/>
        <v>12492</v>
      </c>
      <c r="B419" s="9" t="s">
        <v>840</v>
      </c>
      <c r="C419" s="91"/>
      <c r="D419" s="91"/>
      <c r="E419" s="16" t="s">
        <v>123</v>
      </c>
      <c r="F419" s="16">
        <v>3</v>
      </c>
      <c r="G419" s="16">
        <f t="shared" si="23"/>
        <v>1</v>
      </c>
      <c r="H419" s="91">
        <v>6</v>
      </c>
    </row>
    <row r="420" spans="1:8" ht="15.95" customHeight="1" x14ac:dyDescent="0.3">
      <c r="A420" s="91">
        <f t="shared" si="24"/>
        <v>12498</v>
      </c>
      <c r="B420" s="9" t="s">
        <v>841</v>
      </c>
      <c r="C420" s="91"/>
      <c r="D420" s="91"/>
      <c r="E420" s="16" t="s">
        <v>123</v>
      </c>
      <c r="F420" s="16">
        <v>3</v>
      </c>
      <c r="G420" s="16">
        <f t="shared" si="23"/>
        <v>1</v>
      </c>
      <c r="H420" s="91">
        <v>6</v>
      </c>
    </row>
    <row r="421" spans="1:8" ht="15.95" customHeight="1" x14ac:dyDescent="0.3">
      <c r="A421" s="91">
        <f t="shared" si="24"/>
        <v>12504</v>
      </c>
      <c r="B421" s="9" t="s">
        <v>842</v>
      </c>
      <c r="C421" s="91"/>
      <c r="D421" s="91"/>
      <c r="E421" s="16" t="s">
        <v>123</v>
      </c>
      <c r="F421" s="16">
        <v>3</v>
      </c>
      <c r="G421" s="16">
        <f t="shared" si="23"/>
        <v>1</v>
      </c>
      <c r="H421" s="91">
        <v>6</v>
      </c>
    </row>
    <row r="422" spans="1:8" ht="15.95" customHeight="1" x14ac:dyDescent="0.3">
      <c r="A422" s="91">
        <f t="shared" si="24"/>
        <v>12510</v>
      </c>
      <c r="B422" s="9" t="s">
        <v>843</v>
      </c>
      <c r="C422" s="91"/>
      <c r="D422" s="91"/>
      <c r="E422" s="16" t="s">
        <v>123</v>
      </c>
      <c r="F422" s="16">
        <v>3</v>
      </c>
      <c r="G422" s="16">
        <f t="shared" si="23"/>
        <v>1</v>
      </c>
      <c r="H422" s="91">
        <v>6</v>
      </c>
    </row>
    <row r="423" spans="1:8" ht="15.95" customHeight="1" x14ac:dyDescent="0.3">
      <c r="A423" s="91">
        <f t="shared" si="24"/>
        <v>12516</v>
      </c>
      <c r="B423" s="9" t="s">
        <v>844</v>
      </c>
      <c r="C423" s="91"/>
      <c r="D423" s="91"/>
      <c r="E423" s="16" t="s">
        <v>123</v>
      </c>
      <c r="F423" s="16">
        <v>3</v>
      </c>
      <c r="G423" s="16">
        <f t="shared" si="23"/>
        <v>1</v>
      </c>
      <c r="H423" s="91">
        <v>6</v>
      </c>
    </row>
    <row r="424" spans="1:8" ht="15.95" customHeight="1" x14ac:dyDescent="0.3">
      <c r="A424" s="91">
        <f t="shared" si="24"/>
        <v>12522</v>
      </c>
      <c r="B424" s="9" t="s">
        <v>845</v>
      </c>
      <c r="C424" s="91"/>
      <c r="D424" s="91"/>
      <c r="E424" s="16" t="s">
        <v>123</v>
      </c>
      <c r="F424" s="16">
        <v>3</v>
      </c>
      <c r="G424" s="16">
        <f t="shared" si="23"/>
        <v>1</v>
      </c>
      <c r="H424" s="91">
        <v>6</v>
      </c>
    </row>
    <row r="425" spans="1:8" ht="15.95" customHeight="1" x14ac:dyDescent="0.3">
      <c r="A425" s="91">
        <f t="shared" si="24"/>
        <v>12528</v>
      </c>
      <c r="B425" s="9" t="s">
        <v>846</v>
      </c>
      <c r="C425" s="91"/>
      <c r="D425" s="91"/>
      <c r="E425" s="16" t="s">
        <v>123</v>
      </c>
      <c r="F425" s="16">
        <v>3</v>
      </c>
      <c r="G425" s="16">
        <f t="shared" si="23"/>
        <v>1</v>
      </c>
      <c r="H425" s="91">
        <v>6</v>
      </c>
    </row>
    <row r="426" spans="1:8" ht="15.95" customHeight="1" x14ac:dyDescent="0.3">
      <c r="A426" s="91">
        <f t="shared" si="24"/>
        <v>12534</v>
      </c>
      <c r="B426" s="9" t="s">
        <v>847</v>
      </c>
      <c r="C426" s="91"/>
      <c r="D426" s="91"/>
      <c r="E426" s="16" t="s">
        <v>123</v>
      </c>
      <c r="F426" s="16">
        <v>3</v>
      </c>
      <c r="G426" s="16">
        <f t="shared" si="23"/>
        <v>1</v>
      </c>
      <c r="H426" s="91">
        <v>6</v>
      </c>
    </row>
    <row r="427" spans="1:8" ht="15.95" customHeight="1" x14ac:dyDescent="0.3">
      <c r="A427" s="91">
        <f t="shared" si="24"/>
        <v>12540</v>
      </c>
      <c r="B427" s="9" t="s">
        <v>848</v>
      </c>
      <c r="C427" s="91"/>
      <c r="D427" s="91"/>
      <c r="E427" s="16" t="s">
        <v>123</v>
      </c>
      <c r="F427" s="16">
        <v>3</v>
      </c>
      <c r="G427" s="16">
        <f t="shared" si="23"/>
        <v>1</v>
      </c>
      <c r="H427" s="91">
        <v>6</v>
      </c>
    </row>
    <row r="428" spans="1:8" ht="15.95" customHeight="1" x14ac:dyDescent="0.3">
      <c r="A428" s="91">
        <f t="shared" si="24"/>
        <v>12546</v>
      </c>
      <c r="B428" s="9" t="s">
        <v>849</v>
      </c>
      <c r="C428" s="91"/>
      <c r="D428" s="91"/>
      <c r="E428" s="16" t="s">
        <v>209</v>
      </c>
      <c r="F428" s="16">
        <v>3</v>
      </c>
      <c r="G428" s="16">
        <f t="shared" si="23"/>
        <v>2</v>
      </c>
      <c r="H428" s="91">
        <v>1</v>
      </c>
    </row>
    <row r="429" spans="1:8" ht="15.95" customHeight="1" x14ac:dyDescent="0.3">
      <c r="A429" s="91">
        <f t="shared" si="24"/>
        <v>12548</v>
      </c>
      <c r="B429" s="9" t="s">
        <v>1059</v>
      </c>
      <c r="C429" s="91" t="s">
        <v>1060</v>
      </c>
      <c r="D429" s="91"/>
      <c r="E429" s="16" t="s">
        <v>123</v>
      </c>
      <c r="F429" s="16">
        <v>3</v>
      </c>
      <c r="G429" s="16">
        <f>IF(OR(E429="U16", E429="S16"),1,IF(E429="TS",6,2))</f>
        <v>1</v>
      </c>
      <c r="H429" s="91">
        <v>1</v>
      </c>
    </row>
    <row r="430" spans="1:8" ht="15.95" customHeight="1" x14ac:dyDescent="0.3">
      <c r="A430" s="91">
        <f t="shared" si="24"/>
        <v>12549</v>
      </c>
      <c r="B430" s="9"/>
      <c r="C430" s="91"/>
      <c r="D430" s="91"/>
      <c r="E430" s="16" t="s">
        <v>123</v>
      </c>
      <c r="F430" s="16">
        <v>3</v>
      </c>
      <c r="G430" s="16">
        <f>IF(OR(E430="U16", E430="S16"),1,IF(E430="TS",6,2))</f>
        <v>1</v>
      </c>
      <c r="H430" s="91">
        <v>1</v>
      </c>
    </row>
    <row r="431" spans="1:8" ht="15.95" customHeight="1" x14ac:dyDescent="0.3">
      <c r="A431" s="122" t="s">
        <v>439</v>
      </c>
      <c r="B431" s="122"/>
      <c r="C431" s="122"/>
      <c r="D431" s="122"/>
      <c r="E431" s="122"/>
      <c r="F431" s="122"/>
      <c r="G431" s="122"/>
      <c r="H431" s="122"/>
    </row>
    <row r="432" spans="1:8" ht="15.95" customHeight="1" x14ac:dyDescent="0.3">
      <c r="A432" s="91">
        <f>A430+(G430*H430)</f>
        <v>12550</v>
      </c>
      <c r="B432" s="9" t="s">
        <v>269</v>
      </c>
      <c r="C432" s="91" t="s">
        <v>850</v>
      </c>
      <c r="D432" s="91"/>
      <c r="E432" s="16" t="s">
        <v>123</v>
      </c>
      <c r="F432" s="16">
        <v>3</v>
      </c>
      <c r="G432" s="16">
        <f t="shared" ref="G432:G471" si="25">IF(OR(E432="U16", E432="S16"),1,IF(E432="TS",6,2))</f>
        <v>1</v>
      </c>
      <c r="H432" s="91">
        <v>1</v>
      </c>
    </row>
    <row r="433" spans="1:8" ht="15.95" customHeight="1" x14ac:dyDescent="0.3">
      <c r="A433" s="91">
        <f t="shared" ref="A433:A472" si="26">A432+(G432*H432)</f>
        <v>12551</v>
      </c>
      <c r="B433" s="9" t="s">
        <v>270</v>
      </c>
      <c r="C433" s="91" t="s">
        <v>850</v>
      </c>
      <c r="D433" s="91"/>
      <c r="E433" s="16" t="s">
        <v>123</v>
      </c>
      <c r="F433" s="16">
        <v>3</v>
      </c>
      <c r="G433" s="16">
        <f t="shared" si="25"/>
        <v>1</v>
      </c>
      <c r="H433" s="91">
        <v>1</v>
      </c>
    </row>
    <row r="434" spans="1:8" ht="15.95" customHeight="1" x14ac:dyDescent="0.3">
      <c r="A434" s="91">
        <f t="shared" si="26"/>
        <v>12552</v>
      </c>
      <c r="B434" s="9" t="s">
        <v>271</v>
      </c>
      <c r="C434" s="91" t="s">
        <v>851</v>
      </c>
      <c r="D434" s="91"/>
      <c r="E434" s="16" t="s">
        <v>123</v>
      </c>
      <c r="F434" s="16">
        <v>3</v>
      </c>
      <c r="G434" s="16">
        <f t="shared" si="25"/>
        <v>1</v>
      </c>
      <c r="H434" s="91">
        <v>1</v>
      </c>
    </row>
    <row r="435" spans="1:8" ht="15.95" customHeight="1" x14ac:dyDescent="0.3">
      <c r="A435" s="91">
        <f t="shared" si="26"/>
        <v>12553</v>
      </c>
      <c r="B435" s="9" t="s">
        <v>1123</v>
      </c>
      <c r="C435" s="91"/>
      <c r="D435" s="91"/>
      <c r="E435" s="16" t="s">
        <v>123</v>
      </c>
      <c r="F435" s="16">
        <v>3</v>
      </c>
      <c r="G435" s="16">
        <f t="shared" si="25"/>
        <v>1</v>
      </c>
      <c r="H435" s="91">
        <v>1</v>
      </c>
    </row>
    <row r="436" spans="1:8" ht="15.95" customHeight="1" x14ac:dyDescent="0.3">
      <c r="A436" s="102">
        <f>A435+(G435*H435)</f>
        <v>12554</v>
      </c>
      <c r="B436" s="143" t="s">
        <v>852</v>
      </c>
      <c r="C436" s="62" t="s">
        <v>853</v>
      </c>
      <c r="D436" s="102"/>
      <c r="E436" s="102" t="s">
        <v>91</v>
      </c>
      <c r="F436" s="102">
        <v>3</v>
      </c>
      <c r="G436" s="102">
        <f t="shared" si="25"/>
        <v>2</v>
      </c>
      <c r="H436" s="102">
        <v>1</v>
      </c>
    </row>
    <row r="437" spans="1:8" ht="15.95" customHeight="1" x14ac:dyDescent="0.3">
      <c r="A437" s="102">
        <f>A436+(G436*H436)</f>
        <v>12556</v>
      </c>
      <c r="B437" s="143"/>
      <c r="C437" s="62" t="s">
        <v>854</v>
      </c>
      <c r="D437" s="102"/>
      <c r="E437" s="102" t="s">
        <v>123</v>
      </c>
      <c r="F437" s="102">
        <v>3</v>
      </c>
      <c r="G437" s="102">
        <v>1</v>
      </c>
      <c r="H437" s="102">
        <v>1</v>
      </c>
    </row>
    <row r="438" spans="1:8" ht="15.95" customHeight="1" x14ac:dyDescent="0.3">
      <c r="A438" s="102">
        <f>A437+(G437*H437)</f>
        <v>12557</v>
      </c>
      <c r="B438" s="143"/>
      <c r="C438" s="62" t="s">
        <v>855</v>
      </c>
      <c r="D438" s="102"/>
      <c r="E438" s="102" t="s">
        <v>123</v>
      </c>
      <c r="F438" s="102">
        <v>3</v>
      </c>
      <c r="G438" s="102">
        <f t="shared" si="25"/>
        <v>1</v>
      </c>
      <c r="H438" s="102">
        <v>1</v>
      </c>
    </row>
    <row r="439" spans="1:8" ht="15.95" customHeight="1" x14ac:dyDescent="0.3">
      <c r="A439" s="102">
        <f>A438+(G438*H438)</f>
        <v>12558</v>
      </c>
      <c r="B439" s="143"/>
      <c r="C439" s="62" t="s">
        <v>856</v>
      </c>
      <c r="D439" s="102"/>
      <c r="E439" s="102" t="s">
        <v>437</v>
      </c>
      <c r="F439" s="102">
        <v>3</v>
      </c>
      <c r="G439" s="102">
        <f>IF(OR(E439="U16", E439="S16"),1,IF(E439="TS",6,2))</f>
        <v>2</v>
      </c>
      <c r="H439" s="102">
        <v>1</v>
      </c>
    </row>
    <row r="440" spans="1:8" ht="15.95" customHeight="1" x14ac:dyDescent="0.3">
      <c r="A440" s="102">
        <f>A439+(G439*H439)</f>
        <v>12560</v>
      </c>
      <c r="B440" s="143"/>
      <c r="C440" s="62" t="s">
        <v>857</v>
      </c>
      <c r="D440" s="102"/>
      <c r="E440" s="102" t="s">
        <v>437</v>
      </c>
      <c r="F440" s="102">
        <v>3</v>
      </c>
      <c r="G440" s="102">
        <f t="shared" si="25"/>
        <v>2</v>
      </c>
      <c r="H440" s="102">
        <v>1</v>
      </c>
    </row>
    <row r="441" spans="1:8" ht="15.95" customHeight="1" x14ac:dyDescent="0.3">
      <c r="A441" s="91">
        <f t="shared" si="26"/>
        <v>12562</v>
      </c>
      <c r="B441" s="9" t="s">
        <v>858</v>
      </c>
      <c r="C441" s="91"/>
      <c r="D441" s="91"/>
      <c r="E441" s="16" t="s">
        <v>123</v>
      </c>
      <c r="F441" s="16">
        <v>3</v>
      </c>
      <c r="G441" s="16">
        <f t="shared" si="25"/>
        <v>1</v>
      </c>
      <c r="H441" s="91">
        <v>8</v>
      </c>
    </row>
    <row r="442" spans="1:8" ht="15.95" customHeight="1" x14ac:dyDescent="0.3">
      <c r="A442" s="91">
        <f t="shared" si="26"/>
        <v>12570</v>
      </c>
      <c r="B442" s="9" t="s">
        <v>859</v>
      </c>
      <c r="C442" s="91"/>
      <c r="D442" s="91"/>
      <c r="E442" s="16" t="s">
        <v>123</v>
      </c>
      <c r="F442" s="16">
        <v>3</v>
      </c>
      <c r="G442" s="16">
        <f t="shared" si="25"/>
        <v>1</v>
      </c>
      <c r="H442" s="91">
        <v>8</v>
      </c>
    </row>
    <row r="443" spans="1:8" ht="15.95" customHeight="1" x14ac:dyDescent="0.3">
      <c r="A443" s="91">
        <f t="shared" si="26"/>
        <v>12578</v>
      </c>
      <c r="B443" s="9" t="s">
        <v>860</v>
      </c>
      <c r="C443" s="91"/>
      <c r="D443" s="91"/>
      <c r="E443" s="16" t="s">
        <v>123</v>
      </c>
      <c r="F443" s="16">
        <v>3</v>
      </c>
      <c r="G443" s="16">
        <f t="shared" si="25"/>
        <v>1</v>
      </c>
      <c r="H443" s="91">
        <v>8</v>
      </c>
    </row>
    <row r="444" spans="1:8" ht="15.95" customHeight="1" x14ac:dyDescent="0.3">
      <c r="A444" s="91">
        <f t="shared" si="26"/>
        <v>12586</v>
      </c>
      <c r="B444" s="9" t="s">
        <v>861</v>
      </c>
      <c r="C444" s="91"/>
      <c r="D444" s="91"/>
      <c r="E444" s="16" t="s">
        <v>123</v>
      </c>
      <c r="F444" s="16">
        <v>3</v>
      </c>
      <c r="G444" s="16">
        <f t="shared" si="25"/>
        <v>1</v>
      </c>
      <c r="H444" s="91">
        <v>8</v>
      </c>
    </row>
    <row r="445" spans="1:8" ht="15.95" customHeight="1" x14ac:dyDescent="0.3">
      <c r="A445" s="91">
        <f t="shared" si="26"/>
        <v>12594</v>
      </c>
      <c r="B445" s="9" t="s">
        <v>862</v>
      </c>
      <c r="C445" s="91"/>
      <c r="D445" s="91"/>
      <c r="E445" s="16" t="s">
        <v>123</v>
      </c>
      <c r="F445" s="16">
        <v>3</v>
      </c>
      <c r="G445" s="16">
        <f t="shared" si="25"/>
        <v>1</v>
      </c>
      <c r="H445" s="91">
        <v>8</v>
      </c>
    </row>
    <row r="446" spans="1:8" ht="15.95" customHeight="1" x14ac:dyDescent="0.3">
      <c r="A446" s="91">
        <f t="shared" si="26"/>
        <v>12602</v>
      </c>
      <c r="B446" s="9" t="s">
        <v>863</v>
      </c>
      <c r="C446" s="91"/>
      <c r="D446" s="91"/>
      <c r="E446" s="16" t="s">
        <v>123</v>
      </c>
      <c r="F446" s="16">
        <v>3</v>
      </c>
      <c r="G446" s="16">
        <f t="shared" si="25"/>
        <v>1</v>
      </c>
      <c r="H446" s="91">
        <v>8</v>
      </c>
    </row>
    <row r="447" spans="1:8" ht="15.95" customHeight="1" x14ac:dyDescent="0.3">
      <c r="A447" s="91">
        <f t="shared" si="26"/>
        <v>12610</v>
      </c>
      <c r="B447" s="9" t="s">
        <v>864</v>
      </c>
      <c r="C447" s="91"/>
      <c r="D447" s="91"/>
      <c r="E447" s="16" t="s">
        <v>123</v>
      </c>
      <c r="F447" s="16">
        <v>3</v>
      </c>
      <c r="G447" s="16">
        <f t="shared" si="25"/>
        <v>1</v>
      </c>
      <c r="H447" s="91">
        <v>8</v>
      </c>
    </row>
    <row r="448" spans="1:8" ht="15.95" customHeight="1" x14ac:dyDescent="0.3">
      <c r="A448" s="91">
        <f t="shared" si="26"/>
        <v>12618</v>
      </c>
      <c r="B448" s="9" t="s">
        <v>865</v>
      </c>
      <c r="C448" s="91"/>
      <c r="D448" s="91"/>
      <c r="E448" s="16" t="s">
        <v>123</v>
      </c>
      <c r="F448" s="16">
        <v>3</v>
      </c>
      <c r="G448" s="16">
        <f t="shared" si="25"/>
        <v>1</v>
      </c>
      <c r="H448" s="91">
        <v>8</v>
      </c>
    </row>
    <row r="449" spans="1:8" ht="15.95" customHeight="1" x14ac:dyDescent="0.3">
      <c r="A449" s="91">
        <f t="shared" si="26"/>
        <v>12626</v>
      </c>
      <c r="B449" s="9" t="s">
        <v>866</v>
      </c>
      <c r="C449" s="91"/>
      <c r="D449" s="91"/>
      <c r="E449" s="16" t="s">
        <v>123</v>
      </c>
      <c r="F449" s="16">
        <v>3</v>
      </c>
      <c r="G449" s="16">
        <f t="shared" si="25"/>
        <v>1</v>
      </c>
      <c r="H449" s="91">
        <v>8</v>
      </c>
    </row>
    <row r="450" spans="1:8" ht="15.95" customHeight="1" x14ac:dyDescent="0.3">
      <c r="A450" s="91">
        <f t="shared" si="26"/>
        <v>12634</v>
      </c>
      <c r="B450" s="9" t="s">
        <v>867</v>
      </c>
      <c r="C450" s="91"/>
      <c r="D450" s="91"/>
      <c r="E450" s="16" t="s">
        <v>123</v>
      </c>
      <c r="F450" s="16">
        <v>3</v>
      </c>
      <c r="G450" s="16">
        <f t="shared" si="25"/>
        <v>1</v>
      </c>
      <c r="H450" s="91">
        <v>8</v>
      </c>
    </row>
    <row r="451" spans="1:8" ht="15.95" customHeight="1" x14ac:dyDescent="0.3">
      <c r="A451" s="91">
        <f t="shared" si="26"/>
        <v>12642</v>
      </c>
      <c r="B451" s="9" t="s">
        <v>868</v>
      </c>
      <c r="C451" s="91"/>
      <c r="D451" s="91"/>
      <c r="E451" s="16" t="s">
        <v>123</v>
      </c>
      <c r="F451" s="16">
        <v>3</v>
      </c>
      <c r="G451" s="16">
        <f t="shared" si="25"/>
        <v>1</v>
      </c>
      <c r="H451" s="91">
        <v>8</v>
      </c>
    </row>
    <row r="452" spans="1:8" ht="15.95" customHeight="1" x14ac:dyDescent="0.3">
      <c r="A452" s="91">
        <f t="shared" si="26"/>
        <v>12650</v>
      </c>
      <c r="B452" s="9" t="s">
        <v>869</v>
      </c>
      <c r="C452" s="91"/>
      <c r="D452" s="91"/>
      <c r="E452" s="16" t="s">
        <v>123</v>
      </c>
      <c r="F452" s="16">
        <v>3</v>
      </c>
      <c r="G452" s="16">
        <f t="shared" si="25"/>
        <v>1</v>
      </c>
      <c r="H452" s="91">
        <v>8</v>
      </c>
    </row>
    <row r="453" spans="1:8" ht="15.95" customHeight="1" x14ac:dyDescent="0.3">
      <c r="A453" s="91">
        <f t="shared" si="26"/>
        <v>12658</v>
      </c>
      <c r="B453" s="9" t="s">
        <v>870</v>
      </c>
      <c r="C453" s="91"/>
      <c r="D453" s="91"/>
      <c r="E453" s="16" t="s">
        <v>123</v>
      </c>
      <c r="F453" s="16">
        <v>3</v>
      </c>
      <c r="G453" s="16">
        <f t="shared" si="25"/>
        <v>1</v>
      </c>
      <c r="H453" s="91">
        <v>8</v>
      </c>
    </row>
    <row r="454" spans="1:8" ht="15.95" customHeight="1" x14ac:dyDescent="0.3">
      <c r="A454" s="91">
        <f t="shared" si="26"/>
        <v>12666</v>
      </c>
      <c r="B454" s="9" t="s">
        <v>871</v>
      </c>
      <c r="C454" s="91"/>
      <c r="D454" s="91"/>
      <c r="E454" s="16" t="s">
        <v>123</v>
      </c>
      <c r="F454" s="16">
        <v>3</v>
      </c>
      <c r="G454" s="16">
        <f t="shared" si="25"/>
        <v>1</v>
      </c>
      <c r="H454" s="91">
        <v>8</v>
      </c>
    </row>
    <row r="455" spans="1:8" ht="15.95" customHeight="1" x14ac:dyDescent="0.3">
      <c r="A455" s="91">
        <f t="shared" si="26"/>
        <v>12674</v>
      </c>
      <c r="B455" s="9" t="s">
        <v>872</v>
      </c>
      <c r="C455" s="91"/>
      <c r="D455" s="91"/>
      <c r="E455" s="16" t="s">
        <v>123</v>
      </c>
      <c r="F455" s="16">
        <v>3</v>
      </c>
      <c r="G455" s="16">
        <f t="shared" si="25"/>
        <v>1</v>
      </c>
      <c r="H455" s="91">
        <v>8</v>
      </c>
    </row>
    <row r="456" spans="1:8" ht="15.95" customHeight="1" x14ac:dyDescent="0.3">
      <c r="A456" s="91">
        <f t="shared" si="26"/>
        <v>12682</v>
      </c>
      <c r="B456" s="9" t="s">
        <v>873</v>
      </c>
      <c r="C456" s="91"/>
      <c r="D456" s="91"/>
      <c r="E456" s="16" t="s">
        <v>123</v>
      </c>
      <c r="F456" s="16">
        <v>3</v>
      </c>
      <c r="G456" s="16">
        <f t="shared" si="25"/>
        <v>1</v>
      </c>
      <c r="H456" s="91">
        <v>8</v>
      </c>
    </row>
    <row r="457" spans="1:8" ht="15.95" customHeight="1" x14ac:dyDescent="0.3">
      <c r="A457" s="91">
        <f t="shared" si="26"/>
        <v>12690</v>
      </c>
      <c r="B457" s="9" t="s">
        <v>874</v>
      </c>
      <c r="C457" s="91"/>
      <c r="D457" s="91"/>
      <c r="E457" s="16" t="s">
        <v>123</v>
      </c>
      <c r="F457" s="16">
        <v>3</v>
      </c>
      <c r="G457" s="16">
        <f t="shared" si="25"/>
        <v>1</v>
      </c>
      <c r="H457" s="91">
        <v>8</v>
      </c>
    </row>
    <row r="458" spans="1:8" ht="15.95" customHeight="1" x14ac:dyDescent="0.3">
      <c r="A458" s="91">
        <f t="shared" si="26"/>
        <v>12698</v>
      </c>
      <c r="B458" s="9" t="s">
        <v>875</v>
      </c>
      <c r="C458" s="91"/>
      <c r="D458" s="91"/>
      <c r="E458" s="16" t="s">
        <v>123</v>
      </c>
      <c r="F458" s="16">
        <v>3</v>
      </c>
      <c r="G458" s="16">
        <f t="shared" si="25"/>
        <v>1</v>
      </c>
      <c r="H458" s="91">
        <v>8</v>
      </c>
    </row>
    <row r="459" spans="1:8" ht="15.95" customHeight="1" x14ac:dyDescent="0.3">
      <c r="A459" s="91">
        <f t="shared" si="26"/>
        <v>12706</v>
      </c>
      <c r="B459" s="9" t="s">
        <v>876</v>
      </c>
      <c r="C459" s="91"/>
      <c r="D459" s="91"/>
      <c r="E459" s="16" t="s">
        <v>123</v>
      </c>
      <c r="F459" s="16">
        <v>3</v>
      </c>
      <c r="G459" s="16">
        <f t="shared" si="25"/>
        <v>1</v>
      </c>
      <c r="H459" s="91">
        <v>8</v>
      </c>
    </row>
    <row r="460" spans="1:8" ht="15.95" customHeight="1" x14ac:dyDescent="0.3">
      <c r="A460" s="91">
        <f t="shared" si="26"/>
        <v>12714</v>
      </c>
      <c r="B460" s="9" t="s">
        <v>877</v>
      </c>
      <c r="C460" s="91"/>
      <c r="D460" s="91"/>
      <c r="E460" s="16" t="s">
        <v>123</v>
      </c>
      <c r="F460" s="16">
        <v>3</v>
      </c>
      <c r="G460" s="16">
        <f t="shared" si="25"/>
        <v>1</v>
      </c>
      <c r="H460" s="91">
        <v>8</v>
      </c>
    </row>
    <row r="461" spans="1:8" ht="15.95" customHeight="1" x14ac:dyDescent="0.3">
      <c r="A461" s="91">
        <f t="shared" si="26"/>
        <v>12722</v>
      </c>
      <c r="B461" s="9" t="s">
        <v>878</v>
      </c>
      <c r="C461" s="91"/>
      <c r="D461" s="91"/>
      <c r="E461" s="16" t="s">
        <v>123</v>
      </c>
      <c r="F461" s="16">
        <v>3</v>
      </c>
      <c r="G461" s="16">
        <f t="shared" si="25"/>
        <v>1</v>
      </c>
      <c r="H461" s="91">
        <v>8</v>
      </c>
    </row>
    <row r="462" spans="1:8" ht="15.95" customHeight="1" x14ac:dyDescent="0.3">
      <c r="A462" s="91">
        <f t="shared" si="26"/>
        <v>12730</v>
      </c>
      <c r="B462" s="9" t="s">
        <v>879</v>
      </c>
      <c r="C462" s="91"/>
      <c r="D462" s="91"/>
      <c r="E462" s="16" t="s">
        <v>123</v>
      </c>
      <c r="F462" s="16">
        <v>3</v>
      </c>
      <c r="G462" s="16">
        <f t="shared" si="25"/>
        <v>1</v>
      </c>
      <c r="H462" s="91">
        <v>8</v>
      </c>
    </row>
    <row r="463" spans="1:8" ht="15.95" customHeight="1" x14ac:dyDescent="0.3">
      <c r="A463" s="91">
        <f t="shared" si="26"/>
        <v>12738</v>
      </c>
      <c r="B463" s="9" t="s">
        <v>880</v>
      </c>
      <c r="C463" s="91"/>
      <c r="D463" s="91"/>
      <c r="E463" s="16" t="s">
        <v>123</v>
      </c>
      <c r="F463" s="16">
        <v>3</v>
      </c>
      <c r="G463" s="16">
        <f t="shared" si="25"/>
        <v>1</v>
      </c>
      <c r="H463" s="91">
        <v>8</v>
      </c>
    </row>
    <row r="464" spans="1:8" ht="15.95" customHeight="1" x14ac:dyDescent="0.3">
      <c r="A464" s="91">
        <f t="shared" si="26"/>
        <v>12746</v>
      </c>
      <c r="B464" s="9" t="s">
        <v>881</v>
      </c>
      <c r="C464" s="91"/>
      <c r="D464" s="91"/>
      <c r="E464" s="16" t="s">
        <v>123</v>
      </c>
      <c r="F464" s="16">
        <v>3</v>
      </c>
      <c r="G464" s="16">
        <f t="shared" si="25"/>
        <v>1</v>
      </c>
      <c r="H464" s="91">
        <v>8</v>
      </c>
    </row>
    <row r="465" spans="1:8" ht="15.95" customHeight="1" x14ac:dyDescent="0.3">
      <c r="A465" s="91">
        <f t="shared" si="26"/>
        <v>12754</v>
      </c>
      <c r="B465" s="9" t="s">
        <v>882</v>
      </c>
      <c r="C465" s="91"/>
      <c r="D465" s="91"/>
      <c r="E465" s="16" t="s">
        <v>123</v>
      </c>
      <c r="F465" s="16">
        <v>3</v>
      </c>
      <c r="G465" s="16">
        <f t="shared" si="25"/>
        <v>1</v>
      </c>
      <c r="H465" s="91">
        <v>8</v>
      </c>
    </row>
    <row r="466" spans="1:8" ht="15.95" customHeight="1" x14ac:dyDescent="0.3">
      <c r="A466" s="91">
        <f t="shared" si="26"/>
        <v>12762</v>
      </c>
      <c r="B466" s="9" t="s">
        <v>883</v>
      </c>
      <c r="C466" s="91"/>
      <c r="D466" s="91"/>
      <c r="E466" s="16" t="s">
        <v>123</v>
      </c>
      <c r="F466" s="16">
        <v>3</v>
      </c>
      <c r="G466" s="16">
        <f t="shared" si="25"/>
        <v>1</v>
      </c>
      <c r="H466" s="91">
        <v>8</v>
      </c>
    </row>
    <row r="467" spans="1:8" ht="15.95" customHeight="1" x14ac:dyDescent="0.3">
      <c r="A467" s="91">
        <f t="shared" si="26"/>
        <v>12770</v>
      </c>
      <c r="B467" s="9" t="s">
        <v>884</v>
      </c>
      <c r="C467" s="91"/>
      <c r="D467" s="91"/>
      <c r="E467" s="16" t="s">
        <v>123</v>
      </c>
      <c r="F467" s="16">
        <v>3</v>
      </c>
      <c r="G467" s="16">
        <f t="shared" si="25"/>
        <v>1</v>
      </c>
      <c r="H467" s="91">
        <v>8</v>
      </c>
    </row>
    <row r="468" spans="1:8" ht="15.95" customHeight="1" x14ac:dyDescent="0.3">
      <c r="A468" s="91">
        <f t="shared" si="26"/>
        <v>12778</v>
      </c>
      <c r="B468" s="9" t="s">
        <v>885</v>
      </c>
      <c r="C468" s="91"/>
      <c r="D468" s="91"/>
      <c r="E468" s="16" t="s">
        <v>123</v>
      </c>
      <c r="F468" s="16">
        <v>3</v>
      </c>
      <c r="G468" s="16">
        <f t="shared" si="25"/>
        <v>1</v>
      </c>
      <c r="H468" s="91">
        <v>8</v>
      </c>
    </row>
    <row r="469" spans="1:8" ht="15.95" customHeight="1" x14ac:dyDescent="0.3">
      <c r="A469" s="91">
        <f t="shared" si="26"/>
        <v>12786</v>
      </c>
      <c r="B469" s="9" t="s">
        <v>886</v>
      </c>
      <c r="C469" s="91"/>
      <c r="D469" s="91"/>
      <c r="E469" s="16" t="s">
        <v>123</v>
      </c>
      <c r="F469" s="16">
        <v>3</v>
      </c>
      <c r="G469" s="16">
        <f t="shared" si="25"/>
        <v>1</v>
      </c>
      <c r="H469" s="91">
        <v>8</v>
      </c>
    </row>
    <row r="470" spans="1:8" ht="15.95" customHeight="1" x14ac:dyDescent="0.3">
      <c r="A470" s="91">
        <f t="shared" si="26"/>
        <v>12794</v>
      </c>
      <c r="B470" s="9" t="s">
        <v>887</v>
      </c>
      <c r="C470" s="91"/>
      <c r="D470" s="91"/>
      <c r="E470" s="16" t="s">
        <v>123</v>
      </c>
      <c r="F470" s="16">
        <v>3</v>
      </c>
      <c r="G470" s="16">
        <f t="shared" si="25"/>
        <v>1</v>
      </c>
      <c r="H470" s="91">
        <v>8</v>
      </c>
    </row>
    <row r="471" spans="1:8" ht="15.95" customHeight="1" x14ac:dyDescent="0.3">
      <c r="A471" s="91">
        <f t="shared" si="26"/>
        <v>12802</v>
      </c>
      <c r="B471" s="9" t="s">
        <v>888</v>
      </c>
      <c r="C471" s="91"/>
      <c r="D471" s="91"/>
      <c r="E471" s="16" t="s">
        <v>123</v>
      </c>
      <c r="F471" s="16">
        <v>3</v>
      </c>
      <c r="G471" s="16">
        <f t="shared" si="25"/>
        <v>1</v>
      </c>
      <c r="H471" s="91">
        <v>8</v>
      </c>
    </row>
    <row r="472" spans="1:8" ht="15.95" customHeight="1" x14ac:dyDescent="0.3">
      <c r="A472" s="91">
        <f t="shared" si="26"/>
        <v>12810</v>
      </c>
      <c r="B472" s="9"/>
      <c r="C472" s="91"/>
      <c r="D472" s="91"/>
      <c r="E472" s="16" t="s">
        <v>123</v>
      </c>
      <c r="F472" s="16">
        <v>3</v>
      </c>
      <c r="G472" s="16">
        <f>IF(OR(E472="U16", E472="S16"),1,IF(E472="TS",6,2))</f>
        <v>1</v>
      </c>
      <c r="H472" s="91">
        <v>40</v>
      </c>
    </row>
    <row r="473" spans="1:8" ht="15.95" customHeight="1" x14ac:dyDescent="0.3">
      <c r="A473" s="122" t="s">
        <v>554</v>
      </c>
      <c r="B473" s="122"/>
      <c r="C473" s="122"/>
      <c r="D473" s="122"/>
      <c r="E473" s="122"/>
      <c r="F473" s="122"/>
      <c r="G473" s="122"/>
      <c r="H473" s="122"/>
    </row>
    <row r="474" spans="1:8" ht="15.95" customHeight="1" x14ac:dyDescent="0.3">
      <c r="A474" s="16">
        <f>A472+(G472*H472)</f>
        <v>12850</v>
      </c>
      <c r="B474" s="9" t="s">
        <v>269</v>
      </c>
      <c r="C474" s="91" t="s">
        <v>850</v>
      </c>
      <c r="D474" s="91"/>
      <c r="E474" s="16" t="s">
        <v>123</v>
      </c>
      <c r="F474" s="16">
        <v>3</v>
      </c>
      <c r="G474" s="16">
        <f>IF(OR(E474="U16", E474="S16"),1,IF(E474="TS",6,2))</f>
        <v>1</v>
      </c>
      <c r="H474" s="91">
        <v>1</v>
      </c>
    </row>
    <row r="475" spans="1:8" ht="15.95" customHeight="1" x14ac:dyDescent="0.3">
      <c r="A475" s="16">
        <f>A474+(G474*H474)</f>
        <v>12851</v>
      </c>
      <c r="B475" s="9" t="s">
        <v>270</v>
      </c>
      <c r="C475" s="91" t="s">
        <v>850</v>
      </c>
      <c r="D475" s="91"/>
      <c r="E475" s="16" t="s">
        <v>123</v>
      </c>
      <c r="F475" s="16">
        <v>3</v>
      </c>
      <c r="G475" s="16">
        <f>IF(OR(E475="U16", E475="S16"),1,IF(E475="TS",6,2))</f>
        <v>1</v>
      </c>
      <c r="H475" s="91">
        <v>1</v>
      </c>
    </row>
    <row r="476" spans="1:8" ht="15.95" customHeight="1" x14ac:dyDescent="0.3">
      <c r="A476" s="16">
        <f>A475+(G475*H475)</f>
        <v>12852</v>
      </c>
      <c r="B476" s="9" t="s">
        <v>271</v>
      </c>
      <c r="C476" s="91" t="s">
        <v>850</v>
      </c>
      <c r="D476" s="91"/>
      <c r="E476" s="16" t="s">
        <v>123</v>
      </c>
      <c r="F476" s="16">
        <v>3</v>
      </c>
      <c r="G476" s="16">
        <f>IF(OR(E476="U16", E476="S16"),1,IF(E476="TS",6,2))</f>
        <v>1</v>
      </c>
      <c r="H476" s="91">
        <v>1</v>
      </c>
    </row>
    <row r="477" spans="1:8" ht="15.95" customHeight="1" x14ac:dyDescent="0.3">
      <c r="A477" s="16">
        <f>A476+(G476*H476)</f>
        <v>12853</v>
      </c>
      <c r="B477" s="9" t="s">
        <v>1123</v>
      </c>
      <c r="C477" s="91"/>
      <c r="D477" s="91"/>
      <c r="E477" s="16" t="s">
        <v>123</v>
      </c>
      <c r="F477" s="16">
        <v>3</v>
      </c>
      <c r="G477" s="16">
        <f>IF(OR(E477="U16", E477="S16"),1,IF(E477="TS",6,2))</f>
        <v>1</v>
      </c>
      <c r="H477" s="91">
        <v>1</v>
      </c>
    </row>
    <row r="478" spans="1:8" ht="15.95" customHeight="1" x14ac:dyDescent="0.3">
      <c r="A478" s="122" t="s">
        <v>382</v>
      </c>
      <c r="B478" s="122"/>
      <c r="C478" s="122"/>
      <c r="D478" s="122"/>
      <c r="E478" s="122"/>
      <c r="F478" s="122"/>
      <c r="G478" s="122"/>
      <c r="H478" s="122"/>
    </row>
    <row r="479" spans="1:8" ht="15.95" customHeight="1" x14ac:dyDescent="0.3">
      <c r="A479" s="102">
        <f>A477+(G477*H477)</f>
        <v>12854</v>
      </c>
      <c r="B479" s="101" t="s">
        <v>268</v>
      </c>
      <c r="C479" s="102"/>
      <c r="D479" s="102"/>
      <c r="E479" s="102" t="s">
        <v>91</v>
      </c>
      <c r="F479" s="102">
        <v>3</v>
      </c>
      <c r="G479" s="102">
        <f t="shared" ref="G479:G516" si="27">IF(OR(E479="U16", E479="S16"),1,IF(E479="TS",6,2))</f>
        <v>2</v>
      </c>
      <c r="H479" s="102">
        <v>1</v>
      </c>
    </row>
    <row r="480" spans="1:8" ht="15.95" customHeight="1" x14ac:dyDescent="0.3">
      <c r="A480" s="102">
        <f t="shared" ref="A480:A518" si="28">A479+(G479*H479)</f>
        <v>12856</v>
      </c>
      <c r="B480" s="101" t="s">
        <v>442</v>
      </c>
      <c r="C480" s="102"/>
      <c r="D480" s="102"/>
      <c r="E480" s="102" t="s">
        <v>123</v>
      </c>
      <c r="F480" s="102">
        <v>3</v>
      </c>
      <c r="G480" s="102">
        <f t="shared" si="27"/>
        <v>1</v>
      </c>
      <c r="H480" s="102">
        <v>1</v>
      </c>
    </row>
    <row r="481" spans="1:8" ht="15.95" customHeight="1" x14ac:dyDescent="0.3">
      <c r="A481" s="102">
        <f t="shared" si="28"/>
        <v>12857</v>
      </c>
      <c r="B481" s="101" t="s">
        <v>443</v>
      </c>
      <c r="C481" s="102"/>
      <c r="D481" s="102"/>
      <c r="E481" s="102" t="s">
        <v>123</v>
      </c>
      <c r="F481" s="102">
        <v>3</v>
      </c>
      <c r="G481" s="102">
        <f t="shared" si="27"/>
        <v>1</v>
      </c>
      <c r="H481" s="102">
        <v>1</v>
      </c>
    </row>
    <row r="482" spans="1:8" ht="108" x14ac:dyDescent="0.3">
      <c r="A482" s="102">
        <f t="shared" si="28"/>
        <v>12858</v>
      </c>
      <c r="B482" s="101" t="s">
        <v>255</v>
      </c>
      <c r="C482" s="101" t="s">
        <v>969</v>
      </c>
      <c r="D482" s="101"/>
      <c r="E482" s="102" t="s">
        <v>123</v>
      </c>
      <c r="F482" s="102">
        <v>3</v>
      </c>
      <c r="G482" s="102">
        <f t="shared" si="27"/>
        <v>1</v>
      </c>
      <c r="H482" s="102">
        <v>1</v>
      </c>
    </row>
    <row r="483" spans="1:8" ht="15.95" customHeight="1" x14ac:dyDescent="0.3">
      <c r="A483" s="102">
        <f t="shared" si="28"/>
        <v>12859</v>
      </c>
      <c r="B483" s="101" t="s">
        <v>440</v>
      </c>
      <c r="C483" s="102"/>
      <c r="D483" s="102"/>
      <c r="E483" s="102" t="s">
        <v>123</v>
      </c>
      <c r="F483" s="102">
        <v>3</v>
      </c>
      <c r="G483" s="102">
        <f t="shared" si="27"/>
        <v>1</v>
      </c>
      <c r="H483" s="102">
        <v>1</v>
      </c>
    </row>
    <row r="484" spans="1:8" ht="15.95" customHeight="1" x14ac:dyDescent="0.3">
      <c r="A484" s="102">
        <f t="shared" si="28"/>
        <v>12860</v>
      </c>
      <c r="B484" s="101" t="s">
        <v>441</v>
      </c>
      <c r="C484" s="102"/>
      <c r="D484" s="102"/>
      <c r="E484" s="102" t="s">
        <v>437</v>
      </c>
      <c r="F484" s="102">
        <v>3</v>
      </c>
      <c r="G484" s="102">
        <f t="shared" si="27"/>
        <v>2</v>
      </c>
      <c r="H484" s="102">
        <v>1</v>
      </c>
    </row>
    <row r="485" spans="1:8" ht="15.95" customHeight="1" x14ac:dyDescent="0.3">
      <c r="A485" s="102">
        <f t="shared" si="28"/>
        <v>12862</v>
      </c>
      <c r="B485" s="101" t="s">
        <v>272</v>
      </c>
      <c r="C485" s="102"/>
      <c r="D485" s="102"/>
      <c r="E485" s="102" t="s">
        <v>437</v>
      </c>
      <c r="F485" s="102">
        <v>3</v>
      </c>
      <c r="G485" s="102">
        <f t="shared" si="27"/>
        <v>2</v>
      </c>
      <c r="H485" s="102">
        <v>1</v>
      </c>
    </row>
    <row r="486" spans="1:8" ht="15.95" customHeight="1" x14ac:dyDescent="0.3">
      <c r="A486" s="102">
        <f t="shared" si="28"/>
        <v>12864</v>
      </c>
      <c r="B486" s="101" t="s">
        <v>273</v>
      </c>
      <c r="C486" s="102"/>
      <c r="D486" s="102"/>
      <c r="E486" s="102" t="s">
        <v>437</v>
      </c>
      <c r="F486" s="102">
        <v>3</v>
      </c>
      <c r="G486" s="102">
        <f t="shared" si="27"/>
        <v>2</v>
      </c>
      <c r="H486" s="102">
        <v>1</v>
      </c>
    </row>
    <row r="487" spans="1:8" ht="15.75" customHeight="1" x14ac:dyDescent="0.3">
      <c r="A487" s="91">
        <f t="shared" si="28"/>
        <v>12866</v>
      </c>
      <c r="B487" s="9" t="s">
        <v>274</v>
      </c>
      <c r="C487" s="91"/>
      <c r="D487" s="94"/>
      <c r="E487" s="94" t="s">
        <v>123</v>
      </c>
      <c r="F487" s="94">
        <v>3</v>
      </c>
      <c r="G487" s="16">
        <f t="shared" si="27"/>
        <v>1</v>
      </c>
      <c r="H487" s="91">
        <v>12</v>
      </c>
    </row>
    <row r="488" spans="1:8" ht="15.95" customHeight="1" x14ac:dyDescent="0.3">
      <c r="A488" s="91">
        <f t="shared" si="28"/>
        <v>12878</v>
      </c>
      <c r="B488" s="9" t="s">
        <v>275</v>
      </c>
      <c r="C488" s="91"/>
      <c r="D488" s="94"/>
      <c r="E488" s="94" t="s">
        <v>123</v>
      </c>
      <c r="F488" s="94">
        <v>3</v>
      </c>
      <c r="G488" s="16">
        <f t="shared" si="27"/>
        <v>1</v>
      </c>
      <c r="H488" s="91">
        <v>12</v>
      </c>
    </row>
    <row r="489" spans="1:8" ht="15.95" customHeight="1" x14ac:dyDescent="0.3">
      <c r="A489" s="91">
        <f t="shared" si="28"/>
        <v>12890</v>
      </c>
      <c r="B489" s="9" t="s">
        <v>276</v>
      </c>
      <c r="C489" s="91"/>
      <c r="D489" s="94"/>
      <c r="E489" s="94" t="s">
        <v>123</v>
      </c>
      <c r="F489" s="94">
        <v>3</v>
      </c>
      <c r="G489" s="16">
        <f t="shared" si="27"/>
        <v>1</v>
      </c>
      <c r="H489" s="91">
        <v>12</v>
      </c>
    </row>
    <row r="490" spans="1:8" ht="15.95" customHeight="1" x14ac:dyDescent="0.3">
      <c r="A490" s="91">
        <f t="shared" si="28"/>
        <v>12902</v>
      </c>
      <c r="B490" s="9" t="s">
        <v>277</v>
      </c>
      <c r="C490" s="91"/>
      <c r="D490" s="94"/>
      <c r="E490" s="94" t="s">
        <v>123</v>
      </c>
      <c r="F490" s="94">
        <v>3</v>
      </c>
      <c r="G490" s="16">
        <f t="shared" si="27"/>
        <v>1</v>
      </c>
      <c r="H490" s="91">
        <v>12</v>
      </c>
    </row>
    <row r="491" spans="1:8" customFormat="1" ht="16.5" x14ac:dyDescent="0.3">
      <c r="A491" s="91">
        <f t="shared" si="28"/>
        <v>12914</v>
      </c>
      <c r="B491" s="9" t="s">
        <v>278</v>
      </c>
      <c r="C491" s="91"/>
      <c r="D491" s="94"/>
      <c r="E491" s="94" t="s">
        <v>123</v>
      </c>
      <c r="F491" s="94">
        <v>3</v>
      </c>
      <c r="G491" s="16">
        <f t="shared" si="27"/>
        <v>1</v>
      </c>
      <c r="H491" s="91">
        <v>12</v>
      </c>
    </row>
    <row r="492" spans="1:8" customFormat="1" ht="16.5" customHeight="1" x14ac:dyDescent="0.3">
      <c r="A492" s="91">
        <f t="shared" si="28"/>
        <v>12926</v>
      </c>
      <c r="B492" s="9" t="s">
        <v>279</v>
      </c>
      <c r="C492" s="91"/>
      <c r="D492" s="94"/>
      <c r="E492" s="94" t="s">
        <v>123</v>
      </c>
      <c r="F492" s="94">
        <v>3</v>
      </c>
      <c r="G492" s="16">
        <f t="shared" si="27"/>
        <v>1</v>
      </c>
      <c r="H492" s="91">
        <v>12</v>
      </c>
    </row>
    <row r="493" spans="1:8" customFormat="1" ht="16.5" x14ac:dyDescent="0.3">
      <c r="A493" s="91">
        <f t="shared" si="28"/>
        <v>12938</v>
      </c>
      <c r="B493" s="9" t="s">
        <v>280</v>
      </c>
      <c r="C493" s="91"/>
      <c r="D493" s="94"/>
      <c r="E493" s="94" t="s">
        <v>123</v>
      </c>
      <c r="F493" s="94">
        <v>3</v>
      </c>
      <c r="G493" s="16">
        <f t="shared" si="27"/>
        <v>1</v>
      </c>
      <c r="H493" s="91">
        <v>12</v>
      </c>
    </row>
    <row r="494" spans="1:8" customFormat="1" ht="16.5" x14ac:dyDescent="0.3">
      <c r="A494" s="91">
        <f t="shared" si="28"/>
        <v>12950</v>
      </c>
      <c r="B494" s="9" t="s">
        <v>281</v>
      </c>
      <c r="C494" s="91"/>
      <c r="D494" s="94"/>
      <c r="E494" s="94" t="s">
        <v>123</v>
      </c>
      <c r="F494" s="94">
        <v>3</v>
      </c>
      <c r="G494" s="16">
        <f t="shared" si="27"/>
        <v>1</v>
      </c>
      <c r="H494" s="91">
        <v>12</v>
      </c>
    </row>
    <row r="495" spans="1:8" customFormat="1" ht="16.5" x14ac:dyDescent="0.3">
      <c r="A495" s="91">
        <f t="shared" si="28"/>
        <v>12962</v>
      </c>
      <c r="B495" s="9" t="s">
        <v>282</v>
      </c>
      <c r="C495" s="91"/>
      <c r="D495" s="94"/>
      <c r="E495" s="94" t="s">
        <v>123</v>
      </c>
      <c r="F495" s="94">
        <v>3</v>
      </c>
      <c r="G495" s="16">
        <f t="shared" si="27"/>
        <v>1</v>
      </c>
      <c r="H495" s="91">
        <v>12</v>
      </c>
    </row>
    <row r="496" spans="1:8" customFormat="1" ht="16.5" x14ac:dyDescent="0.3">
      <c r="A496" s="91">
        <f t="shared" si="28"/>
        <v>12974</v>
      </c>
      <c r="B496" s="9" t="s">
        <v>283</v>
      </c>
      <c r="C496" s="91"/>
      <c r="D496" s="94"/>
      <c r="E496" s="94" t="s">
        <v>123</v>
      </c>
      <c r="F496" s="94">
        <v>3</v>
      </c>
      <c r="G496" s="16">
        <f t="shared" si="27"/>
        <v>1</v>
      </c>
      <c r="H496" s="91">
        <v>12</v>
      </c>
    </row>
    <row r="497" spans="1:8" customFormat="1" ht="16.5" x14ac:dyDescent="0.3">
      <c r="A497" s="91">
        <f t="shared" si="28"/>
        <v>12986</v>
      </c>
      <c r="B497" s="9" t="s">
        <v>284</v>
      </c>
      <c r="C497" s="91"/>
      <c r="D497" s="94"/>
      <c r="E497" s="94" t="s">
        <v>123</v>
      </c>
      <c r="F497" s="94">
        <v>3</v>
      </c>
      <c r="G497" s="16">
        <f t="shared" si="27"/>
        <v>1</v>
      </c>
      <c r="H497" s="91">
        <v>12</v>
      </c>
    </row>
    <row r="498" spans="1:8" customFormat="1" ht="16.5" x14ac:dyDescent="0.3">
      <c r="A498" s="91">
        <f t="shared" si="28"/>
        <v>12998</v>
      </c>
      <c r="B498" s="9" t="s">
        <v>285</v>
      </c>
      <c r="C498" s="91"/>
      <c r="D498" s="94"/>
      <c r="E498" s="94" t="s">
        <v>123</v>
      </c>
      <c r="F498" s="94">
        <v>3</v>
      </c>
      <c r="G498" s="16">
        <f t="shared" si="27"/>
        <v>1</v>
      </c>
      <c r="H498" s="91">
        <v>12</v>
      </c>
    </row>
    <row r="499" spans="1:8" customFormat="1" ht="16.5" x14ac:dyDescent="0.3">
      <c r="A499" s="91">
        <f t="shared" si="28"/>
        <v>13010</v>
      </c>
      <c r="B499" s="9" t="s">
        <v>286</v>
      </c>
      <c r="C499" s="91"/>
      <c r="D499" s="94"/>
      <c r="E499" s="94" t="s">
        <v>123</v>
      </c>
      <c r="F499" s="94">
        <v>3</v>
      </c>
      <c r="G499" s="16">
        <f t="shared" si="27"/>
        <v>1</v>
      </c>
      <c r="H499" s="91">
        <v>12</v>
      </c>
    </row>
    <row r="500" spans="1:8" customFormat="1" ht="16.5" x14ac:dyDescent="0.3">
      <c r="A500" s="91">
        <f t="shared" si="28"/>
        <v>13022</v>
      </c>
      <c r="B500" s="9" t="s">
        <v>287</v>
      </c>
      <c r="C500" s="91"/>
      <c r="D500" s="94"/>
      <c r="E500" s="94" t="s">
        <v>123</v>
      </c>
      <c r="F500" s="94">
        <v>3</v>
      </c>
      <c r="G500" s="16">
        <f t="shared" si="27"/>
        <v>1</v>
      </c>
      <c r="H500" s="91">
        <v>12</v>
      </c>
    </row>
    <row r="501" spans="1:8" customFormat="1" ht="16.5" x14ac:dyDescent="0.3">
      <c r="A501" s="91">
        <f t="shared" si="28"/>
        <v>13034</v>
      </c>
      <c r="B501" s="9" t="s">
        <v>288</v>
      </c>
      <c r="C501" s="91"/>
      <c r="D501" s="94"/>
      <c r="E501" s="94" t="s">
        <v>123</v>
      </c>
      <c r="F501" s="94">
        <v>3</v>
      </c>
      <c r="G501" s="16">
        <f t="shared" si="27"/>
        <v>1</v>
      </c>
      <c r="H501" s="91">
        <v>12</v>
      </c>
    </row>
    <row r="502" spans="1:8" ht="15.95" customHeight="1" x14ac:dyDescent="0.3">
      <c r="A502" s="91">
        <f t="shared" si="28"/>
        <v>13046</v>
      </c>
      <c r="B502" s="9" t="s">
        <v>289</v>
      </c>
      <c r="C502" s="91"/>
      <c r="D502" s="94"/>
      <c r="E502" s="94" t="s">
        <v>123</v>
      </c>
      <c r="F502" s="94">
        <v>3</v>
      </c>
      <c r="G502" s="16">
        <f t="shared" si="27"/>
        <v>1</v>
      </c>
      <c r="H502" s="91">
        <v>12</v>
      </c>
    </row>
    <row r="503" spans="1:8" customFormat="1" ht="16.5" x14ac:dyDescent="0.3">
      <c r="A503" s="91">
        <f t="shared" si="28"/>
        <v>13058</v>
      </c>
      <c r="B503" s="9" t="s">
        <v>290</v>
      </c>
      <c r="C503" s="91"/>
      <c r="D503" s="94"/>
      <c r="E503" s="94" t="s">
        <v>123</v>
      </c>
      <c r="F503" s="94">
        <v>3</v>
      </c>
      <c r="G503" s="16">
        <f t="shared" si="27"/>
        <v>1</v>
      </c>
      <c r="H503" s="91">
        <v>12</v>
      </c>
    </row>
    <row r="504" spans="1:8" customFormat="1" ht="16.5" customHeight="1" x14ac:dyDescent="0.3">
      <c r="A504" s="91">
        <f t="shared" si="28"/>
        <v>13070</v>
      </c>
      <c r="B504" s="9" t="s">
        <v>291</v>
      </c>
      <c r="C504" s="91"/>
      <c r="D504" s="94"/>
      <c r="E504" s="94" t="s">
        <v>123</v>
      </c>
      <c r="F504" s="94">
        <v>3</v>
      </c>
      <c r="G504" s="16">
        <f t="shared" si="27"/>
        <v>1</v>
      </c>
      <c r="H504" s="91">
        <v>12</v>
      </c>
    </row>
    <row r="505" spans="1:8" customFormat="1" ht="16.5" x14ac:dyDescent="0.3">
      <c r="A505" s="91">
        <f t="shared" si="28"/>
        <v>13082</v>
      </c>
      <c r="B505" s="9" t="s">
        <v>292</v>
      </c>
      <c r="C505" s="91"/>
      <c r="D505" s="94"/>
      <c r="E505" s="94" t="s">
        <v>123</v>
      </c>
      <c r="F505" s="94">
        <v>3</v>
      </c>
      <c r="G505" s="16">
        <f t="shared" si="27"/>
        <v>1</v>
      </c>
      <c r="H505" s="91">
        <v>12</v>
      </c>
    </row>
    <row r="506" spans="1:8" customFormat="1" ht="16.5" x14ac:dyDescent="0.3">
      <c r="A506" s="91">
        <f t="shared" si="28"/>
        <v>13094</v>
      </c>
      <c r="B506" s="9" t="s">
        <v>293</v>
      </c>
      <c r="C506" s="91"/>
      <c r="D506" s="94"/>
      <c r="E506" s="94" t="s">
        <v>123</v>
      </c>
      <c r="F506" s="94">
        <v>3</v>
      </c>
      <c r="G506" s="16">
        <f t="shared" si="27"/>
        <v>1</v>
      </c>
      <c r="H506" s="91">
        <v>12</v>
      </c>
    </row>
    <row r="507" spans="1:8" customFormat="1" ht="16.5" x14ac:dyDescent="0.3">
      <c r="A507" s="91">
        <f t="shared" si="28"/>
        <v>13106</v>
      </c>
      <c r="B507" s="9" t="s">
        <v>294</v>
      </c>
      <c r="C507" s="91"/>
      <c r="D507" s="94"/>
      <c r="E507" s="94" t="s">
        <v>123</v>
      </c>
      <c r="F507" s="94">
        <v>3</v>
      </c>
      <c r="G507" s="16">
        <f t="shared" si="27"/>
        <v>1</v>
      </c>
      <c r="H507" s="91">
        <v>12</v>
      </c>
    </row>
    <row r="508" spans="1:8" customFormat="1" ht="16.5" x14ac:dyDescent="0.3">
      <c r="A508" s="91">
        <f t="shared" si="28"/>
        <v>13118</v>
      </c>
      <c r="B508" s="9" t="s">
        <v>295</v>
      </c>
      <c r="C508" s="91"/>
      <c r="D508" s="94"/>
      <c r="E508" s="94" t="s">
        <v>123</v>
      </c>
      <c r="F508" s="94">
        <v>3</v>
      </c>
      <c r="G508" s="16">
        <f t="shared" si="27"/>
        <v>1</v>
      </c>
      <c r="H508" s="91">
        <v>12</v>
      </c>
    </row>
    <row r="509" spans="1:8" customFormat="1" ht="16.5" x14ac:dyDescent="0.3">
      <c r="A509" s="91">
        <f t="shared" si="28"/>
        <v>13130</v>
      </c>
      <c r="B509" s="9" t="s">
        <v>296</v>
      </c>
      <c r="C509" s="91"/>
      <c r="D509" s="94"/>
      <c r="E509" s="94" t="s">
        <v>123</v>
      </c>
      <c r="F509" s="94">
        <v>3</v>
      </c>
      <c r="G509" s="16">
        <f t="shared" si="27"/>
        <v>1</v>
      </c>
      <c r="H509" s="91">
        <v>12</v>
      </c>
    </row>
    <row r="510" spans="1:8" customFormat="1" ht="16.5" x14ac:dyDescent="0.3">
      <c r="A510" s="91">
        <f t="shared" si="28"/>
        <v>13142</v>
      </c>
      <c r="B510" s="9" t="s">
        <v>297</v>
      </c>
      <c r="C510" s="91"/>
      <c r="D510" s="94"/>
      <c r="E510" s="94" t="s">
        <v>123</v>
      </c>
      <c r="F510" s="94">
        <v>3</v>
      </c>
      <c r="G510" s="16">
        <f t="shared" si="27"/>
        <v>1</v>
      </c>
      <c r="H510" s="91">
        <v>12</v>
      </c>
    </row>
    <row r="511" spans="1:8" customFormat="1" ht="16.5" x14ac:dyDescent="0.3">
      <c r="A511" s="91">
        <f t="shared" si="28"/>
        <v>13154</v>
      </c>
      <c r="B511" s="9" t="s">
        <v>298</v>
      </c>
      <c r="C511" s="91"/>
      <c r="D511" s="94"/>
      <c r="E511" s="94" t="s">
        <v>123</v>
      </c>
      <c r="F511" s="94">
        <v>3</v>
      </c>
      <c r="G511" s="16">
        <f t="shared" si="27"/>
        <v>1</v>
      </c>
      <c r="H511" s="91">
        <v>12</v>
      </c>
    </row>
    <row r="512" spans="1:8" customFormat="1" ht="16.5" x14ac:dyDescent="0.3">
      <c r="A512" s="91">
        <f t="shared" si="28"/>
        <v>13166</v>
      </c>
      <c r="B512" s="9" t="s">
        <v>299</v>
      </c>
      <c r="C512" s="91"/>
      <c r="D512" s="94"/>
      <c r="E512" s="94" t="s">
        <v>123</v>
      </c>
      <c r="F512" s="94">
        <v>3</v>
      </c>
      <c r="G512" s="16">
        <f t="shared" si="27"/>
        <v>1</v>
      </c>
      <c r="H512" s="91">
        <v>12</v>
      </c>
    </row>
    <row r="513" spans="1:8" customFormat="1" ht="16.5" x14ac:dyDescent="0.3">
      <c r="A513" s="91">
        <f t="shared" si="28"/>
        <v>13178</v>
      </c>
      <c r="B513" s="9" t="s">
        <v>300</v>
      </c>
      <c r="C513" s="91"/>
      <c r="D513" s="94"/>
      <c r="E513" s="94" t="s">
        <v>123</v>
      </c>
      <c r="F513" s="94">
        <v>3</v>
      </c>
      <c r="G513" s="16">
        <f t="shared" si="27"/>
        <v>1</v>
      </c>
      <c r="H513" s="91">
        <v>12</v>
      </c>
    </row>
    <row r="514" spans="1:8" customFormat="1" ht="16.5" x14ac:dyDescent="0.3">
      <c r="A514" s="91">
        <f t="shared" si="28"/>
        <v>13190</v>
      </c>
      <c r="B514" s="9" t="s">
        <v>301</v>
      </c>
      <c r="C514" s="91"/>
      <c r="D514" s="94"/>
      <c r="E514" s="94" t="s">
        <v>123</v>
      </c>
      <c r="F514" s="94">
        <v>3</v>
      </c>
      <c r="G514" s="16">
        <f t="shared" si="27"/>
        <v>1</v>
      </c>
      <c r="H514" s="91">
        <v>12</v>
      </c>
    </row>
    <row r="515" spans="1:8" customFormat="1" ht="16.5" x14ac:dyDescent="0.3">
      <c r="A515" s="91">
        <f t="shared" si="28"/>
        <v>13202</v>
      </c>
      <c r="B515" s="9" t="s">
        <v>302</v>
      </c>
      <c r="C515" s="91"/>
      <c r="D515" s="94"/>
      <c r="E515" s="94" t="s">
        <v>123</v>
      </c>
      <c r="F515" s="94">
        <v>3</v>
      </c>
      <c r="G515" s="16">
        <f t="shared" si="27"/>
        <v>1</v>
      </c>
      <c r="H515" s="91">
        <v>12</v>
      </c>
    </row>
    <row r="516" spans="1:8" customFormat="1" ht="16.5" x14ac:dyDescent="0.3">
      <c r="A516" s="91">
        <f t="shared" si="28"/>
        <v>13214</v>
      </c>
      <c r="B516" s="9" t="s">
        <v>303</v>
      </c>
      <c r="C516" s="91"/>
      <c r="D516" s="94"/>
      <c r="E516" s="94" t="s">
        <v>123</v>
      </c>
      <c r="F516" s="94">
        <v>3</v>
      </c>
      <c r="G516" s="16">
        <f t="shared" si="27"/>
        <v>1</v>
      </c>
      <c r="H516" s="91">
        <v>12</v>
      </c>
    </row>
    <row r="517" spans="1:8" customFormat="1" ht="16.5" x14ac:dyDescent="0.3">
      <c r="A517" s="91">
        <f t="shared" si="28"/>
        <v>13226</v>
      </c>
      <c r="B517" s="9" t="s">
        <v>383</v>
      </c>
      <c r="C517" s="91"/>
      <c r="D517" s="94"/>
      <c r="E517" s="94" t="s">
        <v>123</v>
      </c>
      <c r="F517" s="94">
        <v>3</v>
      </c>
      <c r="G517" s="16">
        <f>IF(OR(E517="U16", E517="S16"),1,IF(E517="TS",6,2))</f>
        <v>1</v>
      </c>
      <c r="H517" s="91">
        <v>12</v>
      </c>
    </row>
    <row r="518" spans="1:8" customFormat="1" ht="16.5" x14ac:dyDescent="0.3">
      <c r="A518" s="91">
        <f t="shared" si="28"/>
        <v>13238</v>
      </c>
      <c r="B518" s="9"/>
      <c r="C518" s="91"/>
      <c r="D518" s="94"/>
      <c r="E518" s="94" t="s">
        <v>123</v>
      </c>
      <c r="F518" s="94">
        <v>3</v>
      </c>
      <c r="G518" s="16">
        <f>IF(OR(E518="U16", E518="S16"),1,IF(E518="TS",6,2))</f>
        <v>1</v>
      </c>
      <c r="H518" s="91">
        <v>2</v>
      </c>
    </row>
    <row r="519" spans="1:8" customFormat="1" ht="16.5" customHeight="1" x14ac:dyDescent="0.3">
      <c r="A519" s="122" t="s">
        <v>599</v>
      </c>
      <c r="B519" s="122"/>
      <c r="C519" s="122"/>
      <c r="D519" s="122"/>
      <c r="E519" s="122"/>
      <c r="F519" s="122"/>
      <c r="G519" s="122"/>
      <c r="H519" s="122"/>
    </row>
    <row r="520" spans="1:8" ht="15.75" customHeight="1" x14ac:dyDescent="0.3">
      <c r="A520" s="91">
        <f>A518+(G518*H518)</f>
        <v>13240</v>
      </c>
      <c r="B520" s="11"/>
      <c r="C520" s="91"/>
      <c r="D520" s="91"/>
      <c r="E520" s="16" t="s">
        <v>123</v>
      </c>
      <c r="F520" s="16">
        <v>3</v>
      </c>
      <c r="G520" s="16">
        <f t="shared" ref="G520:G529" si="29">IF(OR(E520="U16", E520="S16"),1,IF(E520="TS",6,2))</f>
        <v>1</v>
      </c>
      <c r="H520" s="91">
        <v>1</v>
      </c>
    </row>
    <row r="521" spans="1:8" ht="15.95" customHeight="1" x14ac:dyDescent="0.3">
      <c r="A521" s="91">
        <f>A520+(G520*H520)</f>
        <v>13241</v>
      </c>
      <c r="B521" s="11"/>
      <c r="C521" s="91"/>
      <c r="D521" s="91"/>
      <c r="E521" s="16" t="s">
        <v>123</v>
      </c>
      <c r="F521" s="16">
        <v>3</v>
      </c>
      <c r="G521" s="16">
        <f t="shared" si="29"/>
        <v>1</v>
      </c>
      <c r="H521" s="91">
        <v>1</v>
      </c>
    </row>
    <row r="522" spans="1:8" ht="15.95" customHeight="1" x14ac:dyDescent="0.3">
      <c r="A522" s="91">
        <f t="shared" ref="A522:A529" si="30">A521+(G521*H521)</f>
        <v>13242</v>
      </c>
      <c r="B522" s="11"/>
      <c r="C522" s="91"/>
      <c r="D522" s="91"/>
      <c r="E522" s="16" t="s">
        <v>123</v>
      </c>
      <c r="F522" s="16">
        <v>3</v>
      </c>
      <c r="G522" s="16">
        <f t="shared" si="29"/>
        <v>1</v>
      </c>
      <c r="H522" s="91">
        <v>1</v>
      </c>
    </row>
    <row r="523" spans="1:8" ht="15.95" customHeight="1" x14ac:dyDescent="0.3">
      <c r="A523" s="91">
        <f t="shared" si="30"/>
        <v>13243</v>
      </c>
      <c r="B523" s="11" t="s">
        <v>597</v>
      </c>
      <c r="C523" s="91"/>
      <c r="D523" s="91"/>
      <c r="E523" s="16" t="s">
        <v>123</v>
      </c>
      <c r="F523" s="16">
        <v>3</v>
      </c>
      <c r="G523" s="16">
        <f t="shared" si="29"/>
        <v>1</v>
      </c>
      <c r="H523" s="91">
        <v>1</v>
      </c>
    </row>
    <row r="524" spans="1:8" customFormat="1" ht="16.5" x14ac:dyDescent="0.3">
      <c r="A524" s="91">
        <f t="shared" si="30"/>
        <v>13244</v>
      </c>
      <c r="B524" s="11" t="s">
        <v>598</v>
      </c>
      <c r="C524" s="91"/>
      <c r="D524" s="91"/>
      <c r="E524" s="16" t="s">
        <v>123</v>
      </c>
      <c r="F524" s="16">
        <v>3</v>
      </c>
      <c r="G524" s="16">
        <f t="shared" si="29"/>
        <v>1</v>
      </c>
      <c r="H524" s="91">
        <v>1</v>
      </c>
    </row>
    <row r="525" spans="1:8" customFormat="1" ht="16.5" customHeight="1" x14ac:dyDescent="0.3">
      <c r="A525" s="91">
        <f t="shared" si="30"/>
        <v>13245</v>
      </c>
      <c r="B525" s="11"/>
      <c r="C525" s="91"/>
      <c r="D525" s="91"/>
      <c r="E525" s="16" t="s">
        <v>123</v>
      </c>
      <c r="F525" s="16">
        <v>3</v>
      </c>
      <c r="G525" s="16">
        <f t="shared" si="29"/>
        <v>1</v>
      </c>
      <c r="H525" s="91">
        <v>1</v>
      </c>
    </row>
    <row r="526" spans="1:8" customFormat="1" ht="16.5" x14ac:dyDescent="0.3">
      <c r="A526" s="91">
        <f t="shared" si="30"/>
        <v>13246</v>
      </c>
      <c r="B526" s="11"/>
      <c r="C526" s="91"/>
      <c r="D526" s="91"/>
      <c r="E526" s="16" t="s">
        <v>123</v>
      </c>
      <c r="F526" s="16">
        <v>3</v>
      </c>
      <c r="G526" s="16">
        <f t="shared" si="29"/>
        <v>1</v>
      </c>
      <c r="H526" s="91">
        <v>1</v>
      </c>
    </row>
    <row r="527" spans="1:8" customFormat="1" ht="16.5" x14ac:dyDescent="0.3">
      <c r="A527" s="91">
        <f t="shared" si="30"/>
        <v>13247</v>
      </c>
      <c r="B527" s="11"/>
      <c r="C527" s="91"/>
      <c r="D527" s="91"/>
      <c r="E527" s="16" t="s">
        <v>123</v>
      </c>
      <c r="F527" s="16">
        <v>3</v>
      </c>
      <c r="G527" s="16">
        <f t="shared" si="29"/>
        <v>1</v>
      </c>
      <c r="H527" s="91">
        <v>1</v>
      </c>
    </row>
    <row r="528" spans="1:8" customFormat="1" ht="16.5" customHeight="1" x14ac:dyDescent="0.3">
      <c r="A528" s="91">
        <f t="shared" si="30"/>
        <v>13248</v>
      </c>
      <c r="B528" s="11"/>
      <c r="C528" s="91"/>
      <c r="D528" s="91"/>
      <c r="E528" s="16" t="s">
        <v>123</v>
      </c>
      <c r="F528" s="16">
        <v>3</v>
      </c>
      <c r="G528" s="16">
        <f t="shared" si="29"/>
        <v>1</v>
      </c>
      <c r="H528" s="91">
        <v>1</v>
      </c>
    </row>
    <row r="529" spans="1:8" customFormat="1" ht="16.5" x14ac:dyDescent="0.3">
      <c r="A529" s="91">
        <f t="shared" si="30"/>
        <v>13249</v>
      </c>
      <c r="B529" s="11"/>
      <c r="C529" s="91"/>
      <c r="D529" s="91"/>
      <c r="E529" s="16" t="s">
        <v>123</v>
      </c>
      <c r="F529" s="16">
        <v>3</v>
      </c>
      <c r="G529" s="16">
        <f t="shared" si="29"/>
        <v>1</v>
      </c>
      <c r="H529" s="91">
        <v>1</v>
      </c>
    </row>
    <row r="530" spans="1:8" ht="15.95" customHeight="1" x14ac:dyDescent="0.3">
      <c r="A530" s="122" t="s">
        <v>115</v>
      </c>
      <c r="B530" s="122"/>
      <c r="C530" s="122"/>
      <c r="D530" s="122"/>
      <c r="E530" s="122"/>
      <c r="F530" s="122"/>
      <c r="G530" s="122"/>
      <c r="H530" s="122"/>
    </row>
    <row r="531" spans="1:8" ht="15.95" customHeight="1" x14ac:dyDescent="0.3">
      <c r="A531" s="91">
        <f>A529+(G529*H529)</f>
        <v>13250</v>
      </c>
      <c r="B531" s="9" t="s">
        <v>180</v>
      </c>
      <c r="C531" s="91"/>
      <c r="D531" s="91"/>
      <c r="E531" s="16" t="s">
        <v>114</v>
      </c>
      <c r="F531" s="16">
        <v>3</v>
      </c>
      <c r="G531" s="16">
        <f t="shared" ref="G531:G542" si="31">IF(OR(E531="U16", E531="S16"),1,IF(E531="TS",6,2))</f>
        <v>1</v>
      </c>
      <c r="H531" s="91">
        <v>160</v>
      </c>
    </row>
    <row r="532" spans="1:8" ht="15.95" customHeight="1" x14ac:dyDescent="0.3">
      <c r="A532" s="91">
        <f t="shared" ref="A532:A542" si="32">A531+(G531*H531)</f>
        <v>13410</v>
      </c>
      <c r="B532" s="9" t="s">
        <v>32</v>
      </c>
      <c r="C532" s="91"/>
      <c r="D532" s="91"/>
      <c r="E532" s="16" t="s">
        <v>114</v>
      </c>
      <c r="F532" s="16">
        <v>3</v>
      </c>
      <c r="G532" s="16">
        <f t="shared" si="31"/>
        <v>1</v>
      </c>
      <c r="H532" s="91">
        <v>160</v>
      </c>
    </row>
    <row r="533" spans="1:8" ht="15.95" customHeight="1" x14ac:dyDescent="0.3">
      <c r="A533" s="91">
        <f t="shared" si="32"/>
        <v>13570</v>
      </c>
      <c r="B533" s="9" t="s">
        <v>33</v>
      </c>
      <c r="C533" s="91"/>
      <c r="D533" s="91"/>
      <c r="E533" s="16" t="s">
        <v>114</v>
      </c>
      <c r="F533" s="16">
        <v>3</v>
      </c>
      <c r="G533" s="16">
        <f t="shared" si="31"/>
        <v>1</v>
      </c>
      <c r="H533" s="91">
        <v>160</v>
      </c>
    </row>
    <row r="534" spans="1:8" ht="15.95" customHeight="1" x14ac:dyDescent="0.3">
      <c r="A534" s="91">
        <f t="shared" si="32"/>
        <v>13730</v>
      </c>
      <c r="B534" s="9" t="s">
        <v>34</v>
      </c>
      <c r="C534" s="91"/>
      <c r="D534" s="91"/>
      <c r="E534" s="16" t="s">
        <v>114</v>
      </c>
      <c r="F534" s="16">
        <v>3</v>
      </c>
      <c r="G534" s="16">
        <f t="shared" si="31"/>
        <v>1</v>
      </c>
      <c r="H534" s="91">
        <v>160</v>
      </c>
    </row>
    <row r="535" spans="1:8" ht="15.95" customHeight="1" x14ac:dyDescent="0.3">
      <c r="A535" s="91">
        <f t="shared" si="32"/>
        <v>13890</v>
      </c>
      <c r="B535" s="9" t="s">
        <v>35</v>
      </c>
      <c r="C535" s="91"/>
      <c r="D535" s="91"/>
      <c r="E535" s="16" t="s">
        <v>114</v>
      </c>
      <c r="F535" s="16">
        <v>3</v>
      </c>
      <c r="G535" s="16">
        <f t="shared" si="31"/>
        <v>1</v>
      </c>
      <c r="H535" s="91">
        <v>160</v>
      </c>
    </row>
    <row r="536" spans="1:8" ht="15.95" customHeight="1" x14ac:dyDescent="0.3">
      <c r="A536" s="91">
        <f t="shared" si="32"/>
        <v>14050</v>
      </c>
      <c r="B536" s="9" t="s">
        <v>36</v>
      </c>
      <c r="C536" s="91"/>
      <c r="D536" s="91"/>
      <c r="E536" s="16" t="s">
        <v>114</v>
      </c>
      <c r="F536" s="16">
        <v>3</v>
      </c>
      <c r="G536" s="16">
        <f t="shared" si="31"/>
        <v>1</v>
      </c>
      <c r="H536" s="91">
        <v>160</v>
      </c>
    </row>
    <row r="537" spans="1:8" ht="15.95" customHeight="1" x14ac:dyDescent="0.3">
      <c r="A537" s="91">
        <f t="shared" si="32"/>
        <v>14210</v>
      </c>
      <c r="B537" s="9" t="s">
        <v>37</v>
      </c>
      <c r="C537" s="91"/>
      <c r="D537" s="91"/>
      <c r="E537" s="16" t="s">
        <v>114</v>
      </c>
      <c r="F537" s="16">
        <v>3</v>
      </c>
      <c r="G537" s="16">
        <f t="shared" si="31"/>
        <v>1</v>
      </c>
      <c r="H537" s="91">
        <v>160</v>
      </c>
    </row>
    <row r="538" spans="1:8" ht="15.95" customHeight="1" x14ac:dyDescent="0.3">
      <c r="A538" s="91">
        <f t="shared" si="32"/>
        <v>14370</v>
      </c>
      <c r="B538" s="9" t="s">
        <v>38</v>
      </c>
      <c r="C538" s="91"/>
      <c r="D538" s="91"/>
      <c r="E538" s="16" t="s">
        <v>114</v>
      </c>
      <c r="F538" s="16">
        <v>3</v>
      </c>
      <c r="G538" s="16">
        <f t="shared" si="31"/>
        <v>1</v>
      </c>
      <c r="H538" s="91">
        <v>160</v>
      </c>
    </row>
    <row r="539" spans="1:8" ht="15.95" customHeight="1" x14ac:dyDescent="0.3">
      <c r="A539" s="91">
        <f t="shared" si="32"/>
        <v>14530</v>
      </c>
      <c r="B539" s="9" t="s">
        <v>39</v>
      </c>
      <c r="C539" s="91"/>
      <c r="D539" s="91"/>
      <c r="E539" s="16" t="s">
        <v>114</v>
      </c>
      <c r="F539" s="16">
        <v>3</v>
      </c>
      <c r="G539" s="16">
        <f t="shared" si="31"/>
        <v>1</v>
      </c>
      <c r="H539" s="91">
        <v>160</v>
      </c>
    </row>
    <row r="540" spans="1:8" ht="15.95" customHeight="1" x14ac:dyDescent="0.3">
      <c r="A540" s="91">
        <f t="shared" si="32"/>
        <v>14690</v>
      </c>
      <c r="B540" s="9" t="s">
        <v>556</v>
      </c>
      <c r="C540" s="91"/>
      <c r="D540" s="91"/>
      <c r="E540" s="16" t="s">
        <v>437</v>
      </c>
      <c r="F540" s="16">
        <v>3</v>
      </c>
      <c r="G540" s="16">
        <f>IF(OR(E540="U16", E540="S16"),1,IF(E540="TS",6,2))</f>
        <v>2</v>
      </c>
      <c r="H540" s="91">
        <v>1</v>
      </c>
    </row>
    <row r="541" spans="1:8" ht="15.95" customHeight="1" x14ac:dyDescent="0.3">
      <c r="A541" s="91">
        <f t="shared" si="32"/>
        <v>14692</v>
      </c>
      <c r="B541" s="9" t="s">
        <v>557</v>
      </c>
      <c r="C541" s="91"/>
      <c r="D541" s="91"/>
      <c r="E541" s="16" t="s">
        <v>437</v>
      </c>
      <c r="F541" s="16">
        <v>3</v>
      </c>
      <c r="G541" s="16">
        <f t="shared" si="31"/>
        <v>2</v>
      </c>
      <c r="H541" s="91">
        <v>1</v>
      </c>
    </row>
    <row r="542" spans="1:8" ht="15.95" customHeight="1" x14ac:dyDescent="0.3">
      <c r="A542" s="91">
        <f t="shared" si="32"/>
        <v>14694</v>
      </c>
      <c r="B542" s="9"/>
      <c r="C542" s="91"/>
      <c r="D542" s="91"/>
      <c r="E542" s="16" t="s">
        <v>114</v>
      </c>
      <c r="F542" s="16">
        <v>3</v>
      </c>
      <c r="G542" s="16">
        <f t="shared" si="31"/>
        <v>1</v>
      </c>
      <c r="H542" s="91">
        <v>6</v>
      </c>
    </row>
    <row r="543" spans="1:8" customFormat="1" ht="16.5" x14ac:dyDescent="0.3">
      <c r="A543" s="122" t="s">
        <v>546</v>
      </c>
      <c r="B543" s="122"/>
      <c r="C543" s="122"/>
      <c r="D543" s="122"/>
      <c r="E543" s="122"/>
      <c r="F543" s="122"/>
      <c r="G543" s="122"/>
      <c r="H543" s="122"/>
    </row>
    <row r="544" spans="1:8" customFormat="1" ht="16.5" x14ac:dyDescent="0.3">
      <c r="A544" s="91">
        <f>A542+(G542*H542)</f>
        <v>14700</v>
      </c>
      <c r="B544" s="9" t="s">
        <v>889</v>
      </c>
      <c r="C544" s="91"/>
      <c r="D544" s="91"/>
      <c r="E544" s="16" t="s">
        <v>91</v>
      </c>
      <c r="F544" s="16">
        <v>3</v>
      </c>
      <c r="G544" s="16">
        <f t="shared" ref="G544:G591" si="33">IF(OR(E544="U16", E544="S16"),1,IF(E544="TS",6,2))</f>
        <v>2</v>
      </c>
      <c r="H544" s="91">
        <v>1</v>
      </c>
    </row>
    <row r="545" spans="1:8" customFormat="1" ht="16.5" x14ac:dyDescent="0.3">
      <c r="A545" s="91">
        <f t="shared" ref="A545:A592" si="34">A544+(G544*H544)</f>
        <v>14702</v>
      </c>
      <c r="B545" s="9" t="s">
        <v>154</v>
      </c>
      <c r="C545" s="91"/>
      <c r="D545" s="91"/>
      <c r="E545" s="16" t="s">
        <v>58</v>
      </c>
      <c r="F545" s="16">
        <v>3</v>
      </c>
      <c r="G545" s="16">
        <f t="shared" si="33"/>
        <v>2</v>
      </c>
      <c r="H545" s="91">
        <v>1</v>
      </c>
    </row>
    <row r="546" spans="1:8" customFormat="1" ht="16.5" x14ac:dyDescent="0.3">
      <c r="A546" s="91">
        <f t="shared" si="34"/>
        <v>14704</v>
      </c>
      <c r="B546" s="9" t="s">
        <v>155</v>
      </c>
      <c r="C546" s="9"/>
      <c r="D546" s="9"/>
      <c r="E546" s="16" t="s">
        <v>58</v>
      </c>
      <c r="F546" s="16">
        <v>3</v>
      </c>
      <c r="G546" s="16">
        <f t="shared" si="33"/>
        <v>2</v>
      </c>
      <c r="H546" s="91">
        <v>1</v>
      </c>
    </row>
    <row r="547" spans="1:8" customFormat="1" ht="16.5" x14ac:dyDescent="0.3">
      <c r="A547" s="91">
        <f t="shared" si="34"/>
        <v>14706</v>
      </c>
      <c r="B547" s="9" t="s">
        <v>156</v>
      </c>
      <c r="C547" s="9"/>
      <c r="D547" s="9"/>
      <c r="E547" s="16" t="s">
        <v>58</v>
      </c>
      <c r="F547" s="16">
        <v>3</v>
      </c>
      <c r="G547" s="16">
        <f t="shared" si="33"/>
        <v>2</v>
      </c>
      <c r="H547" s="91">
        <v>1</v>
      </c>
    </row>
    <row r="548" spans="1:8" customFormat="1" ht="16.5" x14ac:dyDescent="0.3">
      <c r="A548" s="91">
        <f t="shared" si="34"/>
        <v>14708</v>
      </c>
      <c r="B548" s="9" t="s">
        <v>890</v>
      </c>
      <c r="C548" s="9"/>
      <c r="D548" s="9"/>
      <c r="E548" s="16" t="s">
        <v>58</v>
      </c>
      <c r="F548" s="16">
        <v>3</v>
      </c>
      <c r="G548" s="16">
        <f t="shared" si="33"/>
        <v>2</v>
      </c>
      <c r="H548" s="91">
        <v>1</v>
      </c>
    </row>
    <row r="549" spans="1:8" customFormat="1" ht="16.5" x14ac:dyDescent="0.3">
      <c r="A549" s="91">
        <f t="shared" si="34"/>
        <v>14710</v>
      </c>
      <c r="B549" s="9" t="s">
        <v>891</v>
      </c>
      <c r="C549" s="9"/>
      <c r="D549" s="9"/>
      <c r="E549" s="16" t="s">
        <v>58</v>
      </c>
      <c r="F549" s="16">
        <v>3</v>
      </c>
      <c r="G549" s="16">
        <f t="shared" si="33"/>
        <v>2</v>
      </c>
      <c r="H549" s="91">
        <v>1</v>
      </c>
    </row>
    <row r="550" spans="1:8" customFormat="1" ht="16.5" x14ac:dyDescent="0.3">
      <c r="A550" s="91">
        <f t="shared" si="34"/>
        <v>14712</v>
      </c>
      <c r="B550" s="9" t="s">
        <v>892</v>
      </c>
      <c r="C550" s="9"/>
      <c r="D550" s="9"/>
      <c r="E550" s="16" t="s">
        <v>58</v>
      </c>
      <c r="F550" s="16">
        <v>3</v>
      </c>
      <c r="G550" s="16">
        <f t="shared" si="33"/>
        <v>2</v>
      </c>
      <c r="H550" s="91">
        <v>1</v>
      </c>
    </row>
    <row r="551" spans="1:8" ht="15.95" customHeight="1" x14ac:dyDescent="0.3">
      <c r="A551" s="91">
        <f t="shared" si="34"/>
        <v>14714</v>
      </c>
      <c r="B551" s="9" t="s">
        <v>893</v>
      </c>
      <c r="C551" s="9"/>
      <c r="D551" s="9"/>
      <c r="E551" s="16" t="s">
        <v>58</v>
      </c>
      <c r="F551" s="16">
        <v>3</v>
      </c>
      <c r="G551" s="16">
        <f>IF(OR(E551="U16", E551="S16"),1,IF(E551="TS",6,2))</f>
        <v>2</v>
      </c>
      <c r="H551" s="91">
        <v>1</v>
      </c>
    </row>
    <row r="552" spans="1:8" customFormat="1" ht="16.5" x14ac:dyDescent="0.3">
      <c r="A552" s="91">
        <f t="shared" si="34"/>
        <v>14716</v>
      </c>
      <c r="B552" s="9" t="s">
        <v>894</v>
      </c>
      <c r="C552" s="9"/>
      <c r="D552" s="9"/>
      <c r="E552" s="16" t="s">
        <v>58</v>
      </c>
      <c r="F552" s="16">
        <v>3</v>
      </c>
      <c r="G552" s="16">
        <f>IF(OR(E552="U16", E552="S16"),1,IF(E552="TS",6,2))</f>
        <v>2</v>
      </c>
      <c r="H552" s="91">
        <v>1</v>
      </c>
    </row>
    <row r="553" spans="1:8" customFormat="1" ht="16.5" customHeight="1" x14ac:dyDescent="0.3">
      <c r="A553" s="91">
        <f t="shared" si="34"/>
        <v>14718</v>
      </c>
      <c r="B553" s="9" t="s">
        <v>895</v>
      </c>
      <c r="C553" s="9"/>
      <c r="D553" s="9"/>
      <c r="E553" s="16" t="s">
        <v>58</v>
      </c>
      <c r="F553" s="16">
        <v>3</v>
      </c>
      <c r="G553" s="16">
        <f>IF(OR(E553="U16", E553="S16"),1,IF(E553="TS",6,2))</f>
        <v>2</v>
      </c>
      <c r="H553" s="91">
        <v>1</v>
      </c>
    </row>
    <row r="554" spans="1:8" customFormat="1" ht="16.5" x14ac:dyDescent="0.3">
      <c r="A554" s="91">
        <f t="shared" si="34"/>
        <v>14720</v>
      </c>
      <c r="B554" s="9" t="s">
        <v>896</v>
      </c>
      <c r="C554" s="9"/>
      <c r="D554" s="9"/>
      <c r="E554" s="16" t="s">
        <v>58</v>
      </c>
      <c r="F554" s="16">
        <v>3</v>
      </c>
      <c r="G554" s="16">
        <f t="shared" si="33"/>
        <v>2</v>
      </c>
      <c r="H554" s="91">
        <v>1</v>
      </c>
    </row>
    <row r="555" spans="1:8" customFormat="1" ht="16.5" x14ac:dyDescent="0.3">
      <c r="A555" s="91">
        <f t="shared" si="34"/>
        <v>14722</v>
      </c>
      <c r="B555" s="9" t="s">
        <v>897</v>
      </c>
      <c r="C555" s="9"/>
      <c r="D555" s="9"/>
      <c r="E555" s="16" t="s">
        <v>58</v>
      </c>
      <c r="F555" s="16">
        <v>3</v>
      </c>
      <c r="G555" s="16">
        <f t="shared" si="33"/>
        <v>2</v>
      </c>
      <c r="H555" s="91">
        <v>1</v>
      </c>
    </row>
    <row r="556" spans="1:8" customFormat="1" ht="16.5" x14ac:dyDescent="0.3">
      <c r="A556" s="91">
        <f t="shared" si="34"/>
        <v>14724</v>
      </c>
      <c r="B556" s="9" t="s">
        <v>0</v>
      </c>
      <c r="C556" s="9"/>
      <c r="D556" s="9"/>
      <c r="E556" s="16" t="s">
        <v>58</v>
      </c>
      <c r="F556" s="16">
        <v>3</v>
      </c>
      <c r="G556" s="16">
        <f t="shared" si="33"/>
        <v>2</v>
      </c>
      <c r="H556" s="91">
        <v>1</v>
      </c>
    </row>
    <row r="557" spans="1:8" customFormat="1" ht="16.5" x14ac:dyDescent="0.3">
      <c r="A557" s="91">
        <f t="shared" si="34"/>
        <v>14726</v>
      </c>
      <c r="B557" s="9" t="s">
        <v>1</v>
      </c>
      <c r="C557" s="9"/>
      <c r="D557" s="9"/>
      <c r="E557" s="16" t="s">
        <v>58</v>
      </c>
      <c r="F557" s="16">
        <v>3</v>
      </c>
      <c r="G557" s="16">
        <f t="shared" si="33"/>
        <v>2</v>
      </c>
      <c r="H557" s="91">
        <v>1</v>
      </c>
    </row>
    <row r="558" spans="1:8" customFormat="1" ht="16.5" x14ac:dyDescent="0.3">
      <c r="A558" s="91">
        <f t="shared" si="34"/>
        <v>14728</v>
      </c>
      <c r="B558" s="9" t="s">
        <v>2</v>
      </c>
      <c r="C558" s="9"/>
      <c r="D558" s="9"/>
      <c r="E558" s="16" t="s">
        <v>58</v>
      </c>
      <c r="F558" s="16">
        <v>3</v>
      </c>
      <c r="G558" s="16">
        <f t="shared" si="33"/>
        <v>2</v>
      </c>
      <c r="H558" s="91">
        <v>1</v>
      </c>
    </row>
    <row r="559" spans="1:8" customFormat="1" ht="16.5" x14ac:dyDescent="0.3">
      <c r="A559" s="91">
        <f t="shared" si="34"/>
        <v>14730</v>
      </c>
      <c r="B559" s="9" t="s">
        <v>122</v>
      </c>
      <c r="C559" s="9"/>
      <c r="D559" s="9"/>
      <c r="E559" s="16" t="s">
        <v>58</v>
      </c>
      <c r="F559" s="16">
        <v>3</v>
      </c>
      <c r="G559" s="16">
        <f t="shared" si="33"/>
        <v>2</v>
      </c>
      <c r="H559" s="91">
        <v>1</v>
      </c>
    </row>
    <row r="560" spans="1:8" customFormat="1" ht="16.5" x14ac:dyDescent="0.3">
      <c r="A560" s="91">
        <f t="shared" si="34"/>
        <v>14732</v>
      </c>
      <c r="B560" s="9" t="s">
        <v>898</v>
      </c>
      <c r="C560" s="9"/>
      <c r="D560" s="9"/>
      <c r="E560" s="16" t="s">
        <v>58</v>
      </c>
      <c r="F560" s="16">
        <v>3</v>
      </c>
      <c r="G560" s="16">
        <f t="shared" si="33"/>
        <v>2</v>
      </c>
      <c r="H560" s="91">
        <v>1</v>
      </c>
    </row>
    <row r="561" spans="1:8" customFormat="1" ht="16.5" x14ac:dyDescent="0.3">
      <c r="A561" s="91">
        <f t="shared" si="34"/>
        <v>14734</v>
      </c>
      <c r="B561" s="9" t="s">
        <v>899</v>
      </c>
      <c r="C561" s="9"/>
      <c r="D561" s="9"/>
      <c r="E561" s="16" t="s">
        <v>58</v>
      </c>
      <c r="F561" s="16">
        <v>3</v>
      </c>
      <c r="G561" s="16">
        <f t="shared" si="33"/>
        <v>2</v>
      </c>
      <c r="H561" s="91">
        <v>1</v>
      </c>
    </row>
    <row r="562" spans="1:8" customFormat="1" ht="16.5" x14ac:dyDescent="0.3">
      <c r="A562" s="91">
        <f t="shared" si="34"/>
        <v>14736</v>
      </c>
      <c r="B562" s="9" t="s">
        <v>900</v>
      </c>
      <c r="C562" s="9"/>
      <c r="D562" s="9"/>
      <c r="E562" s="16" t="s">
        <v>58</v>
      </c>
      <c r="F562" s="16">
        <v>3</v>
      </c>
      <c r="G562" s="16">
        <f t="shared" si="33"/>
        <v>2</v>
      </c>
      <c r="H562" s="91">
        <v>1</v>
      </c>
    </row>
    <row r="563" spans="1:8" ht="15.95" customHeight="1" x14ac:dyDescent="0.3">
      <c r="A563" s="91">
        <f t="shared" si="34"/>
        <v>14738</v>
      </c>
      <c r="B563" s="9" t="s">
        <v>901</v>
      </c>
      <c r="C563" s="9"/>
      <c r="D563" s="9"/>
      <c r="E563" s="16" t="s">
        <v>58</v>
      </c>
      <c r="F563" s="16">
        <v>3</v>
      </c>
      <c r="G563" s="16">
        <f t="shared" si="33"/>
        <v>2</v>
      </c>
      <c r="H563" s="91">
        <v>1</v>
      </c>
    </row>
    <row r="564" spans="1:8" ht="15.95" customHeight="1" x14ac:dyDescent="0.3">
      <c r="A564" s="91">
        <f t="shared" si="34"/>
        <v>14740</v>
      </c>
      <c r="B564" s="9" t="s">
        <v>902</v>
      </c>
      <c r="C564" s="9"/>
      <c r="D564" s="9"/>
      <c r="E564" s="16" t="s">
        <v>58</v>
      </c>
      <c r="F564" s="16">
        <v>3</v>
      </c>
      <c r="G564" s="16">
        <f t="shared" si="33"/>
        <v>2</v>
      </c>
      <c r="H564" s="91">
        <v>1</v>
      </c>
    </row>
    <row r="565" spans="1:8" ht="15.95" customHeight="1" x14ac:dyDescent="0.3">
      <c r="A565" s="91">
        <f t="shared" si="34"/>
        <v>14742</v>
      </c>
      <c r="B565" s="9" t="s">
        <v>903</v>
      </c>
      <c r="C565" s="91"/>
      <c r="D565" s="91"/>
      <c r="E565" s="16" t="s">
        <v>58</v>
      </c>
      <c r="F565" s="16">
        <v>3</v>
      </c>
      <c r="G565" s="16">
        <f t="shared" si="33"/>
        <v>2</v>
      </c>
      <c r="H565" s="91">
        <v>1</v>
      </c>
    </row>
    <row r="566" spans="1:8" customFormat="1" ht="16.5" x14ac:dyDescent="0.3">
      <c r="A566" s="91">
        <f t="shared" si="34"/>
        <v>14744</v>
      </c>
      <c r="B566" s="9" t="s">
        <v>904</v>
      </c>
      <c r="C566" s="91"/>
      <c r="D566" s="91"/>
      <c r="E566" s="16" t="s">
        <v>58</v>
      </c>
      <c r="F566" s="16">
        <v>3</v>
      </c>
      <c r="G566" s="16">
        <f t="shared" si="33"/>
        <v>2</v>
      </c>
      <c r="H566" s="91">
        <v>1</v>
      </c>
    </row>
    <row r="567" spans="1:8" customFormat="1" ht="16.5" customHeight="1" x14ac:dyDescent="0.3">
      <c r="A567" s="91">
        <f t="shared" si="34"/>
        <v>14746</v>
      </c>
      <c r="B567" s="9" t="s">
        <v>905</v>
      </c>
      <c r="C567" s="91"/>
      <c r="D567" s="91"/>
      <c r="E567" s="16" t="s">
        <v>58</v>
      </c>
      <c r="F567" s="16">
        <v>3</v>
      </c>
      <c r="G567" s="16">
        <f t="shared" si="33"/>
        <v>2</v>
      </c>
      <c r="H567" s="91">
        <v>1</v>
      </c>
    </row>
    <row r="568" spans="1:8" customFormat="1" ht="16.5" x14ac:dyDescent="0.3">
      <c r="A568" s="91">
        <f t="shared" si="34"/>
        <v>14748</v>
      </c>
      <c r="B568" s="9" t="s">
        <v>906</v>
      </c>
      <c r="C568" s="91"/>
      <c r="D568" s="91"/>
      <c r="E568" s="16" t="s">
        <v>58</v>
      </c>
      <c r="F568" s="16">
        <v>3</v>
      </c>
      <c r="G568" s="16">
        <f t="shared" si="33"/>
        <v>2</v>
      </c>
      <c r="H568" s="91">
        <v>1</v>
      </c>
    </row>
    <row r="569" spans="1:8" customFormat="1" ht="16.5" x14ac:dyDescent="0.3">
      <c r="A569" s="91">
        <f t="shared" si="34"/>
        <v>14750</v>
      </c>
      <c r="B569" s="9" t="s">
        <v>907</v>
      </c>
      <c r="C569" s="91"/>
      <c r="D569" s="91"/>
      <c r="E569" s="16" t="s">
        <v>58</v>
      </c>
      <c r="F569" s="16">
        <v>3</v>
      </c>
      <c r="G569" s="16">
        <f t="shared" si="33"/>
        <v>2</v>
      </c>
      <c r="H569" s="91">
        <v>1</v>
      </c>
    </row>
    <row r="570" spans="1:8" customFormat="1" ht="16.5" x14ac:dyDescent="0.3">
      <c r="A570" s="91">
        <f t="shared" si="34"/>
        <v>14752</v>
      </c>
      <c r="B570" s="9" t="s">
        <v>908</v>
      </c>
      <c r="C570" s="91"/>
      <c r="D570" s="91"/>
      <c r="E570" s="16" t="s">
        <v>58</v>
      </c>
      <c r="F570" s="16">
        <v>3</v>
      </c>
      <c r="G570" s="16">
        <f t="shared" si="33"/>
        <v>2</v>
      </c>
      <c r="H570" s="91">
        <v>1</v>
      </c>
    </row>
    <row r="571" spans="1:8" customFormat="1" ht="16.5" x14ac:dyDescent="0.3">
      <c r="A571" s="91">
        <f t="shared" si="34"/>
        <v>14754</v>
      </c>
      <c r="B571" s="9" t="s">
        <v>909</v>
      </c>
      <c r="C571" s="91"/>
      <c r="D571" s="91"/>
      <c r="E571" s="16" t="s">
        <v>58</v>
      </c>
      <c r="F571" s="16">
        <v>3</v>
      </c>
      <c r="G571" s="16">
        <f t="shared" si="33"/>
        <v>2</v>
      </c>
      <c r="H571" s="91">
        <v>1</v>
      </c>
    </row>
    <row r="572" spans="1:8" ht="15.95" customHeight="1" x14ac:dyDescent="0.3">
      <c r="A572" s="91">
        <f t="shared" si="34"/>
        <v>14756</v>
      </c>
      <c r="B572" s="9" t="s">
        <v>910</v>
      </c>
      <c r="C572" s="91"/>
      <c r="D572" s="91"/>
      <c r="E572" s="16" t="s">
        <v>58</v>
      </c>
      <c r="F572" s="16">
        <v>3</v>
      </c>
      <c r="G572" s="16">
        <f t="shared" si="33"/>
        <v>2</v>
      </c>
      <c r="H572" s="91">
        <v>1</v>
      </c>
    </row>
    <row r="573" spans="1:8" ht="15.95" customHeight="1" x14ac:dyDescent="0.3">
      <c r="A573" s="91">
        <f t="shared" si="34"/>
        <v>14758</v>
      </c>
      <c r="B573" s="9" t="s">
        <v>911</v>
      </c>
      <c r="C573" s="91"/>
      <c r="D573" s="91"/>
      <c r="E573" s="16" t="s">
        <v>58</v>
      </c>
      <c r="F573" s="16">
        <v>3</v>
      </c>
      <c r="G573" s="16">
        <f t="shared" si="33"/>
        <v>2</v>
      </c>
      <c r="H573" s="91">
        <v>1</v>
      </c>
    </row>
    <row r="574" spans="1:8" ht="15.95" customHeight="1" x14ac:dyDescent="0.3">
      <c r="A574" s="91">
        <f t="shared" si="34"/>
        <v>14760</v>
      </c>
      <c r="B574" s="9" t="s">
        <v>912</v>
      </c>
      <c r="C574" s="91"/>
      <c r="D574" s="91"/>
      <c r="E574" s="16" t="s">
        <v>58</v>
      </c>
      <c r="F574" s="16">
        <v>3</v>
      </c>
      <c r="G574" s="16">
        <f t="shared" si="33"/>
        <v>2</v>
      </c>
      <c r="H574" s="91">
        <v>1</v>
      </c>
    </row>
    <row r="575" spans="1:8" customFormat="1" ht="16.5" x14ac:dyDescent="0.3">
      <c r="A575" s="91">
        <f t="shared" si="34"/>
        <v>14762</v>
      </c>
      <c r="B575" s="9" t="s">
        <v>913</v>
      </c>
      <c r="C575" s="9"/>
      <c r="D575" s="9"/>
      <c r="E575" s="16" t="s">
        <v>58</v>
      </c>
      <c r="F575" s="16">
        <v>3</v>
      </c>
      <c r="G575" s="16">
        <f t="shared" si="33"/>
        <v>2</v>
      </c>
      <c r="H575" s="91">
        <v>1</v>
      </c>
    </row>
    <row r="576" spans="1:8" customFormat="1" ht="16.5" customHeight="1" x14ac:dyDescent="0.3">
      <c r="A576" s="91">
        <f t="shared" si="34"/>
        <v>14764</v>
      </c>
      <c r="B576" s="9" t="s">
        <v>132</v>
      </c>
      <c r="C576" s="9"/>
      <c r="D576" s="9"/>
      <c r="E576" s="16" t="s">
        <v>58</v>
      </c>
      <c r="F576" s="16">
        <v>3</v>
      </c>
      <c r="G576" s="16">
        <f t="shared" si="33"/>
        <v>2</v>
      </c>
      <c r="H576" s="91">
        <v>1</v>
      </c>
    </row>
    <row r="577" spans="1:8" customFormat="1" ht="16.5" x14ac:dyDescent="0.3">
      <c r="A577" s="91">
        <f t="shared" si="34"/>
        <v>14766</v>
      </c>
      <c r="B577" s="9" t="s">
        <v>133</v>
      </c>
      <c r="C577" s="9"/>
      <c r="D577" s="9"/>
      <c r="E577" s="16" t="s">
        <v>58</v>
      </c>
      <c r="F577" s="16">
        <v>3</v>
      </c>
      <c r="G577" s="16">
        <f t="shared" si="33"/>
        <v>2</v>
      </c>
      <c r="H577" s="91">
        <v>1</v>
      </c>
    </row>
    <row r="578" spans="1:8" customFormat="1" ht="16.5" x14ac:dyDescent="0.3">
      <c r="A578" s="91">
        <f t="shared" si="34"/>
        <v>14768</v>
      </c>
      <c r="B578" s="9" t="s">
        <v>914</v>
      </c>
      <c r="C578" s="9"/>
      <c r="D578" s="9"/>
      <c r="E578" s="16" t="s">
        <v>58</v>
      </c>
      <c r="F578" s="16">
        <v>3</v>
      </c>
      <c r="G578" s="16">
        <f t="shared" si="33"/>
        <v>2</v>
      </c>
      <c r="H578" s="91">
        <v>1</v>
      </c>
    </row>
    <row r="579" spans="1:8" customFormat="1" ht="16.5" x14ac:dyDescent="0.3">
      <c r="A579" s="91">
        <f t="shared" si="34"/>
        <v>14770</v>
      </c>
      <c r="B579" s="9" t="s">
        <v>915</v>
      </c>
      <c r="C579" s="35"/>
      <c r="D579" s="91"/>
      <c r="E579" s="16" t="s">
        <v>58</v>
      </c>
      <c r="F579" s="16">
        <v>3</v>
      </c>
      <c r="G579" s="16">
        <f t="shared" si="33"/>
        <v>2</v>
      </c>
      <c r="H579" s="91">
        <v>1</v>
      </c>
    </row>
    <row r="580" spans="1:8" customFormat="1" ht="16.5" x14ac:dyDescent="0.3">
      <c r="A580" s="91">
        <f t="shared" si="34"/>
        <v>14772</v>
      </c>
      <c r="B580" s="9" t="s">
        <v>916</v>
      </c>
      <c r="C580" s="35"/>
      <c r="D580" s="91"/>
      <c r="E580" s="16" t="s">
        <v>58</v>
      </c>
      <c r="F580" s="16">
        <v>3</v>
      </c>
      <c r="G580" s="16">
        <f t="shared" si="33"/>
        <v>2</v>
      </c>
      <c r="H580" s="91">
        <v>1</v>
      </c>
    </row>
    <row r="581" spans="1:8" customFormat="1" ht="16.5" x14ac:dyDescent="0.3">
      <c r="A581" s="91">
        <f t="shared" si="34"/>
        <v>14774</v>
      </c>
      <c r="B581" s="9" t="s">
        <v>917</v>
      </c>
      <c r="C581" s="35"/>
      <c r="D581" s="91"/>
      <c r="E581" s="16" t="s">
        <v>58</v>
      </c>
      <c r="F581" s="16">
        <v>3</v>
      </c>
      <c r="G581" s="16">
        <f t="shared" si="33"/>
        <v>2</v>
      </c>
      <c r="H581" s="91">
        <v>1</v>
      </c>
    </row>
    <row r="582" spans="1:8" ht="16.5" customHeight="1" x14ac:dyDescent="0.3">
      <c r="A582" s="91">
        <f t="shared" si="34"/>
        <v>14776</v>
      </c>
      <c r="B582" s="9" t="s">
        <v>918</v>
      </c>
      <c r="C582" s="35"/>
      <c r="D582" s="91"/>
      <c r="E582" s="16" t="s">
        <v>58</v>
      </c>
      <c r="F582" s="16">
        <v>3</v>
      </c>
      <c r="G582" s="16">
        <f t="shared" si="33"/>
        <v>2</v>
      </c>
      <c r="H582" s="91">
        <v>1</v>
      </c>
    </row>
    <row r="583" spans="1:8" ht="16.5" customHeight="1" x14ac:dyDescent="0.3">
      <c r="A583" s="91">
        <f t="shared" si="34"/>
        <v>14778</v>
      </c>
      <c r="B583" s="9" t="s">
        <v>94</v>
      </c>
      <c r="C583" s="35"/>
      <c r="D583" s="91"/>
      <c r="E583" s="16" t="s">
        <v>114</v>
      </c>
      <c r="F583" s="16">
        <v>3</v>
      </c>
      <c r="G583" s="16">
        <f t="shared" si="33"/>
        <v>1</v>
      </c>
      <c r="H583" s="91">
        <v>24</v>
      </c>
    </row>
    <row r="584" spans="1:8" ht="16.5" customHeight="1" x14ac:dyDescent="0.3">
      <c r="A584" s="91">
        <f t="shared" si="34"/>
        <v>14802</v>
      </c>
      <c r="B584" s="9" t="s">
        <v>95</v>
      </c>
      <c r="C584" s="35"/>
      <c r="D584" s="91"/>
      <c r="E584" s="16" t="s">
        <v>114</v>
      </c>
      <c r="F584" s="16">
        <v>3</v>
      </c>
      <c r="G584" s="16">
        <f t="shared" si="33"/>
        <v>1</v>
      </c>
      <c r="H584" s="91">
        <v>24</v>
      </c>
    </row>
    <row r="585" spans="1:8" ht="16.5" customHeight="1" x14ac:dyDescent="0.3">
      <c r="A585" s="91">
        <f t="shared" si="34"/>
        <v>14826</v>
      </c>
      <c r="B585" s="9" t="s">
        <v>96</v>
      </c>
      <c r="C585" s="35"/>
      <c r="D585" s="91"/>
      <c r="E585" s="16" t="s">
        <v>114</v>
      </c>
      <c r="F585" s="16">
        <v>3</v>
      </c>
      <c r="G585" s="16">
        <f t="shared" si="33"/>
        <v>1</v>
      </c>
      <c r="H585" s="91">
        <v>24</v>
      </c>
    </row>
    <row r="586" spans="1:8" ht="16.5" customHeight="1" x14ac:dyDescent="0.3">
      <c r="A586" s="91">
        <f t="shared" si="34"/>
        <v>14850</v>
      </c>
      <c r="B586" s="9" t="s">
        <v>97</v>
      </c>
      <c r="C586" s="35"/>
      <c r="D586" s="91"/>
      <c r="E586" s="16" t="s">
        <v>114</v>
      </c>
      <c r="F586" s="16">
        <v>3</v>
      </c>
      <c r="G586" s="16">
        <f t="shared" si="33"/>
        <v>1</v>
      </c>
      <c r="H586" s="91">
        <v>24</v>
      </c>
    </row>
    <row r="587" spans="1:8" ht="16.5" customHeight="1" x14ac:dyDescent="0.3">
      <c r="A587" s="91">
        <f t="shared" si="34"/>
        <v>14874</v>
      </c>
      <c r="B587" s="9" t="s">
        <v>98</v>
      </c>
      <c r="C587" s="35"/>
      <c r="D587" s="91"/>
      <c r="E587" s="16" t="s">
        <v>114</v>
      </c>
      <c r="F587" s="16">
        <v>3</v>
      </c>
      <c r="G587" s="16">
        <f t="shared" si="33"/>
        <v>1</v>
      </c>
      <c r="H587" s="91">
        <v>24</v>
      </c>
    </row>
    <row r="588" spans="1:8" ht="16.5" customHeight="1" x14ac:dyDescent="0.3">
      <c r="A588" s="91">
        <f t="shared" si="34"/>
        <v>14898</v>
      </c>
      <c r="B588" s="9" t="s">
        <v>99</v>
      </c>
      <c r="C588" s="35"/>
      <c r="D588" s="91"/>
      <c r="E588" s="16" t="s">
        <v>114</v>
      </c>
      <c r="F588" s="16">
        <v>3</v>
      </c>
      <c r="G588" s="16">
        <f t="shared" si="33"/>
        <v>1</v>
      </c>
      <c r="H588" s="91">
        <v>24</v>
      </c>
    </row>
    <row r="589" spans="1:8" ht="16.5" customHeight="1" x14ac:dyDescent="0.3">
      <c r="A589" s="91">
        <f t="shared" si="34"/>
        <v>14922</v>
      </c>
      <c r="B589" s="9" t="s">
        <v>100</v>
      </c>
      <c r="C589" s="35"/>
      <c r="D589" s="91"/>
      <c r="E589" s="16" t="s">
        <v>114</v>
      </c>
      <c r="F589" s="16">
        <v>3</v>
      </c>
      <c r="G589" s="16">
        <f t="shared" si="33"/>
        <v>1</v>
      </c>
      <c r="H589" s="91">
        <v>24</v>
      </c>
    </row>
    <row r="590" spans="1:8" ht="16.5" customHeight="1" x14ac:dyDescent="0.3">
      <c r="A590" s="91">
        <f t="shared" si="34"/>
        <v>14946</v>
      </c>
      <c r="B590" s="9" t="s">
        <v>101</v>
      </c>
      <c r="C590" s="35"/>
      <c r="D590" s="91"/>
      <c r="E590" s="16" t="s">
        <v>114</v>
      </c>
      <c r="F590" s="16">
        <v>3</v>
      </c>
      <c r="G590" s="16">
        <f t="shared" si="33"/>
        <v>1</v>
      </c>
      <c r="H590" s="91">
        <v>24</v>
      </c>
    </row>
    <row r="591" spans="1:8" ht="16.5" customHeight="1" x14ac:dyDescent="0.3">
      <c r="A591" s="91">
        <f t="shared" si="34"/>
        <v>14970</v>
      </c>
      <c r="B591" s="9" t="s">
        <v>102</v>
      </c>
      <c r="C591" s="35"/>
      <c r="D591" s="91"/>
      <c r="E591" s="16" t="s">
        <v>114</v>
      </c>
      <c r="F591" s="16">
        <v>3</v>
      </c>
      <c r="G591" s="16">
        <f t="shared" si="33"/>
        <v>1</v>
      </c>
      <c r="H591" s="91">
        <v>24</v>
      </c>
    </row>
    <row r="592" spans="1:8" ht="16.5" customHeight="1" x14ac:dyDescent="0.3">
      <c r="A592" s="91">
        <f t="shared" si="34"/>
        <v>14994</v>
      </c>
      <c r="B592" s="9" t="s">
        <v>41</v>
      </c>
      <c r="C592" s="91"/>
      <c r="D592" s="91"/>
      <c r="E592" s="16" t="s">
        <v>123</v>
      </c>
      <c r="F592" s="16">
        <v>3</v>
      </c>
      <c r="G592" s="16">
        <f>IF(OR(E592="U16", E592="S16"),1,IF(E592="TS",6,2))</f>
        <v>1</v>
      </c>
      <c r="H592" s="91">
        <v>6</v>
      </c>
    </row>
    <row r="593" spans="1:8" ht="16.5" customHeight="1" x14ac:dyDescent="0.3">
      <c r="A593" s="122" t="s">
        <v>559</v>
      </c>
      <c r="B593" s="122"/>
      <c r="C593" s="122"/>
      <c r="D593" s="122"/>
      <c r="E593" s="122"/>
      <c r="F593" s="122"/>
      <c r="G593" s="122"/>
      <c r="H593" s="122"/>
    </row>
    <row r="594" spans="1:8" ht="16.5" customHeight="1" x14ac:dyDescent="0.3">
      <c r="A594" s="94">
        <f>A592+(G592*H592)</f>
        <v>15000</v>
      </c>
      <c r="B594" s="59" t="s">
        <v>90</v>
      </c>
      <c r="C594" s="94"/>
      <c r="D594" s="94"/>
      <c r="E594" s="94" t="s">
        <v>91</v>
      </c>
      <c r="F594" s="94">
        <v>3</v>
      </c>
      <c r="G594" s="94">
        <f t="shared" ref="G594:G601" si="35">IF(OR(E594="U16", E594="S16"),1,IF(E594="TS",6,2))</f>
        <v>2</v>
      </c>
      <c r="H594" s="94">
        <v>1</v>
      </c>
    </row>
    <row r="595" spans="1:8" ht="16.5" customHeight="1" x14ac:dyDescent="0.3">
      <c r="A595" s="94">
        <f t="shared" ref="A595:A651" si="36">A594+(G594*H594)</f>
        <v>15002</v>
      </c>
      <c r="B595" s="59" t="s">
        <v>919</v>
      </c>
      <c r="C595" s="94"/>
      <c r="D595" s="94"/>
      <c r="E595" s="94" t="s">
        <v>58</v>
      </c>
      <c r="F595" s="94">
        <v>3</v>
      </c>
      <c r="G595" s="94">
        <f>IF(OR(E595="U16", E595="S16"),1,IF(E595="TS",6,2))</f>
        <v>2</v>
      </c>
      <c r="H595" s="94">
        <v>1</v>
      </c>
    </row>
    <row r="596" spans="1:8" ht="16.5" customHeight="1" x14ac:dyDescent="0.3">
      <c r="A596" s="94">
        <f t="shared" si="36"/>
        <v>15004</v>
      </c>
      <c r="B596" s="59" t="s">
        <v>920</v>
      </c>
      <c r="C596" s="94"/>
      <c r="D596" s="94"/>
      <c r="E596" s="94" t="s">
        <v>58</v>
      </c>
      <c r="F596" s="94">
        <v>3</v>
      </c>
      <c r="G596" s="94">
        <f t="shared" si="35"/>
        <v>2</v>
      </c>
      <c r="H596" s="94">
        <v>1</v>
      </c>
    </row>
    <row r="597" spans="1:8" ht="16.5" customHeight="1" x14ac:dyDescent="0.3">
      <c r="A597" s="94">
        <f t="shared" si="36"/>
        <v>15006</v>
      </c>
      <c r="B597" s="59" t="s">
        <v>921</v>
      </c>
      <c r="C597" s="59"/>
      <c r="D597" s="59"/>
      <c r="E597" s="94" t="s">
        <v>58</v>
      </c>
      <c r="F597" s="94">
        <v>3</v>
      </c>
      <c r="G597" s="94">
        <f t="shared" si="35"/>
        <v>2</v>
      </c>
      <c r="H597" s="94">
        <v>1</v>
      </c>
    </row>
    <row r="598" spans="1:8" ht="16.5" customHeight="1" x14ac:dyDescent="0.3">
      <c r="A598" s="94">
        <f t="shared" si="36"/>
        <v>15008</v>
      </c>
      <c r="B598" s="59" t="s">
        <v>922</v>
      </c>
      <c r="C598" s="59"/>
      <c r="D598" s="59"/>
      <c r="E598" s="94" t="s">
        <v>58</v>
      </c>
      <c r="F598" s="94">
        <v>3</v>
      </c>
      <c r="G598" s="94">
        <f t="shared" si="35"/>
        <v>2</v>
      </c>
      <c r="H598" s="94">
        <v>1</v>
      </c>
    </row>
    <row r="599" spans="1:8" ht="16.5" customHeight="1" x14ac:dyDescent="0.3">
      <c r="A599" s="94">
        <f t="shared" si="36"/>
        <v>15010</v>
      </c>
      <c r="B599" s="59" t="s">
        <v>923</v>
      </c>
      <c r="C599" s="59"/>
      <c r="D599" s="59"/>
      <c r="E599" s="94" t="s">
        <v>58</v>
      </c>
      <c r="F599" s="94">
        <v>3</v>
      </c>
      <c r="G599" s="94">
        <f t="shared" si="35"/>
        <v>2</v>
      </c>
      <c r="H599" s="94">
        <v>4</v>
      </c>
    </row>
    <row r="600" spans="1:8" ht="16.5" customHeight="1" x14ac:dyDescent="0.3">
      <c r="A600" s="94">
        <f t="shared" si="36"/>
        <v>15018</v>
      </c>
      <c r="B600" s="59" t="s">
        <v>924</v>
      </c>
      <c r="C600" s="59"/>
      <c r="D600" s="59"/>
      <c r="E600" s="94" t="s">
        <v>58</v>
      </c>
      <c r="F600" s="94">
        <v>3</v>
      </c>
      <c r="G600" s="94">
        <f t="shared" si="35"/>
        <v>2</v>
      </c>
      <c r="H600" s="94">
        <v>4</v>
      </c>
    </row>
    <row r="601" spans="1:8" ht="16.5" customHeight="1" x14ac:dyDescent="0.3">
      <c r="A601" s="94">
        <f t="shared" si="36"/>
        <v>15026</v>
      </c>
      <c r="B601" s="59" t="s">
        <v>925</v>
      </c>
      <c r="C601" s="59"/>
      <c r="D601" s="59"/>
      <c r="E601" s="94" t="s">
        <v>58</v>
      </c>
      <c r="F601" s="94">
        <v>3</v>
      </c>
      <c r="G601" s="94">
        <f t="shared" si="35"/>
        <v>2</v>
      </c>
      <c r="H601" s="94">
        <v>4</v>
      </c>
    </row>
    <row r="602" spans="1:8" ht="16.5" customHeight="1" x14ac:dyDescent="0.3">
      <c r="A602" s="94">
        <f t="shared" si="36"/>
        <v>15034</v>
      </c>
      <c r="B602" s="59" t="s">
        <v>926</v>
      </c>
      <c r="C602" s="59"/>
      <c r="D602" s="59"/>
      <c r="E602" s="94" t="s">
        <v>58</v>
      </c>
      <c r="F602" s="94">
        <v>3</v>
      </c>
      <c r="G602" s="94">
        <f>IF(OR(E602="U16", E602="S16"),1,IF(E602="TS",6,2))</f>
        <v>2</v>
      </c>
      <c r="H602" s="94">
        <v>4</v>
      </c>
    </row>
    <row r="603" spans="1:8" ht="16.5" customHeight="1" x14ac:dyDescent="0.3">
      <c r="A603" s="94">
        <f t="shared" si="36"/>
        <v>15042</v>
      </c>
      <c r="B603" s="59" t="s">
        <v>927</v>
      </c>
      <c r="C603" s="59"/>
      <c r="D603" s="59"/>
      <c r="E603" s="94" t="s">
        <v>58</v>
      </c>
      <c r="F603" s="94">
        <v>3</v>
      </c>
      <c r="G603" s="94">
        <f>IF(OR(E603="U16", E603="S16"),1,IF(E603="TS",6,2))</f>
        <v>2</v>
      </c>
      <c r="H603" s="94">
        <v>4</v>
      </c>
    </row>
    <row r="604" spans="1:8" ht="16.5" customHeight="1" x14ac:dyDescent="0.3">
      <c r="A604" s="94">
        <f t="shared" si="36"/>
        <v>15050</v>
      </c>
      <c r="B604" s="59" t="s">
        <v>928</v>
      </c>
      <c r="C604" s="59"/>
      <c r="D604" s="59"/>
      <c r="E604" s="94" t="s">
        <v>58</v>
      </c>
      <c r="F604" s="94">
        <v>3</v>
      </c>
      <c r="G604" s="94">
        <f>IF(OR(E604="U16", E604="S16"),1,IF(E604="TS",6,2))</f>
        <v>2</v>
      </c>
      <c r="H604" s="94">
        <v>4</v>
      </c>
    </row>
    <row r="605" spans="1:8" ht="16.5" customHeight="1" x14ac:dyDescent="0.3">
      <c r="A605" s="94">
        <f t="shared" si="36"/>
        <v>15058</v>
      </c>
      <c r="B605" s="59" t="s">
        <v>929</v>
      </c>
      <c r="C605" s="59"/>
      <c r="D605" s="59"/>
      <c r="E605" s="94" t="s">
        <v>58</v>
      </c>
      <c r="F605" s="94">
        <v>3</v>
      </c>
      <c r="G605" s="94">
        <f t="shared" ref="G605:G655" si="37">IF(OR(E605="U16", E605="S16"),1,IF(E605="TS",6,2))</f>
        <v>2</v>
      </c>
      <c r="H605" s="94">
        <v>4</v>
      </c>
    </row>
    <row r="606" spans="1:8" ht="16.5" customHeight="1" x14ac:dyDescent="0.3">
      <c r="A606" s="94">
        <f t="shared" si="36"/>
        <v>15066</v>
      </c>
      <c r="B606" s="59" t="s">
        <v>930</v>
      </c>
      <c r="C606" s="59"/>
      <c r="D606" s="59"/>
      <c r="E606" s="94" t="s">
        <v>58</v>
      </c>
      <c r="F606" s="94">
        <v>3</v>
      </c>
      <c r="G606" s="94">
        <f t="shared" si="37"/>
        <v>2</v>
      </c>
      <c r="H606" s="94">
        <v>4</v>
      </c>
    </row>
    <row r="607" spans="1:8" ht="16.5" customHeight="1" x14ac:dyDescent="0.3">
      <c r="A607" s="94">
        <f t="shared" si="36"/>
        <v>15074</v>
      </c>
      <c r="B607" s="59" t="s">
        <v>931</v>
      </c>
      <c r="C607" s="59"/>
      <c r="D607" s="59"/>
      <c r="E607" s="94" t="s">
        <v>58</v>
      </c>
      <c r="F607" s="94">
        <v>3</v>
      </c>
      <c r="G607" s="94">
        <f t="shared" si="37"/>
        <v>2</v>
      </c>
      <c r="H607" s="94">
        <v>4</v>
      </c>
    </row>
    <row r="608" spans="1:8" ht="16.5" customHeight="1" x14ac:dyDescent="0.3">
      <c r="A608" s="94">
        <f t="shared" si="36"/>
        <v>15082</v>
      </c>
      <c r="B608" s="59" t="s">
        <v>932</v>
      </c>
      <c r="C608" s="59"/>
      <c r="D608" s="59"/>
      <c r="E608" s="94" t="s">
        <v>58</v>
      </c>
      <c r="F608" s="94">
        <v>3</v>
      </c>
      <c r="G608" s="94">
        <f t="shared" si="37"/>
        <v>2</v>
      </c>
      <c r="H608" s="94">
        <v>4</v>
      </c>
    </row>
    <row r="609" spans="1:8" ht="16.5" customHeight="1" x14ac:dyDescent="0.3">
      <c r="A609" s="94">
        <f t="shared" si="36"/>
        <v>15090</v>
      </c>
      <c r="B609" s="59" t="s">
        <v>933</v>
      </c>
      <c r="C609" s="59"/>
      <c r="D609" s="59"/>
      <c r="E609" s="94" t="s">
        <v>58</v>
      </c>
      <c r="F609" s="94">
        <v>3</v>
      </c>
      <c r="G609" s="94">
        <f t="shared" si="37"/>
        <v>2</v>
      </c>
      <c r="H609" s="94">
        <v>4</v>
      </c>
    </row>
    <row r="610" spans="1:8" ht="16.5" customHeight="1" x14ac:dyDescent="0.3">
      <c r="A610" s="94">
        <f t="shared" si="36"/>
        <v>15098</v>
      </c>
      <c r="B610" s="59" t="s">
        <v>934</v>
      </c>
      <c r="C610" s="59"/>
      <c r="D610" s="59"/>
      <c r="E610" s="94" t="s">
        <v>58</v>
      </c>
      <c r="F610" s="94">
        <v>3</v>
      </c>
      <c r="G610" s="94">
        <f t="shared" si="37"/>
        <v>2</v>
      </c>
      <c r="H610" s="94">
        <v>4</v>
      </c>
    </row>
    <row r="611" spans="1:8" ht="16.5" customHeight="1" x14ac:dyDescent="0.3">
      <c r="A611" s="94">
        <f t="shared" si="36"/>
        <v>15106</v>
      </c>
      <c r="B611" s="59" t="s">
        <v>935</v>
      </c>
      <c r="C611" s="59"/>
      <c r="D611" s="59"/>
      <c r="E611" s="94" t="s">
        <v>58</v>
      </c>
      <c r="F611" s="94">
        <v>3</v>
      </c>
      <c r="G611" s="94">
        <f t="shared" si="37"/>
        <v>2</v>
      </c>
      <c r="H611" s="94">
        <v>4</v>
      </c>
    </row>
    <row r="612" spans="1:8" ht="16.5" customHeight="1" x14ac:dyDescent="0.3">
      <c r="A612" s="94">
        <f t="shared" si="36"/>
        <v>15114</v>
      </c>
      <c r="B612" s="59" t="s">
        <v>936</v>
      </c>
      <c r="C612" s="59"/>
      <c r="D612" s="59"/>
      <c r="E612" s="94" t="s">
        <v>58</v>
      </c>
      <c r="F612" s="94">
        <v>3</v>
      </c>
      <c r="G612" s="94">
        <f t="shared" si="37"/>
        <v>2</v>
      </c>
      <c r="H612" s="94">
        <v>4</v>
      </c>
    </row>
    <row r="613" spans="1:8" ht="16.5" customHeight="1" x14ac:dyDescent="0.3">
      <c r="A613" s="94">
        <f t="shared" si="36"/>
        <v>15122</v>
      </c>
      <c r="B613" s="59" t="s">
        <v>937</v>
      </c>
      <c r="C613" s="59"/>
      <c r="D613" s="59"/>
      <c r="E613" s="94" t="s">
        <v>58</v>
      </c>
      <c r="F613" s="94">
        <v>3</v>
      </c>
      <c r="G613" s="94">
        <f t="shared" si="37"/>
        <v>2</v>
      </c>
      <c r="H613" s="94">
        <v>4</v>
      </c>
    </row>
    <row r="614" spans="1:8" ht="16.5" customHeight="1" x14ac:dyDescent="0.3">
      <c r="A614" s="94">
        <f t="shared" si="36"/>
        <v>15130</v>
      </c>
      <c r="B614" s="59" t="s">
        <v>938</v>
      </c>
      <c r="C614" s="59"/>
      <c r="D614" s="59"/>
      <c r="E614" s="94" t="s">
        <v>58</v>
      </c>
      <c r="F614" s="94">
        <v>3</v>
      </c>
      <c r="G614" s="94">
        <f t="shared" si="37"/>
        <v>2</v>
      </c>
      <c r="H614" s="94">
        <v>4</v>
      </c>
    </row>
    <row r="615" spans="1:8" ht="16.5" customHeight="1" x14ac:dyDescent="0.3">
      <c r="A615" s="94">
        <f t="shared" si="36"/>
        <v>15138</v>
      </c>
      <c r="B615" s="59" t="s">
        <v>939</v>
      </c>
      <c r="C615" s="59"/>
      <c r="D615" s="59"/>
      <c r="E615" s="94" t="s">
        <v>58</v>
      </c>
      <c r="F615" s="94">
        <v>3</v>
      </c>
      <c r="G615" s="94">
        <f t="shared" si="37"/>
        <v>2</v>
      </c>
      <c r="H615" s="94">
        <v>4</v>
      </c>
    </row>
    <row r="616" spans="1:8" ht="16.5" customHeight="1" x14ac:dyDescent="0.3">
      <c r="A616" s="94">
        <f t="shared" si="36"/>
        <v>15146</v>
      </c>
      <c r="B616" s="59" t="s">
        <v>940</v>
      </c>
      <c r="C616" s="94"/>
      <c r="D616" s="94"/>
      <c r="E616" s="94" t="s">
        <v>58</v>
      </c>
      <c r="F616" s="94">
        <v>3</v>
      </c>
      <c r="G616" s="94">
        <f t="shared" si="37"/>
        <v>2</v>
      </c>
      <c r="H616" s="94">
        <v>4</v>
      </c>
    </row>
    <row r="617" spans="1:8" ht="16.5" customHeight="1" x14ac:dyDescent="0.3">
      <c r="A617" s="94">
        <f t="shared" si="36"/>
        <v>15154</v>
      </c>
      <c r="B617" s="59" t="s">
        <v>941</v>
      </c>
      <c r="C617" s="94"/>
      <c r="D617" s="94"/>
      <c r="E617" s="94" t="s">
        <v>58</v>
      </c>
      <c r="F617" s="94">
        <v>3</v>
      </c>
      <c r="G617" s="94">
        <f t="shared" si="37"/>
        <v>2</v>
      </c>
      <c r="H617" s="94">
        <v>4</v>
      </c>
    </row>
    <row r="618" spans="1:8" ht="16.5" customHeight="1" x14ac:dyDescent="0.3">
      <c r="A618" s="94">
        <f t="shared" si="36"/>
        <v>15162</v>
      </c>
      <c r="B618" s="59" t="s">
        <v>942</v>
      </c>
      <c r="C618" s="94"/>
      <c r="D618" s="94"/>
      <c r="E618" s="94" t="s">
        <v>58</v>
      </c>
      <c r="F618" s="94">
        <v>3</v>
      </c>
      <c r="G618" s="94">
        <f t="shared" si="37"/>
        <v>2</v>
      </c>
      <c r="H618" s="94">
        <v>4</v>
      </c>
    </row>
    <row r="619" spans="1:8" ht="16.5" customHeight="1" x14ac:dyDescent="0.3">
      <c r="A619" s="94">
        <f t="shared" si="36"/>
        <v>15170</v>
      </c>
      <c r="B619" s="59" t="s">
        <v>943</v>
      </c>
      <c r="C619" s="94"/>
      <c r="D619" s="94"/>
      <c r="E619" s="94" t="s">
        <v>58</v>
      </c>
      <c r="F619" s="94">
        <v>3</v>
      </c>
      <c r="G619" s="94">
        <f t="shared" si="37"/>
        <v>2</v>
      </c>
      <c r="H619" s="94">
        <v>4</v>
      </c>
    </row>
    <row r="620" spans="1:8" ht="16.5" customHeight="1" x14ac:dyDescent="0.3">
      <c r="A620" s="94">
        <f t="shared" si="36"/>
        <v>15178</v>
      </c>
      <c r="B620" s="59" t="s">
        <v>944</v>
      </c>
      <c r="C620" s="94"/>
      <c r="D620" s="94"/>
      <c r="E620" s="94" t="s">
        <v>58</v>
      </c>
      <c r="F620" s="94">
        <v>3</v>
      </c>
      <c r="G620" s="94">
        <f t="shared" si="37"/>
        <v>2</v>
      </c>
      <c r="H620" s="94">
        <v>4</v>
      </c>
    </row>
    <row r="621" spans="1:8" ht="16.5" customHeight="1" x14ac:dyDescent="0.3">
      <c r="A621" s="94">
        <f t="shared" si="36"/>
        <v>15186</v>
      </c>
      <c r="B621" s="59" t="s">
        <v>945</v>
      </c>
      <c r="C621" s="94"/>
      <c r="D621" s="94"/>
      <c r="E621" s="94" t="s">
        <v>58</v>
      </c>
      <c r="F621" s="94">
        <v>3</v>
      </c>
      <c r="G621" s="94">
        <f t="shared" si="37"/>
        <v>2</v>
      </c>
      <c r="H621" s="94">
        <v>4</v>
      </c>
    </row>
    <row r="622" spans="1:8" ht="16.5" customHeight="1" x14ac:dyDescent="0.3">
      <c r="A622" s="94">
        <f t="shared" si="36"/>
        <v>15194</v>
      </c>
      <c r="B622" s="59"/>
      <c r="C622" s="94"/>
      <c r="D622" s="94"/>
      <c r="E622" s="94" t="s">
        <v>123</v>
      </c>
      <c r="F622" s="94">
        <v>3</v>
      </c>
      <c r="G622" s="94">
        <f t="shared" si="37"/>
        <v>1</v>
      </c>
      <c r="H622" s="94">
        <v>6</v>
      </c>
    </row>
    <row r="623" spans="1:8" ht="16.5" customHeight="1" x14ac:dyDescent="0.3">
      <c r="A623" s="94">
        <f t="shared" si="36"/>
        <v>15200</v>
      </c>
      <c r="B623" s="59" t="s">
        <v>90</v>
      </c>
      <c r="C623" s="94"/>
      <c r="D623" s="94"/>
      <c r="E623" s="94" t="s">
        <v>91</v>
      </c>
      <c r="F623" s="94">
        <v>3</v>
      </c>
      <c r="G623" s="94">
        <f>IF(OR(E623="U16", E623="S16"),1,IF(E623="TS",6,2))</f>
        <v>2</v>
      </c>
      <c r="H623" s="94">
        <v>1</v>
      </c>
    </row>
    <row r="624" spans="1:8" ht="16.5" customHeight="1" x14ac:dyDescent="0.3">
      <c r="A624" s="94">
        <f t="shared" si="36"/>
        <v>15202</v>
      </c>
      <c r="B624" s="59" t="s">
        <v>919</v>
      </c>
      <c r="C624" s="94"/>
      <c r="D624" s="94"/>
      <c r="E624" s="94" t="s">
        <v>58</v>
      </c>
      <c r="F624" s="94">
        <v>3</v>
      </c>
      <c r="G624" s="94">
        <f t="shared" si="37"/>
        <v>2</v>
      </c>
      <c r="H624" s="94">
        <v>1</v>
      </c>
    </row>
    <row r="625" spans="1:8" ht="16.5" customHeight="1" x14ac:dyDescent="0.3">
      <c r="A625" s="94">
        <f t="shared" si="36"/>
        <v>15204</v>
      </c>
      <c r="B625" s="59" t="s">
        <v>920</v>
      </c>
      <c r="C625" s="94"/>
      <c r="D625" s="94"/>
      <c r="E625" s="94" t="s">
        <v>58</v>
      </c>
      <c r="F625" s="94">
        <v>3</v>
      </c>
      <c r="G625" s="94">
        <f t="shared" si="37"/>
        <v>2</v>
      </c>
      <c r="H625" s="94">
        <v>1</v>
      </c>
    </row>
    <row r="626" spans="1:8" ht="16.5" customHeight="1" x14ac:dyDescent="0.3">
      <c r="A626" s="94">
        <f t="shared" si="36"/>
        <v>15206</v>
      </c>
      <c r="B626" s="59" t="s">
        <v>921</v>
      </c>
      <c r="C626" s="59"/>
      <c r="D626" s="59"/>
      <c r="E626" s="94" t="s">
        <v>58</v>
      </c>
      <c r="F626" s="94">
        <v>3</v>
      </c>
      <c r="G626" s="94">
        <f t="shared" si="37"/>
        <v>2</v>
      </c>
      <c r="H626" s="94">
        <v>1</v>
      </c>
    </row>
    <row r="627" spans="1:8" ht="16.5" customHeight="1" x14ac:dyDescent="0.3">
      <c r="A627" s="94">
        <f t="shared" si="36"/>
        <v>15208</v>
      </c>
      <c r="B627" s="59" t="s">
        <v>922</v>
      </c>
      <c r="C627" s="59"/>
      <c r="D627" s="59"/>
      <c r="E627" s="94" t="s">
        <v>58</v>
      </c>
      <c r="F627" s="94">
        <v>3</v>
      </c>
      <c r="G627" s="94">
        <f t="shared" si="37"/>
        <v>2</v>
      </c>
      <c r="H627" s="94">
        <v>1</v>
      </c>
    </row>
    <row r="628" spans="1:8" ht="16.5" customHeight="1" x14ac:dyDescent="0.3">
      <c r="A628" s="94">
        <f t="shared" si="36"/>
        <v>15210</v>
      </c>
      <c r="B628" s="59" t="s">
        <v>946</v>
      </c>
      <c r="C628" s="59"/>
      <c r="D628" s="59"/>
      <c r="E628" s="94" t="s">
        <v>58</v>
      </c>
      <c r="F628" s="94">
        <v>3</v>
      </c>
      <c r="G628" s="94">
        <f t="shared" si="37"/>
        <v>2</v>
      </c>
      <c r="H628" s="94">
        <v>4</v>
      </c>
    </row>
    <row r="629" spans="1:8" ht="16.5" customHeight="1" x14ac:dyDescent="0.3">
      <c r="A629" s="94">
        <f t="shared" si="36"/>
        <v>15218</v>
      </c>
      <c r="B629" s="59" t="s">
        <v>947</v>
      </c>
      <c r="C629" s="59"/>
      <c r="D629" s="59"/>
      <c r="E629" s="94" t="s">
        <v>58</v>
      </c>
      <c r="F629" s="94">
        <v>3</v>
      </c>
      <c r="G629" s="94">
        <f t="shared" si="37"/>
        <v>2</v>
      </c>
      <c r="H629" s="94">
        <v>4</v>
      </c>
    </row>
    <row r="630" spans="1:8" ht="16.5" customHeight="1" x14ac:dyDescent="0.3">
      <c r="A630" s="94">
        <f t="shared" si="36"/>
        <v>15226</v>
      </c>
      <c r="B630" s="59" t="s">
        <v>948</v>
      </c>
      <c r="C630" s="59"/>
      <c r="D630" s="59"/>
      <c r="E630" s="94" t="s">
        <v>58</v>
      </c>
      <c r="F630" s="94">
        <v>3</v>
      </c>
      <c r="G630" s="94">
        <f t="shared" si="37"/>
        <v>2</v>
      </c>
      <c r="H630" s="94">
        <v>4</v>
      </c>
    </row>
    <row r="631" spans="1:8" ht="16.5" customHeight="1" x14ac:dyDescent="0.3">
      <c r="A631" s="94">
        <f t="shared" si="36"/>
        <v>15234</v>
      </c>
      <c r="B631" s="59" t="s">
        <v>949</v>
      </c>
      <c r="C631" s="59"/>
      <c r="D631" s="59"/>
      <c r="E631" s="94" t="s">
        <v>58</v>
      </c>
      <c r="F631" s="94">
        <v>3</v>
      </c>
      <c r="G631" s="94">
        <f t="shared" si="37"/>
        <v>2</v>
      </c>
      <c r="H631" s="94">
        <v>4</v>
      </c>
    </row>
    <row r="632" spans="1:8" ht="16.5" customHeight="1" x14ac:dyDescent="0.3">
      <c r="A632" s="94">
        <f t="shared" si="36"/>
        <v>15242</v>
      </c>
      <c r="B632" s="59" t="s">
        <v>950</v>
      </c>
      <c r="C632" s="59"/>
      <c r="D632" s="59"/>
      <c r="E632" s="94" t="s">
        <v>58</v>
      </c>
      <c r="F632" s="94">
        <v>3</v>
      </c>
      <c r="G632" s="94">
        <f t="shared" si="37"/>
        <v>2</v>
      </c>
      <c r="H632" s="94">
        <v>4</v>
      </c>
    </row>
    <row r="633" spans="1:8" ht="16.5" customHeight="1" x14ac:dyDescent="0.3">
      <c r="A633" s="94">
        <f t="shared" si="36"/>
        <v>15250</v>
      </c>
      <c r="B633" s="59" t="s">
        <v>951</v>
      </c>
      <c r="C633" s="59"/>
      <c r="D633" s="59"/>
      <c r="E633" s="94" t="s">
        <v>58</v>
      </c>
      <c r="F633" s="94">
        <v>3</v>
      </c>
      <c r="G633" s="94">
        <f t="shared" si="37"/>
        <v>2</v>
      </c>
      <c r="H633" s="94">
        <v>4</v>
      </c>
    </row>
    <row r="634" spans="1:8" ht="16.5" customHeight="1" x14ac:dyDescent="0.3">
      <c r="A634" s="94">
        <f t="shared" si="36"/>
        <v>15258</v>
      </c>
      <c r="B634" s="59" t="s">
        <v>952</v>
      </c>
      <c r="C634" s="59"/>
      <c r="D634" s="59"/>
      <c r="E634" s="94" t="s">
        <v>58</v>
      </c>
      <c r="F634" s="94">
        <v>3</v>
      </c>
      <c r="G634" s="94">
        <f t="shared" si="37"/>
        <v>2</v>
      </c>
      <c r="H634" s="94">
        <v>4</v>
      </c>
    </row>
    <row r="635" spans="1:8" ht="16.5" customHeight="1" x14ac:dyDescent="0.3">
      <c r="A635" s="94">
        <f t="shared" si="36"/>
        <v>15266</v>
      </c>
      <c r="B635" s="59" t="s">
        <v>953</v>
      </c>
      <c r="C635" s="59"/>
      <c r="D635" s="59"/>
      <c r="E635" s="94" t="s">
        <v>58</v>
      </c>
      <c r="F635" s="94">
        <v>3</v>
      </c>
      <c r="G635" s="94">
        <f t="shared" si="37"/>
        <v>2</v>
      </c>
      <c r="H635" s="94">
        <v>4</v>
      </c>
    </row>
    <row r="636" spans="1:8" ht="16.5" customHeight="1" x14ac:dyDescent="0.3">
      <c r="A636" s="94">
        <f t="shared" si="36"/>
        <v>15274</v>
      </c>
      <c r="B636" s="59" t="s">
        <v>954</v>
      </c>
      <c r="C636" s="59"/>
      <c r="D636" s="59"/>
      <c r="E636" s="94" t="s">
        <v>58</v>
      </c>
      <c r="F636" s="94">
        <v>3</v>
      </c>
      <c r="G636" s="94">
        <f t="shared" si="37"/>
        <v>2</v>
      </c>
      <c r="H636" s="94">
        <v>4</v>
      </c>
    </row>
    <row r="637" spans="1:8" ht="16.5" customHeight="1" x14ac:dyDescent="0.3">
      <c r="A637" s="94">
        <f t="shared" si="36"/>
        <v>15282</v>
      </c>
      <c r="B637" s="59" t="s">
        <v>955</v>
      </c>
      <c r="C637" s="59"/>
      <c r="D637" s="59"/>
      <c r="E637" s="94" t="s">
        <v>58</v>
      </c>
      <c r="F637" s="94">
        <v>3</v>
      </c>
      <c r="G637" s="94">
        <f t="shared" si="37"/>
        <v>2</v>
      </c>
      <c r="H637" s="94">
        <v>4</v>
      </c>
    </row>
    <row r="638" spans="1:8" ht="16.5" customHeight="1" x14ac:dyDescent="0.3">
      <c r="A638" s="94">
        <f t="shared" si="36"/>
        <v>15290</v>
      </c>
      <c r="B638" s="59" t="s">
        <v>956</v>
      </c>
      <c r="C638" s="59"/>
      <c r="D638" s="59"/>
      <c r="E638" s="94" t="s">
        <v>58</v>
      </c>
      <c r="F638" s="94">
        <v>3</v>
      </c>
      <c r="G638" s="94">
        <f t="shared" si="37"/>
        <v>2</v>
      </c>
      <c r="H638" s="94">
        <v>4</v>
      </c>
    </row>
    <row r="639" spans="1:8" ht="16.5" customHeight="1" x14ac:dyDescent="0.3">
      <c r="A639" s="94">
        <f t="shared" si="36"/>
        <v>15298</v>
      </c>
      <c r="B639" s="59" t="s">
        <v>957</v>
      </c>
      <c r="C639" s="59"/>
      <c r="D639" s="59"/>
      <c r="E639" s="94" t="s">
        <v>58</v>
      </c>
      <c r="F639" s="94">
        <v>3</v>
      </c>
      <c r="G639" s="94">
        <f t="shared" si="37"/>
        <v>2</v>
      </c>
      <c r="H639" s="94">
        <v>4</v>
      </c>
    </row>
    <row r="640" spans="1:8" ht="16.5" customHeight="1" x14ac:dyDescent="0.3">
      <c r="A640" s="94">
        <f t="shared" si="36"/>
        <v>15306</v>
      </c>
      <c r="B640" s="59" t="s">
        <v>958</v>
      </c>
      <c r="C640" s="59"/>
      <c r="D640" s="59"/>
      <c r="E640" s="94" t="s">
        <v>58</v>
      </c>
      <c r="F640" s="94">
        <v>3</v>
      </c>
      <c r="G640" s="94">
        <f t="shared" si="37"/>
        <v>2</v>
      </c>
      <c r="H640" s="94">
        <v>4</v>
      </c>
    </row>
    <row r="641" spans="1:8" customFormat="1" ht="16.5" x14ac:dyDescent="0.3">
      <c r="A641" s="94">
        <f t="shared" si="36"/>
        <v>15314</v>
      </c>
      <c r="B641" s="59" t="s">
        <v>959</v>
      </c>
      <c r="C641" s="59"/>
      <c r="D641" s="59"/>
      <c r="E641" s="94" t="s">
        <v>58</v>
      </c>
      <c r="F641" s="94">
        <v>3</v>
      </c>
      <c r="G641" s="94">
        <f t="shared" si="37"/>
        <v>2</v>
      </c>
      <c r="H641" s="94">
        <v>4</v>
      </c>
    </row>
    <row r="642" spans="1:8" ht="15.95" customHeight="1" x14ac:dyDescent="0.3">
      <c r="A642" s="94">
        <f t="shared" si="36"/>
        <v>15322</v>
      </c>
      <c r="B642" s="59" t="s">
        <v>960</v>
      </c>
      <c r="C642" s="59"/>
      <c r="D642" s="59"/>
      <c r="E642" s="94" t="s">
        <v>58</v>
      </c>
      <c r="F642" s="94">
        <v>3</v>
      </c>
      <c r="G642" s="94">
        <f t="shared" si="37"/>
        <v>2</v>
      </c>
      <c r="H642" s="94">
        <v>4</v>
      </c>
    </row>
    <row r="643" spans="1:8" ht="15.95" customHeight="1" x14ac:dyDescent="0.3">
      <c r="A643" s="94">
        <f t="shared" si="36"/>
        <v>15330</v>
      </c>
      <c r="B643" s="59" t="s">
        <v>961</v>
      </c>
      <c r="C643" s="59"/>
      <c r="D643" s="59"/>
      <c r="E643" s="94" t="s">
        <v>58</v>
      </c>
      <c r="F643" s="94">
        <v>3</v>
      </c>
      <c r="G643" s="94">
        <f t="shared" si="37"/>
        <v>2</v>
      </c>
      <c r="H643" s="94">
        <v>4</v>
      </c>
    </row>
    <row r="644" spans="1:8" ht="15.95" customHeight="1" x14ac:dyDescent="0.3">
      <c r="A644" s="94">
        <f t="shared" si="36"/>
        <v>15338</v>
      </c>
      <c r="B644" s="59" t="s">
        <v>962</v>
      </c>
      <c r="C644" s="59"/>
      <c r="D644" s="59"/>
      <c r="E644" s="94" t="s">
        <v>58</v>
      </c>
      <c r="F644" s="94">
        <v>3</v>
      </c>
      <c r="G644" s="94">
        <f t="shared" si="37"/>
        <v>2</v>
      </c>
      <c r="H644" s="94">
        <v>4</v>
      </c>
    </row>
    <row r="645" spans="1:8" customFormat="1" ht="16.5" x14ac:dyDescent="0.3">
      <c r="A645" s="94">
        <f t="shared" si="36"/>
        <v>15346</v>
      </c>
      <c r="B645" s="59" t="s">
        <v>963</v>
      </c>
      <c r="C645" s="94"/>
      <c r="D645" s="94"/>
      <c r="E645" s="94" t="s">
        <v>58</v>
      </c>
      <c r="F645" s="94">
        <v>3</v>
      </c>
      <c r="G645" s="94">
        <f t="shared" si="37"/>
        <v>2</v>
      </c>
      <c r="H645" s="94">
        <v>4</v>
      </c>
    </row>
    <row r="646" spans="1:8" customFormat="1" ht="16.5" customHeight="1" x14ac:dyDescent="0.3">
      <c r="A646" s="94">
        <f t="shared" si="36"/>
        <v>15354</v>
      </c>
      <c r="B646" s="59" t="s">
        <v>964</v>
      </c>
      <c r="C646" s="94"/>
      <c r="D646" s="94"/>
      <c r="E646" s="94" t="s">
        <v>58</v>
      </c>
      <c r="F646" s="94">
        <v>3</v>
      </c>
      <c r="G646" s="94">
        <f t="shared" si="37"/>
        <v>2</v>
      </c>
      <c r="H646" s="94">
        <v>4</v>
      </c>
    </row>
    <row r="647" spans="1:8" customFormat="1" ht="16.5" x14ac:dyDescent="0.3">
      <c r="A647" s="94">
        <f t="shared" si="36"/>
        <v>15362</v>
      </c>
      <c r="B647" s="59" t="s">
        <v>965</v>
      </c>
      <c r="C647" s="94"/>
      <c r="D647" s="94"/>
      <c r="E647" s="94" t="s">
        <v>58</v>
      </c>
      <c r="F647" s="94">
        <v>3</v>
      </c>
      <c r="G647" s="94">
        <f t="shared" si="37"/>
        <v>2</v>
      </c>
      <c r="H647" s="94">
        <v>4</v>
      </c>
    </row>
    <row r="648" spans="1:8" customFormat="1" ht="16.5" x14ac:dyDescent="0.3">
      <c r="A648" s="94">
        <f t="shared" si="36"/>
        <v>15370</v>
      </c>
      <c r="B648" s="59" t="s">
        <v>966</v>
      </c>
      <c r="C648" s="94"/>
      <c r="D648" s="94"/>
      <c r="E648" s="94" t="s">
        <v>58</v>
      </c>
      <c r="F648" s="94">
        <v>3</v>
      </c>
      <c r="G648" s="94">
        <f t="shared" si="37"/>
        <v>2</v>
      </c>
      <c r="H648" s="94">
        <v>4</v>
      </c>
    </row>
    <row r="649" spans="1:8" customFormat="1" ht="16.5" x14ac:dyDescent="0.3">
      <c r="A649" s="94">
        <f t="shared" si="36"/>
        <v>15378</v>
      </c>
      <c r="B649" s="59" t="s">
        <v>967</v>
      </c>
      <c r="C649" s="94"/>
      <c r="D649" s="94"/>
      <c r="E649" s="94" t="s">
        <v>58</v>
      </c>
      <c r="F649" s="94">
        <v>3</v>
      </c>
      <c r="G649" s="94">
        <f t="shared" si="37"/>
        <v>2</v>
      </c>
      <c r="H649" s="94">
        <v>4</v>
      </c>
    </row>
    <row r="650" spans="1:8" customFormat="1" ht="16.5" x14ac:dyDescent="0.3">
      <c r="A650" s="94">
        <f t="shared" si="36"/>
        <v>15386</v>
      </c>
      <c r="B650" s="59" t="s">
        <v>968</v>
      </c>
      <c r="C650" s="94"/>
      <c r="D650" s="94"/>
      <c r="E650" s="94" t="s">
        <v>58</v>
      </c>
      <c r="F650" s="94">
        <v>3</v>
      </c>
      <c r="G650" s="94">
        <f t="shared" si="37"/>
        <v>2</v>
      </c>
      <c r="H650" s="94">
        <v>4</v>
      </c>
    </row>
    <row r="651" spans="1:8" customFormat="1" ht="16.5" x14ac:dyDescent="0.3">
      <c r="A651" s="94">
        <f t="shared" si="36"/>
        <v>15394</v>
      </c>
      <c r="B651" s="59"/>
      <c r="C651" s="94"/>
      <c r="D651" s="94"/>
      <c r="E651" s="94" t="s">
        <v>123</v>
      </c>
      <c r="F651" s="94">
        <v>3</v>
      </c>
      <c r="G651" s="94">
        <f t="shared" si="37"/>
        <v>1</v>
      </c>
      <c r="H651" s="94">
        <v>6</v>
      </c>
    </row>
    <row r="652" spans="1:8" customFormat="1" ht="16.5" x14ac:dyDescent="0.3">
      <c r="A652" s="122" t="s">
        <v>562</v>
      </c>
      <c r="B652" s="122"/>
      <c r="C652" s="122"/>
      <c r="D652" s="122"/>
      <c r="E652" s="122"/>
      <c r="F652" s="122"/>
      <c r="G652" s="122"/>
      <c r="H652" s="122"/>
    </row>
    <row r="653" spans="1:8" customFormat="1" ht="16.5" x14ac:dyDescent="0.3">
      <c r="A653" s="91">
        <f>A651+(G651*H651)</f>
        <v>15400</v>
      </c>
      <c r="B653" s="9" t="s">
        <v>90</v>
      </c>
      <c r="C653" s="91"/>
      <c r="D653" s="91"/>
      <c r="E653" s="16" t="s">
        <v>145</v>
      </c>
      <c r="F653" s="16">
        <v>3</v>
      </c>
      <c r="G653" s="16">
        <f t="shared" si="37"/>
        <v>2</v>
      </c>
      <c r="H653" s="91">
        <v>1</v>
      </c>
    </row>
    <row r="654" spans="1:8" customFormat="1" ht="16.5" x14ac:dyDescent="0.3">
      <c r="A654" s="91">
        <f>A653+(G653*H653)</f>
        <v>15402</v>
      </c>
      <c r="B654" s="9" t="s">
        <v>265</v>
      </c>
      <c r="C654" s="91"/>
      <c r="D654" s="91"/>
      <c r="E654" s="16" t="s">
        <v>58</v>
      </c>
      <c r="F654" s="16">
        <v>3</v>
      </c>
      <c r="G654" s="16">
        <f>IF(OR(E654="U16", E654="S16"),1,IF(E654="TS",6,2))</f>
        <v>2</v>
      </c>
      <c r="H654" s="91">
        <v>96</v>
      </c>
    </row>
    <row r="655" spans="1:8" customFormat="1" ht="16.5" x14ac:dyDescent="0.3">
      <c r="A655" s="91">
        <f>A654+(G654*H654)</f>
        <v>15594</v>
      </c>
      <c r="B655" s="9" t="s">
        <v>41</v>
      </c>
      <c r="C655" s="91"/>
      <c r="D655" s="91"/>
      <c r="E655" s="16" t="s">
        <v>123</v>
      </c>
      <c r="F655" s="16">
        <v>3</v>
      </c>
      <c r="G655" s="16">
        <f t="shared" si="37"/>
        <v>1</v>
      </c>
      <c r="H655" s="91">
        <v>6</v>
      </c>
    </row>
    <row r="656" spans="1:8" customFormat="1" ht="16.5" x14ac:dyDescent="0.3">
      <c r="A656" s="122" t="s">
        <v>569</v>
      </c>
      <c r="B656" s="122"/>
      <c r="C656" s="122"/>
      <c r="D656" s="122"/>
      <c r="E656" s="122"/>
      <c r="F656" s="122"/>
      <c r="G656" s="122"/>
      <c r="H656" s="122"/>
    </row>
    <row r="657" spans="1:8" customFormat="1" ht="16.5" x14ac:dyDescent="0.3">
      <c r="A657" s="91">
        <f>A655+(G655*H655)</f>
        <v>15600</v>
      </c>
      <c r="B657" s="9" t="s">
        <v>400</v>
      </c>
      <c r="C657" s="91"/>
      <c r="D657" s="91"/>
      <c r="E657" s="16" t="s">
        <v>114</v>
      </c>
      <c r="F657" s="16">
        <v>3</v>
      </c>
      <c r="G657" s="16">
        <f t="shared" ref="G657:G678" si="38">IF(OR(E657="U16", E657="S16"),1,IF(E657="TS",6,2))</f>
        <v>1</v>
      </c>
      <c r="H657" s="91">
        <v>1</v>
      </c>
    </row>
    <row r="658" spans="1:8" customFormat="1" ht="15.95" customHeight="1" x14ac:dyDescent="0.3">
      <c r="A658" s="91">
        <f t="shared" ref="A658:A705" si="39">A657+(G657*H657)</f>
        <v>15601</v>
      </c>
      <c r="B658" s="9" t="s">
        <v>401</v>
      </c>
      <c r="C658" s="91"/>
      <c r="D658" s="91"/>
      <c r="E658" s="16" t="s">
        <v>114</v>
      </c>
      <c r="F658" s="16">
        <v>3</v>
      </c>
      <c r="G658" s="16">
        <f t="shared" si="38"/>
        <v>1</v>
      </c>
      <c r="H658" s="91">
        <v>1</v>
      </c>
    </row>
    <row r="659" spans="1:8" customFormat="1" ht="16.5" x14ac:dyDescent="0.3">
      <c r="A659" s="91">
        <f t="shared" si="39"/>
        <v>15602</v>
      </c>
      <c r="B659" s="9" t="s">
        <v>117</v>
      </c>
      <c r="C659" s="91"/>
      <c r="D659" s="91"/>
      <c r="E659" s="16" t="s">
        <v>91</v>
      </c>
      <c r="F659" s="16">
        <v>3</v>
      </c>
      <c r="G659" s="16">
        <f t="shared" si="38"/>
        <v>2</v>
      </c>
      <c r="H659" s="91">
        <v>1</v>
      </c>
    </row>
    <row r="660" spans="1:8" customFormat="1" ht="16.5" x14ac:dyDescent="0.3">
      <c r="A660" s="91">
        <f t="shared" si="39"/>
        <v>15604</v>
      </c>
      <c r="B660" s="9" t="s">
        <v>30</v>
      </c>
      <c r="C660" s="91"/>
      <c r="D660" s="91"/>
      <c r="E660" s="16" t="s">
        <v>58</v>
      </c>
      <c r="F660" s="16">
        <v>3</v>
      </c>
      <c r="G660" s="16">
        <f t="shared" si="38"/>
        <v>2</v>
      </c>
      <c r="H660" s="91">
        <v>4</v>
      </c>
    </row>
    <row r="661" spans="1:8" customFormat="1" ht="16.5" x14ac:dyDescent="0.3">
      <c r="A661" s="91">
        <f t="shared" si="39"/>
        <v>15612</v>
      </c>
      <c r="B661" s="9" t="s">
        <v>198</v>
      </c>
      <c r="C661" s="91"/>
      <c r="D661" s="91"/>
      <c r="E661" s="16" t="s">
        <v>58</v>
      </c>
      <c r="F661" s="16">
        <v>3</v>
      </c>
      <c r="G661" s="16">
        <f t="shared" si="38"/>
        <v>2</v>
      </c>
      <c r="H661" s="91">
        <v>4</v>
      </c>
    </row>
    <row r="662" spans="1:8" customFormat="1" ht="16.5" x14ac:dyDescent="0.3">
      <c r="A662" s="91">
        <f t="shared" si="39"/>
        <v>15620</v>
      </c>
      <c r="B662" s="9" t="s">
        <v>154</v>
      </c>
      <c r="C662" s="91"/>
      <c r="D662" s="91"/>
      <c r="E662" s="16" t="s">
        <v>58</v>
      </c>
      <c r="F662" s="16">
        <v>3</v>
      </c>
      <c r="G662" s="16">
        <f t="shared" si="38"/>
        <v>2</v>
      </c>
      <c r="H662" s="91">
        <v>4</v>
      </c>
    </row>
    <row r="663" spans="1:8" customFormat="1" ht="16.5" x14ac:dyDescent="0.3">
      <c r="A663" s="91">
        <f t="shared" si="39"/>
        <v>15628</v>
      </c>
      <c r="B663" s="9" t="s">
        <v>155</v>
      </c>
      <c r="C663" s="91"/>
      <c r="D663" s="91"/>
      <c r="E663" s="16" t="s">
        <v>58</v>
      </c>
      <c r="F663" s="16">
        <v>3</v>
      </c>
      <c r="G663" s="16">
        <f t="shared" si="38"/>
        <v>2</v>
      </c>
      <c r="H663" s="91">
        <v>4</v>
      </c>
    </row>
    <row r="664" spans="1:8" customFormat="1" ht="16.5" x14ac:dyDescent="0.3">
      <c r="A664" s="91">
        <f t="shared" si="39"/>
        <v>15636</v>
      </c>
      <c r="B664" s="9" t="s">
        <v>156</v>
      </c>
      <c r="C664" s="91"/>
      <c r="D664" s="91"/>
      <c r="E664" s="16" t="s">
        <v>58</v>
      </c>
      <c r="F664" s="16">
        <v>3</v>
      </c>
      <c r="G664" s="16">
        <f t="shared" si="38"/>
        <v>2</v>
      </c>
      <c r="H664" s="91">
        <v>4</v>
      </c>
    </row>
    <row r="665" spans="1:8" customFormat="1" ht="16.5" x14ac:dyDescent="0.3">
      <c r="A665" s="91">
        <f t="shared" si="39"/>
        <v>15644</v>
      </c>
      <c r="B665" s="9" t="s">
        <v>157</v>
      </c>
      <c r="C665" s="91"/>
      <c r="D665" s="91"/>
      <c r="E665" s="16" t="s">
        <v>58</v>
      </c>
      <c r="F665" s="16">
        <v>3</v>
      </c>
      <c r="G665" s="16">
        <f t="shared" si="38"/>
        <v>2</v>
      </c>
      <c r="H665" s="91">
        <v>4</v>
      </c>
    </row>
    <row r="666" spans="1:8" customFormat="1" ht="16.5" x14ac:dyDescent="0.3">
      <c r="A666" s="91">
        <f t="shared" si="39"/>
        <v>15652</v>
      </c>
      <c r="B666" s="9" t="s">
        <v>158</v>
      </c>
      <c r="C666" s="91"/>
      <c r="D666" s="91"/>
      <c r="E666" s="16" t="s">
        <v>58</v>
      </c>
      <c r="F666" s="16">
        <v>3</v>
      </c>
      <c r="G666" s="16">
        <f t="shared" si="38"/>
        <v>2</v>
      </c>
      <c r="H666" s="91">
        <v>4</v>
      </c>
    </row>
    <row r="667" spans="1:8" customFormat="1" ht="16.5" x14ac:dyDescent="0.3">
      <c r="A667" s="91">
        <f t="shared" si="39"/>
        <v>15660</v>
      </c>
      <c r="B667" s="9" t="s">
        <v>159</v>
      </c>
      <c r="C667" s="91"/>
      <c r="D667" s="91"/>
      <c r="E667" s="16" t="s">
        <v>58</v>
      </c>
      <c r="F667" s="16">
        <v>3</v>
      </c>
      <c r="G667" s="16">
        <f t="shared" si="38"/>
        <v>2</v>
      </c>
      <c r="H667" s="91">
        <v>4</v>
      </c>
    </row>
    <row r="668" spans="1:8" customFormat="1" ht="16.5" x14ac:dyDescent="0.3">
      <c r="A668" s="91">
        <f t="shared" si="39"/>
        <v>15668</v>
      </c>
      <c r="B668" s="9" t="s">
        <v>160</v>
      </c>
      <c r="C668" s="91"/>
      <c r="D668" s="91"/>
      <c r="E668" s="16" t="s">
        <v>58</v>
      </c>
      <c r="F668" s="16">
        <v>3</v>
      </c>
      <c r="G668" s="16">
        <f t="shared" si="38"/>
        <v>2</v>
      </c>
      <c r="H668" s="91">
        <v>4</v>
      </c>
    </row>
    <row r="669" spans="1:8" customFormat="1" ht="16.5" x14ac:dyDescent="0.3">
      <c r="A669" s="91">
        <f t="shared" si="39"/>
        <v>15676</v>
      </c>
      <c r="B669" s="9" t="s">
        <v>161</v>
      </c>
      <c r="C669" s="91"/>
      <c r="D669" s="91"/>
      <c r="E669" s="16" t="s">
        <v>58</v>
      </c>
      <c r="F669" s="16">
        <v>3</v>
      </c>
      <c r="G669" s="16">
        <f t="shared" si="38"/>
        <v>2</v>
      </c>
      <c r="H669" s="91">
        <v>4</v>
      </c>
    </row>
    <row r="670" spans="1:8" customFormat="1" ht="16.5" x14ac:dyDescent="0.3">
      <c r="A670" s="91">
        <f t="shared" si="39"/>
        <v>15684</v>
      </c>
      <c r="B670" s="9" t="s">
        <v>0</v>
      </c>
      <c r="C670" s="91"/>
      <c r="D670" s="91"/>
      <c r="E670" s="16" t="s">
        <v>58</v>
      </c>
      <c r="F670" s="16">
        <v>3</v>
      </c>
      <c r="G670" s="16">
        <f t="shared" si="38"/>
        <v>2</v>
      </c>
      <c r="H670" s="91">
        <v>4</v>
      </c>
    </row>
    <row r="671" spans="1:8" customFormat="1" ht="16.5" x14ac:dyDescent="0.3">
      <c r="A671" s="91">
        <f t="shared" si="39"/>
        <v>15692</v>
      </c>
      <c r="B671" s="9" t="s">
        <v>119</v>
      </c>
      <c r="C671" s="91"/>
      <c r="D671" s="91"/>
      <c r="E671" s="16" t="s">
        <v>58</v>
      </c>
      <c r="F671" s="16">
        <v>3</v>
      </c>
      <c r="G671" s="16">
        <f t="shared" si="38"/>
        <v>2</v>
      </c>
      <c r="H671" s="91">
        <v>4</v>
      </c>
    </row>
    <row r="672" spans="1:8" customFormat="1" ht="16.5" x14ac:dyDescent="0.3">
      <c r="A672" s="91">
        <f t="shared" si="39"/>
        <v>15700</v>
      </c>
      <c r="B672" s="9" t="s">
        <v>120</v>
      </c>
      <c r="C672" s="91"/>
      <c r="D672" s="91"/>
      <c r="E672" s="16" t="s">
        <v>58</v>
      </c>
      <c r="F672" s="16">
        <v>3</v>
      </c>
      <c r="G672" s="16">
        <f t="shared" si="38"/>
        <v>2</v>
      </c>
      <c r="H672" s="91">
        <v>4</v>
      </c>
    </row>
    <row r="673" spans="1:8" customFormat="1" ht="16.5" x14ac:dyDescent="0.3">
      <c r="A673" s="91">
        <f t="shared" si="39"/>
        <v>15708</v>
      </c>
      <c r="B673" s="9" t="s">
        <v>129</v>
      </c>
      <c r="C673" s="91"/>
      <c r="D673" s="91"/>
      <c r="E673" s="16" t="s">
        <v>58</v>
      </c>
      <c r="F673" s="16">
        <v>3</v>
      </c>
      <c r="G673" s="16">
        <f t="shared" si="38"/>
        <v>2</v>
      </c>
      <c r="H673" s="91">
        <v>4</v>
      </c>
    </row>
    <row r="674" spans="1:8" customFormat="1" ht="16.5" x14ac:dyDescent="0.3">
      <c r="A674" s="91">
        <f t="shared" si="39"/>
        <v>15716</v>
      </c>
      <c r="B674" s="9" t="s">
        <v>131</v>
      </c>
      <c r="C674" s="91"/>
      <c r="D674" s="91"/>
      <c r="E674" s="16" t="s">
        <v>58</v>
      </c>
      <c r="F674" s="16">
        <v>3</v>
      </c>
      <c r="G674" s="16">
        <f t="shared" si="38"/>
        <v>2</v>
      </c>
      <c r="H674" s="91">
        <v>4</v>
      </c>
    </row>
    <row r="675" spans="1:8" customFormat="1" ht="16.5" x14ac:dyDescent="0.3">
      <c r="A675" s="91">
        <f t="shared" si="39"/>
        <v>15724</v>
      </c>
      <c r="B675" s="9" t="s">
        <v>122</v>
      </c>
      <c r="C675" s="91"/>
      <c r="D675" s="91"/>
      <c r="E675" s="16" t="s">
        <v>58</v>
      </c>
      <c r="F675" s="16">
        <v>3</v>
      </c>
      <c r="G675" s="16">
        <f t="shared" si="38"/>
        <v>2</v>
      </c>
      <c r="H675" s="91">
        <v>4</v>
      </c>
    </row>
    <row r="676" spans="1:8" customFormat="1" ht="16.5" x14ac:dyDescent="0.3">
      <c r="A676" s="91">
        <f t="shared" si="39"/>
        <v>15732</v>
      </c>
      <c r="B676" s="9" t="s">
        <v>130</v>
      </c>
      <c r="C676" s="91"/>
      <c r="D676" s="91"/>
      <c r="E676" s="16" t="s">
        <v>58</v>
      </c>
      <c r="F676" s="16">
        <v>3</v>
      </c>
      <c r="G676" s="16">
        <f t="shared" si="38"/>
        <v>2</v>
      </c>
      <c r="H676" s="91">
        <v>4</v>
      </c>
    </row>
    <row r="677" spans="1:8" customFormat="1" ht="16.5" x14ac:dyDescent="0.3">
      <c r="A677" s="91">
        <f t="shared" si="39"/>
        <v>15740</v>
      </c>
      <c r="B677" s="9" t="s">
        <v>60</v>
      </c>
      <c r="C677" s="91"/>
      <c r="D677" s="91"/>
      <c r="E677" s="16" t="s">
        <v>58</v>
      </c>
      <c r="F677" s="16">
        <v>3</v>
      </c>
      <c r="G677" s="16">
        <f t="shared" si="38"/>
        <v>2</v>
      </c>
      <c r="H677" s="91">
        <v>4</v>
      </c>
    </row>
    <row r="678" spans="1:8" customFormat="1" ht="16.5" x14ac:dyDescent="0.3">
      <c r="A678" s="91">
        <f t="shared" si="39"/>
        <v>15748</v>
      </c>
      <c r="B678" s="9" t="s">
        <v>3</v>
      </c>
      <c r="C678" s="91"/>
      <c r="D678" s="91"/>
      <c r="E678" s="16" t="s">
        <v>58</v>
      </c>
      <c r="F678" s="16">
        <v>3</v>
      </c>
      <c r="G678" s="16">
        <f t="shared" si="38"/>
        <v>2</v>
      </c>
      <c r="H678" s="91">
        <v>4</v>
      </c>
    </row>
    <row r="679" spans="1:8" customFormat="1" ht="16.5" x14ac:dyDescent="0.3">
      <c r="A679" s="91">
        <f t="shared" si="39"/>
        <v>15756</v>
      </c>
      <c r="B679" s="9" t="s">
        <v>4</v>
      </c>
      <c r="C679" s="91"/>
      <c r="D679" s="91"/>
      <c r="E679" s="16" t="s">
        <v>58</v>
      </c>
      <c r="F679" s="16">
        <v>3</v>
      </c>
      <c r="G679" s="16">
        <f>IF(OR(E679="U16", E679="S16"),1,IF(E679="TS",6,2))</f>
        <v>2</v>
      </c>
      <c r="H679" s="91">
        <v>4</v>
      </c>
    </row>
    <row r="680" spans="1:8" customFormat="1" ht="16.5" x14ac:dyDescent="0.3">
      <c r="A680" s="91">
        <f t="shared" si="39"/>
        <v>15764</v>
      </c>
      <c r="B680" s="9" t="s">
        <v>61</v>
      </c>
      <c r="C680" s="91"/>
      <c r="D680" s="91"/>
      <c r="E680" s="16" t="s">
        <v>58</v>
      </c>
      <c r="F680" s="16">
        <v>3</v>
      </c>
      <c r="G680" s="16">
        <f>IF(OR(E680="U16", E680="S16"),1,IF(E680="TS",6,2))</f>
        <v>2</v>
      </c>
      <c r="H680" s="91">
        <v>4</v>
      </c>
    </row>
    <row r="681" spans="1:8" customFormat="1" ht="16.5" x14ac:dyDescent="0.3">
      <c r="A681" s="91">
        <f t="shared" si="39"/>
        <v>15772</v>
      </c>
      <c r="B681" s="9" t="s">
        <v>62</v>
      </c>
      <c r="C681" s="91"/>
      <c r="D681" s="91"/>
      <c r="E681" s="16" t="s">
        <v>58</v>
      </c>
      <c r="F681" s="16">
        <v>3</v>
      </c>
      <c r="G681" s="16">
        <f>IF(OR(E681="U16", E681="S16"),1,IF(E681="TS",6,2))</f>
        <v>2</v>
      </c>
      <c r="H681" s="91">
        <v>4</v>
      </c>
    </row>
    <row r="682" spans="1:8" customFormat="1" ht="16.5" x14ac:dyDescent="0.3">
      <c r="A682" s="91">
        <f t="shared" si="39"/>
        <v>15780</v>
      </c>
      <c r="B682" s="9" t="s">
        <v>63</v>
      </c>
      <c r="C682" s="91"/>
      <c r="D682" s="91"/>
      <c r="E682" s="16" t="s">
        <v>58</v>
      </c>
      <c r="F682" s="16">
        <v>3</v>
      </c>
      <c r="G682" s="16">
        <f>IF(OR(E682="U16", E682="S16"),1,IF(E682="TS",6,2))</f>
        <v>2</v>
      </c>
      <c r="H682" s="91">
        <v>4</v>
      </c>
    </row>
    <row r="683" spans="1:8" customFormat="1" ht="16.5" x14ac:dyDescent="0.3">
      <c r="A683" s="91">
        <f t="shared" si="39"/>
        <v>15788</v>
      </c>
      <c r="B683" s="9" t="s">
        <v>64</v>
      </c>
      <c r="C683" s="91"/>
      <c r="D683" s="91"/>
      <c r="E683" s="16" t="s">
        <v>58</v>
      </c>
      <c r="F683" s="16">
        <v>3</v>
      </c>
      <c r="G683" s="16">
        <f t="shared" ref="G683:G700" si="40">IF(OR(E683="U16", E683="S16"),1,IF(E683="TS",6,2))</f>
        <v>2</v>
      </c>
      <c r="H683" s="91">
        <v>4</v>
      </c>
    </row>
    <row r="684" spans="1:8" customFormat="1" ht="16.5" x14ac:dyDescent="0.3">
      <c r="A684" s="91">
        <f t="shared" si="39"/>
        <v>15796</v>
      </c>
      <c r="B684" s="9" t="s">
        <v>65</v>
      </c>
      <c r="C684" s="91"/>
      <c r="D684" s="91"/>
      <c r="E684" s="16" t="s">
        <v>58</v>
      </c>
      <c r="F684" s="16">
        <v>3</v>
      </c>
      <c r="G684" s="16">
        <f t="shared" si="40"/>
        <v>2</v>
      </c>
      <c r="H684" s="91">
        <v>4</v>
      </c>
    </row>
    <row r="685" spans="1:8" customFormat="1" ht="16.5" x14ac:dyDescent="0.3">
      <c r="A685" s="91">
        <f t="shared" si="39"/>
        <v>15804</v>
      </c>
      <c r="B685" s="9" t="s">
        <v>66</v>
      </c>
      <c r="C685" s="91"/>
      <c r="D685" s="91"/>
      <c r="E685" s="16" t="s">
        <v>58</v>
      </c>
      <c r="F685" s="16">
        <v>3</v>
      </c>
      <c r="G685" s="16">
        <f t="shared" si="40"/>
        <v>2</v>
      </c>
      <c r="H685" s="91">
        <v>4</v>
      </c>
    </row>
    <row r="686" spans="1:8" ht="15.95" customHeight="1" x14ac:dyDescent="0.3">
      <c r="A686" s="91">
        <f t="shared" si="39"/>
        <v>15812</v>
      </c>
      <c r="B686" s="9" t="s">
        <v>6</v>
      </c>
      <c r="C686" s="91"/>
      <c r="D686" s="91"/>
      <c r="E686" s="16" t="s">
        <v>58</v>
      </c>
      <c r="F686" s="16">
        <v>3</v>
      </c>
      <c r="G686" s="16">
        <f t="shared" si="40"/>
        <v>2</v>
      </c>
      <c r="H686" s="91">
        <v>4</v>
      </c>
    </row>
    <row r="687" spans="1:8" customFormat="1" ht="16.5" x14ac:dyDescent="0.3">
      <c r="A687" s="91">
        <f t="shared" si="39"/>
        <v>15820</v>
      </c>
      <c r="B687" s="9" t="s">
        <v>7</v>
      </c>
      <c r="C687" s="91"/>
      <c r="D687" s="91"/>
      <c r="E687" s="16" t="s">
        <v>58</v>
      </c>
      <c r="F687" s="16">
        <v>3</v>
      </c>
      <c r="G687" s="16">
        <f t="shared" si="40"/>
        <v>2</v>
      </c>
      <c r="H687" s="91">
        <v>4</v>
      </c>
    </row>
    <row r="688" spans="1:8" customFormat="1" ht="16.5" x14ac:dyDescent="0.3">
      <c r="A688" s="91">
        <f t="shared" si="39"/>
        <v>15828</v>
      </c>
      <c r="B688" s="9" t="s">
        <v>67</v>
      </c>
      <c r="C688" s="91"/>
      <c r="D688" s="91"/>
      <c r="E688" s="16" t="s">
        <v>58</v>
      </c>
      <c r="F688" s="16">
        <v>3</v>
      </c>
      <c r="G688" s="16">
        <f t="shared" si="40"/>
        <v>2</v>
      </c>
      <c r="H688" s="91">
        <v>4</v>
      </c>
    </row>
    <row r="689" spans="1:8" customFormat="1" ht="16.5" x14ac:dyDescent="0.3">
      <c r="A689" s="91">
        <f t="shared" si="39"/>
        <v>15836</v>
      </c>
      <c r="B689" s="9" t="s">
        <v>135</v>
      </c>
      <c r="C689" s="91"/>
      <c r="D689" s="91"/>
      <c r="E689" s="16" t="s">
        <v>58</v>
      </c>
      <c r="F689" s="16">
        <v>3</v>
      </c>
      <c r="G689" s="16">
        <f t="shared" si="40"/>
        <v>2</v>
      </c>
      <c r="H689" s="91">
        <v>4</v>
      </c>
    </row>
    <row r="690" spans="1:8" customFormat="1" ht="16.5" x14ac:dyDescent="0.3">
      <c r="A690" s="91">
        <f t="shared" si="39"/>
        <v>15844</v>
      </c>
      <c r="B690" s="9" t="s">
        <v>136</v>
      </c>
      <c r="C690" s="91"/>
      <c r="D690" s="91"/>
      <c r="E690" s="16" t="s">
        <v>58</v>
      </c>
      <c r="F690" s="16">
        <v>3</v>
      </c>
      <c r="G690" s="16">
        <f t="shared" si="40"/>
        <v>2</v>
      </c>
      <c r="H690" s="91">
        <v>4</v>
      </c>
    </row>
    <row r="691" spans="1:8" customFormat="1" ht="16.5" x14ac:dyDescent="0.3">
      <c r="A691" s="91">
        <f t="shared" si="39"/>
        <v>15852</v>
      </c>
      <c r="B691" s="9" t="s">
        <v>137</v>
      </c>
      <c r="C691" s="91"/>
      <c r="D691" s="91"/>
      <c r="E691" s="16" t="s">
        <v>58</v>
      </c>
      <c r="F691" s="16">
        <v>3</v>
      </c>
      <c r="G691" s="16">
        <f t="shared" si="40"/>
        <v>2</v>
      </c>
      <c r="H691" s="91">
        <v>4</v>
      </c>
    </row>
    <row r="692" spans="1:8" customFormat="1" ht="16.5" x14ac:dyDescent="0.3">
      <c r="A692" s="91">
        <f t="shared" si="39"/>
        <v>15860</v>
      </c>
      <c r="B692" s="9" t="s">
        <v>81</v>
      </c>
      <c r="C692" s="91"/>
      <c r="D692" s="91"/>
      <c r="E692" s="16" t="s">
        <v>58</v>
      </c>
      <c r="F692" s="16">
        <v>3</v>
      </c>
      <c r="G692" s="16">
        <f t="shared" si="40"/>
        <v>2</v>
      </c>
      <c r="H692" s="91">
        <v>4</v>
      </c>
    </row>
    <row r="693" spans="1:8" customFormat="1" ht="16.5" x14ac:dyDescent="0.3">
      <c r="A693" s="91">
        <f t="shared" si="39"/>
        <v>15868</v>
      </c>
      <c r="B693" s="9" t="s">
        <v>237</v>
      </c>
      <c r="C693" s="91"/>
      <c r="D693" s="91"/>
      <c r="E693" s="16" t="s">
        <v>58</v>
      </c>
      <c r="F693" s="16">
        <v>3</v>
      </c>
      <c r="G693" s="16">
        <f t="shared" si="40"/>
        <v>2</v>
      </c>
      <c r="H693" s="91">
        <v>4</v>
      </c>
    </row>
    <row r="694" spans="1:8" customFormat="1" ht="16.5" x14ac:dyDescent="0.3">
      <c r="A694" s="91">
        <f t="shared" si="39"/>
        <v>15876</v>
      </c>
      <c r="B694" s="9" t="s">
        <v>238</v>
      </c>
      <c r="C694" s="91"/>
      <c r="D694" s="91"/>
      <c r="E694" s="16" t="s">
        <v>58</v>
      </c>
      <c r="F694" s="16">
        <v>3</v>
      </c>
      <c r="G694" s="16">
        <f t="shared" si="40"/>
        <v>2</v>
      </c>
      <c r="H694" s="91">
        <v>4</v>
      </c>
    </row>
    <row r="695" spans="1:8" customFormat="1" ht="16.5" x14ac:dyDescent="0.3">
      <c r="A695" s="91">
        <f t="shared" si="39"/>
        <v>15884</v>
      </c>
      <c r="B695" s="9" t="s">
        <v>239</v>
      </c>
      <c r="C695" s="91"/>
      <c r="D695" s="91"/>
      <c r="E695" s="16" t="s">
        <v>58</v>
      </c>
      <c r="F695" s="16">
        <v>3</v>
      </c>
      <c r="G695" s="16">
        <f t="shared" si="40"/>
        <v>2</v>
      </c>
      <c r="H695" s="91">
        <v>4</v>
      </c>
    </row>
    <row r="696" spans="1:8" customFormat="1" ht="16.5" x14ac:dyDescent="0.3">
      <c r="A696" s="91">
        <f t="shared" si="39"/>
        <v>15892</v>
      </c>
      <c r="B696" s="9" t="s">
        <v>240</v>
      </c>
      <c r="C696" s="91"/>
      <c r="D696" s="91"/>
      <c r="E696" s="16" t="s">
        <v>58</v>
      </c>
      <c r="F696" s="16">
        <v>3</v>
      </c>
      <c r="G696" s="16">
        <f t="shared" si="40"/>
        <v>2</v>
      </c>
      <c r="H696" s="91">
        <v>4</v>
      </c>
    </row>
    <row r="697" spans="1:8" customFormat="1" ht="16.5" x14ac:dyDescent="0.3">
      <c r="A697" s="91">
        <f t="shared" si="39"/>
        <v>15900</v>
      </c>
      <c r="B697" s="9" t="s">
        <v>241</v>
      </c>
      <c r="C697" s="91"/>
      <c r="D697" s="91"/>
      <c r="E697" s="16" t="s">
        <v>58</v>
      </c>
      <c r="F697" s="16">
        <v>3</v>
      </c>
      <c r="G697" s="16">
        <f t="shared" si="40"/>
        <v>2</v>
      </c>
      <c r="H697" s="91">
        <v>4</v>
      </c>
    </row>
    <row r="698" spans="1:8" customFormat="1" ht="16.5" x14ac:dyDescent="0.3">
      <c r="A698" s="91">
        <f t="shared" si="39"/>
        <v>15908</v>
      </c>
      <c r="B698" s="9" t="s">
        <v>242</v>
      </c>
      <c r="C698" s="91"/>
      <c r="D698" s="91"/>
      <c r="E698" s="16" t="s">
        <v>58</v>
      </c>
      <c r="F698" s="16">
        <v>3</v>
      </c>
      <c r="G698" s="16">
        <f t="shared" si="40"/>
        <v>2</v>
      </c>
      <c r="H698" s="91">
        <v>4</v>
      </c>
    </row>
    <row r="699" spans="1:8" customFormat="1" ht="16.5" customHeight="1" x14ac:dyDescent="0.3">
      <c r="A699" s="91">
        <f t="shared" si="39"/>
        <v>15916</v>
      </c>
      <c r="B699" s="9" t="s">
        <v>243</v>
      </c>
      <c r="C699" s="91"/>
      <c r="D699" s="91"/>
      <c r="E699" s="16" t="s">
        <v>58</v>
      </c>
      <c r="F699" s="16">
        <v>3</v>
      </c>
      <c r="G699" s="16">
        <f t="shared" si="40"/>
        <v>2</v>
      </c>
      <c r="H699" s="91">
        <v>4</v>
      </c>
    </row>
    <row r="700" spans="1:8" customFormat="1" ht="16.5" x14ac:dyDescent="0.3">
      <c r="A700" s="91">
        <f t="shared" si="39"/>
        <v>15924</v>
      </c>
      <c r="B700" s="9" t="s">
        <v>25</v>
      </c>
      <c r="C700" s="91"/>
      <c r="D700" s="91"/>
      <c r="E700" s="16" t="s">
        <v>58</v>
      </c>
      <c r="F700" s="16">
        <v>3</v>
      </c>
      <c r="G700" s="16">
        <f t="shared" si="40"/>
        <v>2</v>
      </c>
      <c r="H700" s="91">
        <v>4</v>
      </c>
    </row>
    <row r="701" spans="1:8" customFormat="1" ht="16.5" customHeight="1" x14ac:dyDescent="0.3">
      <c r="A701" s="91">
        <f t="shared" si="39"/>
        <v>15932</v>
      </c>
      <c r="B701" s="9" t="s">
        <v>26</v>
      </c>
      <c r="C701" s="91"/>
      <c r="D701" s="91"/>
      <c r="E701" s="16" t="s">
        <v>58</v>
      </c>
      <c r="F701" s="16">
        <v>3</v>
      </c>
      <c r="G701" s="16">
        <f>IF(OR(E701="U16", E701="S16"),1,IF(E701="TS",6,2))</f>
        <v>2</v>
      </c>
      <c r="H701" s="91">
        <v>4</v>
      </c>
    </row>
    <row r="702" spans="1:8" customFormat="1" ht="16.5" customHeight="1" x14ac:dyDescent="0.3">
      <c r="A702" s="91">
        <f t="shared" si="39"/>
        <v>15940</v>
      </c>
      <c r="B702" s="9" t="s">
        <v>402</v>
      </c>
      <c r="C702" s="91"/>
      <c r="D702" s="91"/>
      <c r="E702" s="16" t="s">
        <v>259</v>
      </c>
      <c r="F702" s="16">
        <v>3</v>
      </c>
      <c r="G702" s="16">
        <f>IF(OR(E702="U16", E702="S16"),1,IF(E702="TS",6,2))</f>
        <v>2</v>
      </c>
      <c r="H702" s="91">
        <v>1</v>
      </c>
    </row>
    <row r="703" spans="1:8" customFormat="1" ht="16.5" customHeight="1" x14ac:dyDescent="0.3">
      <c r="A703" s="91">
        <f t="shared" si="39"/>
        <v>15942</v>
      </c>
      <c r="B703" s="9" t="s">
        <v>196</v>
      </c>
      <c r="C703" s="91"/>
      <c r="D703" s="91"/>
      <c r="E703" s="16" t="s">
        <v>123</v>
      </c>
      <c r="F703" s="16">
        <v>3</v>
      </c>
      <c r="G703" s="16">
        <f>IF(OR(E703="U16", E703="S16"),1,IF(E703="TS",6,2))</f>
        <v>1</v>
      </c>
      <c r="H703" s="91">
        <v>1</v>
      </c>
    </row>
    <row r="704" spans="1:8" customFormat="1" ht="16.5" customHeight="1" x14ac:dyDescent="0.3">
      <c r="A704" s="91">
        <f t="shared" si="39"/>
        <v>15943</v>
      </c>
      <c r="B704" s="9" t="s">
        <v>398</v>
      </c>
      <c r="C704" s="91"/>
      <c r="D704" s="91"/>
      <c r="E704" s="16" t="s">
        <v>123</v>
      </c>
      <c r="F704" s="16">
        <v>3</v>
      </c>
      <c r="G704" s="16">
        <f>IF(OR(E704="U16", E704="S16"),1,IF(E704="TS",6,2))</f>
        <v>1</v>
      </c>
      <c r="H704" s="91">
        <v>1</v>
      </c>
    </row>
    <row r="705" spans="1:8" customFormat="1" ht="16.5" customHeight="1" x14ac:dyDescent="0.3">
      <c r="A705" s="91">
        <f t="shared" si="39"/>
        <v>15944</v>
      </c>
      <c r="B705" s="9"/>
      <c r="C705" s="91"/>
      <c r="D705" s="91"/>
      <c r="E705" s="16" t="s">
        <v>123</v>
      </c>
      <c r="F705" s="16">
        <v>3</v>
      </c>
      <c r="G705" s="16">
        <f>IF(OR(E705="U16", E705="S16"),1,IF(E705="TS",6,2))</f>
        <v>1</v>
      </c>
      <c r="H705" s="91">
        <v>6</v>
      </c>
    </row>
    <row r="706" spans="1:8" ht="13.5" customHeight="1" x14ac:dyDescent="0.3">
      <c r="A706" s="122" t="s">
        <v>1063</v>
      </c>
      <c r="B706" s="122"/>
      <c r="C706" s="122"/>
      <c r="D706" s="122"/>
      <c r="E706" s="122"/>
      <c r="F706" s="122"/>
      <c r="G706" s="122"/>
      <c r="H706" s="122"/>
    </row>
    <row r="707" spans="1:8" ht="13.5" customHeight="1" x14ac:dyDescent="0.3">
      <c r="A707" s="91">
        <f>A705+(G705*H705)</f>
        <v>15950</v>
      </c>
      <c r="B707" s="15" t="s">
        <v>400</v>
      </c>
      <c r="C707" s="91"/>
      <c r="D707" s="91"/>
      <c r="E707" s="16" t="s">
        <v>123</v>
      </c>
      <c r="F707" s="16">
        <v>3</v>
      </c>
      <c r="G707" s="16">
        <f t="shared" ref="G707:G719" si="41">IF(OR(E707="U16", E707="S16"),1,IF(E707="TS",6,2))</f>
        <v>1</v>
      </c>
      <c r="H707" s="91">
        <v>1</v>
      </c>
    </row>
    <row r="708" spans="1:8" ht="13.5" customHeight="1" x14ac:dyDescent="0.3">
      <c r="A708" s="91">
        <f t="shared" ref="A708:A751" si="42">A707+(G707*H707)</f>
        <v>15951</v>
      </c>
      <c r="B708" s="15" t="s">
        <v>401</v>
      </c>
      <c r="C708" s="91"/>
      <c r="D708" s="91"/>
      <c r="E708" s="16" t="s">
        <v>123</v>
      </c>
      <c r="F708" s="16">
        <v>3</v>
      </c>
      <c r="G708" s="16">
        <f t="shared" si="41"/>
        <v>1</v>
      </c>
      <c r="H708" s="91">
        <v>1</v>
      </c>
    </row>
    <row r="709" spans="1:8" ht="13.5" customHeight="1" x14ac:dyDescent="0.3">
      <c r="A709" s="91">
        <f t="shared" si="42"/>
        <v>15952</v>
      </c>
      <c r="B709" s="22" t="s">
        <v>1064</v>
      </c>
      <c r="C709" s="91"/>
      <c r="D709" s="91"/>
      <c r="E709" s="16" t="s">
        <v>123</v>
      </c>
      <c r="F709" s="16">
        <v>3</v>
      </c>
      <c r="G709" s="16">
        <f t="shared" si="41"/>
        <v>1</v>
      </c>
      <c r="H709" s="91">
        <v>1</v>
      </c>
    </row>
    <row r="710" spans="1:8" ht="13.5" customHeight="1" x14ac:dyDescent="0.3">
      <c r="A710" s="91">
        <f t="shared" si="42"/>
        <v>15953</v>
      </c>
      <c r="B710" s="15" t="s">
        <v>1111</v>
      </c>
      <c r="C710" s="91"/>
      <c r="D710" s="91"/>
      <c r="E710" s="16" t="s">
        <v>123</v>
      </c>
      <c r="F710" s="16">
        <v>3</v>
      </c>
      <c r="G710" s="16">
        <f t="shared" si="41"/>
        <v>1</v>
      </c>
      <c r="H710" s="91">
        <v>1</v>
      </c>
    </row>
    <row r="711" spans="1:8" ht="13.5" customHeight="1" x14ac:dyDescent="0.3">
      <c r="A711" s="91">
        <f t="shared" si="42"/>
        <v>15954</v>
      </c>
      <c r="B711" s="128" t="s">
        <v>1065</v>
      </c>
      <c r="C711" s="3" t="s">
        <v>1066</v>
      </c>
      <c r="D711" s="91"/>
      <c r="E711" s="91" t="s">
        <v>91</v>
      </c>
      <c r="F711" s="91">
        <v>3</v>
      </c>
      <c r="G711" s="91">
        <f t="shared" si="41"/>
        <v>2</v>
      </c>
      <c r="H711" s="91">
        <v>1</v>
      </c>
    </row>
    <row r="712" spans="1:8" ht="13.5" customHeight="1" x14ac:dyDescent="0.3">
      <c r="A712" s="91">
        <f t="shared" si="42"/>
        <v>15956</v>
      </c>
      <c r="B712" s="128"/>
      <c r="C712" s="3" t="s">
        <v>442</v>
      </c>
      <c r="D712" s="91"/>
      <c r="E712" s="91" t="s">
        <v>123</v>
      </c>
      <c r="F712" s="91">
        <v>3</v>
      </c>
      <c r="G712" s="91">
        <f t="shared" si="41"/>
        <v>1</v>
      </c>
      <c r="H712" s="91">
        <v>1</v>
      </c>
    </row>
    <row r="713" spans="1:8" ht="13.5" customHeight="1" x14ac:dyDescent="0.3">
      <c r="A713" s="91">
        <f t="shared" si="42"/>
        <v>15957</v>
      </c>
      <c r="B713" s="128"/>
      <c r="C713" s="3" t="s">
        <v>443</v>
      </c>
      <c r="D713" s="91"/>
      <c r="E713" s="91" t="s">
        <v>123</v>
      </c>
      <c r="F713" s="91">
        <v>3</v>
      </c>
      <c r="G713" s="91">
        <f t="shared" si="41"/>
        <v>1</v>
      </c>
      <c r="H713" s="91">
        <v>1</v>
      </c>
    </row>
    <row r="714" spans="1:8" ht="13.5" customHeight="1" x14ac:dyDescent="0.3">
      <c r="A714" s="91">
        <f t="shared" si="42"/>
        <v>15958</v>
      </c>
      <c r="B714" s="128"/>
      <c r="C714" s="3" t="s">
        <v>1067</v>
      </c>
      <c r="D714" s="9" t="s">
        <v>1068</v>
      </c>
      <c r="E714" s="91" t="s">
        <v>123</v>
      </c>
      <c r="F714" s="91">
        <v>3</v>
      </c>
      <c r="G714" s="91">
        <f t="shared" si="41"/>
        <v>1</v>
      </c>
      <c r="H714" s="91">
        <v>1</v>
      </c>
    </row>
    <row r="715" spans="1:8" ht="13.5" customHeight="1" x14ac:dyDescent="0.3">
      <c r="A715" s="91">
        <f t="shared" si="42"/>
        <v>15959</v>
      </c>
      <c r="B715" s="128"/>
      <c r="C715" s="3" t="s">
        <v>440</v>
      </c>
      <c r="D715" s="91"/>
      <c r="E715" s="91" t="s">
        <v>123</v>
      </c>
      <c r="F715" s="91">
        <v>3</v>
      </c>
      <c r="G715" s="91">
        <f t="shared" si="41"/>
        <v>1</v>
      </c>
      <c r="H715" s="91">
        <v>1</v>
      </c>
    </row>
    <row r="716" spans="1:8" ht="13.5" customHeight="1" x14ac:dyDescent="0.3">
      <c r="A716" s="91">
        <f t="shared" si="42"/>
        <v>15960</v>
      </c>
      <c r="B716" s="128"/>
      <c r="C716" s="3" t="s">
        <v>441</v>
      </c>
      <c r="D716" s="91"/>
      <c r="E716" s="91" t="s">
        <v>437</v>
      </c>
      <c r="F716" s="91">
        <v>3</v>
      </c>
      <c r="G716" s="91">
        <f t="shared" si="41"/>
        <v>2</v>
      </c>
      <c r="H716" s="91">
        <v>1</v>
      </c>
    </row>
    <row r="717" spans="1:8" ht="13.5" customHeight="1" x14ac:dyDescent="0.3">
      <c r="A717" s="91">
        <f t="shared" si="42"/>
        <v>15962</v>
      </c>
      <c r="B717" s="128"/>
      <c r="C717" s="3" t="s">
        <v>272</v>
      </c>
      <c r="D717" s="91"/>
      <c r="E717" s="91" t="s">
        <v>437</v>
      </c>
      <c r="F717" s="91">
        <v>3</v>
      </c>
      <c r="G717" s="91">
        <f t="shared" si="41"/>
        <v>2</v>
      </c>
      <c r="H717" s="91">
        <v>1</v>
      </c>
    </row>
    <row r="718" spans="1:8" ht="13.5" customHeight="1" x14ac:dyDescent="0.3">
      <c r="A718" s="91">
        <f t="shared" si="42"/>
        <v>15964</v>
      </c>
      <c r="B718" s="128"/>
      <c r="C718" s="3" t="s">
        <v>273</v>
      </c>
      <c r="D718" s="91"/>
      <c r="E718" s="91" t="s">
        <v>437</v>
      </c>
      <c r="F718" s="91">
        <v>3</v>
      </c>
      <c r="G718" s="91">
        <f t="shared" si="41"/>
        <v>2</v>
      </c>
      <c r="H718" s="91">
        <v>1</v>
      </c>
    </row>
    <row r="719" spans="1:8" ht="13.5" customHeight="1" x14ac:dyDescent="0.3">
      <c r="A719" s="91">
        <f t="shared" si="42"/>
        <v>15966</v>
      </c>
      <c r="B719" s="128"/>
      <c r="C719" s="3" t="s">
        <v>1069</v>
      </c>
      <c r="D719" s="91"/>
      <c r="E719" s="91" t="s">
        <v>437</v>
      </c>
      <c r="F719" s="91">
        <v>3</v>
      </c>
      <c r="G719" s="91">
        <f t="shared" si="41"/>
        <v>2</v>
      </c>
      <c r="H719" s="91">
        <v>1</v>
      </c>
    </row>
    <row r="720" spans="1:8" ht="13.5" customHeight="1" x14ac:dyDescent="0.3">
      <c r="A720" s="91">
        <f t="shared" si="42"/>
        <v>15968</v>
      </c>
      <c r="B720" s="9" t="s">
        <v>1070</v>
      </c>
      <c r="C720" s="91"/>
      <c r="D720" s="91"/>
      <c r="E720" s="91" t="s">
        <v>123</v>
      </c>
      <c r="F720" s="16">
        <v>3</v>
      </c>
      <c r="G720" s="91">
        <v>1</v>
      </c>
      <c r="H720" s="91">
        <v>14</v>
      </c>
    </row>
    <row r="721" spans="1:8" ht="13.5" customHeight="1" x14ac:dyDescent="0.3">
      <c r="A721" s="91">
        <f t="shared" si="42"/>
        <v>15982</v>
      </c>
      <c r="B721" s="9" t="s">
        <v>1071</v>
      </c>
      <c r="C721" s="91"/>
      <c r="D721" s="91"/>
      <c r="E721" s="91" t="s">
        <v>123</v>
      </c>
      <c r="F721" s="16">
        <v>3</v>
      </c>
      <c r="G721" s="91">
        <v>1</v>
      </c>
      <c r="H721" s="91">
        <v>14</v>
      </c>
    </row>
    <row r="722" spans="1:8" ht="13.5" customHeight="1" x14ac:dyDescent="0.3">
      <c r="A722" s="91">
        <f t="shared" si="42"/>
        <v>15996</v>
      </c>
      <c r="B722" s="9" t="s">
        <v>1072</v>
      </c>
      <c r="C722" s="91"/>
      <c r="D722" s="91"/>
      <c r="E722" s="91" t="s">
        <v>123</v>
      </c>
      <c r="F722" s="16">
        <v>3</v>
      </c>
      <c r="G722" s="91">
        <v>1</v>
      </c>
      <c r="H722" s="91">
        <v>14</v>
      </c>
    </row>
    <row r="723" spans="1:8" ht="13.5" customHeight="1" x14ac:dyDescent="0.3">
      <c r="A723" s="91">
        <f t="shared" si="42"/>
        <v>16010</v>
      </c>
      <c r="B723" s="9" t="s">
        <v>1073</v>
      </c>
      <c r="C723" s="91"/>
      <c r="D723" s="91"/>
      <c r="E723" s="91" t="s">
        <v>123</v>
      </c>
      <c r="F723" s="16">
        <v>3</v>
      </c>
      <c r="G723" s="91">
        <v>1</v>
      </c>
      <c r="H723" s="91">
        <v>14</v>
      </c>
    </row>
    <row r="724" spans="1:8" ht="13.5" customHeight="1" x14ac:dyDescent="0.3">
      <c r="A724" s="91">
        <f t="shared" si="42"/>
        <v>16024</v>
      </c>
      <c r="B724" s="9" t="s">
        <v>1074</v>
      </c>
      <c r="C724" s="91"/>
      <c r="D724" s="91"/>
      <c r="E724" s="91" t="s">
        <v>123</v>
      </c>
      <c r="F724" s="16">
        <v>3</v>
      </c>
      <c r="G724" s="91">
        <v>1</v>
      </c>
      <c r="H724" s="91">
        <v>14</v>
      </c>
    </row>
    <row r="725" spans="1:8" ht="13.5" customHeight="1" x14ac:dyDescent="0.3">
      <c r="A725" s="91">
        <f t="shared" si="42"/>
        <v>16038</v>
      </c>
      <c r="B725" s="9" t="s">
        <v>1075</v>
      </c>
      <c r="C725" s="91"/>
      <c r="D725" s="91"/>
      <c r="E725" s="91" t="s">
        <v>123</v>
      </c>
      <c r="F725" s="16">
        <v>3</v>
      </c>
      <c r="G725" s="91">
        <v>1</v>
      </c>
      <c r="H725" s="91">
        <v>14</v>
      </c>
    </row>
    <row r="726" spans="1:8" ht="13.5" customHeight="1" x14ac:dyDescent="0.3">
      <c r="A726" s="91">
        <f t="shared" si="42"/>
        <v>16052</v>
      </c>
      <c r="B726" s="9" t="s">
        <v>1076</v>
      </c>
      <c r="C726" s="91"/>
      <c r="D726" s="91"/>
      <c r="E726" s="91" t="s">
        <v>123</v>
      </c>
      <c r="F726" s="16">
        <v>3</v>
      </c>
      <c r="G726" s="91">
        <v>1</v>
      </c>
      <c r="H726" s="91">
        <v>14</v>
      </c>
    </row>
    <row r="727" spans="1:8" ht="13.5" customHeight="1" x14ac:dyDescent="0.3">
      <c r="A727" s="91">
        <f t="shared" si="42"/>
        <v>16066</v>
      </c>
      <c r="B727" s="9" t="s">
        <v>1077</v>
      </c>
      <c r="C727" s="91"/>
      <c r="D727" s="91"/>
      <c r="E727" s="91" t="s">
        <v>123</v>
      </c>
      <c r="F727" s="16">
        <v>3</v>
      </c>
      <c r="G727" s="91">
        <v>1</v>
      </c>
      <c r="H727" s="91">
        <v>14</v>
      </c>
    </row>
    <row r="728" spans="1:8" ht="13.5" customHeight="1" x14ac:dyDescent="0.3">
      <c r="A728" s="91">
        <f t="shared" si="42"/>
        <v>16080</v>
      </c>
      <c r="B728" s="9" t="s">
        <v>1078</v>
      </c>
      <c r="C728" s="91"/>
      <c r="D728" s="91"/>
      <c r="E728" s="91" t="s">
        <v>123</v>
      </c>
      <c r="F728" s="16">
        <v>3</v>
      </c>
      <c r="G728" s="91">
        <v>1</v>
      </c>
      <c r="H728" s="91">
        <v>14</v>
      </c>
    </row>
    <row r="729" spans="1:8" ht="13.5" customHeight="1" x14ac:dyDescent="0.3">
      <c r="A729" s="91">
        <f t="shared" si="42"/>
        <v>16094</v>
      </c>
      <c r="B729" s="9" t="s">
        <v>1079</v>
      </c>
      <c r="C729" s="91"/>
      <c r="D729" s="91"/>
      <c r="E729" s="91" t="s">
        <v>123</v>
      </c>
      <c r="F729" s="16">
        <v>3</v>
      </c>
      <c r="G729" s="91">
        <v>1</v>
      </c>
      <c r="H729" s="91">
        <v>14</v>
      </c>
    </row>
    <row r="730" spans="1:8" ht="13.5" customHeight="1" x14ac:dyDescent="0.3">
      <c r="A730" s="91">
        <f t="shared" si="42"/>
        <v>16108</v>
      </c>
      <c r="B730" s="9" t="s">
        <v>1080</v>
      </c>
      <c r="C730" s="91"/>
      <c r="D730" s="91"/>
      <c r="E730" s="91" t="s">
        <v>123</v>
      </c>
      <c r="F730" s="16">
        <v>3</v>
      </c>
      <c r="G730" s="91">
        <v>1</v>
      </c>
      <c r="H730" s="91">
        <v>14</v>
      </c>
    </row>
    <row r="731" spans="1:8" ht="13.5" customHeight="1" x14ac:dyDescent="0.3">
      <c r="A731" s="91">
        <f t="shared" si="42"/>
        <v>16122</v>
      </c>
      <c r="B731" s="9" t="s">
        <v>1081</v>
      </c>
      <c r="C731" s="91"/>
      <c r="D731" s="91"/>
      <c r="E731" s="91" t="s">
        <v>123</v>
      </c>
      <c r="F731" s="16">
        <v>3</v>
      </c>
      <c r="G731" s="91">
        <v>1</v>
      </c>
      <c r="H731" s="91">
        <v>14</v>
      </c>
    </row>
    <row r="732" spans="1:8" ht="13.5" customHeight="1" x14ac:dyDescent="0.3">
      <c r="A732" s="91">
        <f t="shared" si="42"/>
        <v>16136</v>
      </c>
      <c r="B732" s="9" t="s">
        <v>1082</v>
      </c>
      <c r="C732" s="91"/>
      <c r="D732" s="91"/>
      <c r="E732" s="91" t="s">
        <v>123</v>
      </c>
      <c r="F732" s="16">
        <v>3</v>
      </c>
      <c r="G732" s="91">
        <v>1</v>
      </c>
      <c r="H732" s="91">
        <v>14</v>
      </c>
    </row>
    <row r="733" spans="1:8" ht="13.5" customHeight="1" x14ac:dyDescent="0.3">
      <c r="A733" s="91">
        <f t="shared" si="42"/>
        <v>16150</v>
      </c>
      <c r="B733" s="9" t="s">
        <v>1083</v>
      </c>
      <c r="C733" s="91"/>
      <c r="D733" s="91"/>
      <c r="E733" s="91" t="s">
        <v>123</v>
      </c>
      <c r="F733" s="16">
        <v>3</v>
      </c>
      <c r="G733" s="91">
        <v>1</v>
      </c>
      <c r="H733" s="91">
        <v>14</v>
      </c>
    </row>
    <row r="734" spans="1:8" ht="13.5" customHeight="1" x14ac:dyDescent="0.3">
      <c r="A734" s="91">
        <f t="shared" si="42"/>
        <v>16164</v>
      </c>
      <c r="B734" s="9" t="s">
        <v>1084</v>
      </c>
      <c r="C734" s="91"/>
      <c r="D734" s="91"/>
      <c r="E734" s="91" t="s">
        <v>123</v>
      </c>
      <c r="F734" s="16">
        <v>3</v>
      </c>
      <c r="G734" s="91">
        <v>1</v>
      </c>
      <c r="H734" s="91">
        <v>14</v>
      </c>
    </row>
    <row r="735" spans="1:8" ht="13.5" customHeight="1" x14ac:dyDescent="0.3">
      <c r="A735" s="91">
        <f t="shared" si="42"/>
        <v>16178</v>
      </c>
      <c r="B735" s="9" t="s">
        <v>1085</v>
      </c>
      <c r="C735" s="91"/>
      <c r="D735" s="91"/>
      <c r="E735" s="91" t="s">
        <v>123</v>
      </c>
      <c r="F735" s="16">
        <v>3</v>
      </c>
      <c r="G735" s="91">
        <v>1</v>
      </c>
      <c r="H735" s="91">
        <v>14</v>
      </c>
    </row>
    <row r="736" spans="1:8" ht="13.5" customHeight="1" x14ac:dyDescent="0.3">
      <c r="A736" s="91">
        <f t="shared" si="42"/>
        <v>16192</v>
      </c>
      <c r="B736" s="9" t="s">
        <v>1086</v>
      </c>
      <c r="C736" s="91"/>
      <c r="D736" s="91"/>
      <c r="E736" s="91" t="s">
        <v>123</v>
      </c>
      <c r="F736" s="16">
        <v>3</v>
      </c>
      <c r="G736" s="91">
        <v>1</v>
      </c>
      <c r="H736" s="91">
        <v>14</v>
      </c>
    </row>
    <row r="737" spans="1:8" ht="13.5" customHeight="1" x14ac:dyDescent="0.3">
      <c r="A737" s="91">
        <f t="shared" si="42"/>
        <v>16206</v>
      </c>
      <c r="B737" s="9" t="s">
        <v>1087</v>
      </c>
      <c r="C737" s="91"/>
      <c r="D737" s="91"/>
      <c r="E737" s="91" t="s">
        <v>123</v>
      </c>
      <c r="F737" s="16">
        <v>3</v>
      </c>
      <c r="G737" s="91">
        <v>1</v>
      </c>
      <c r="H737" s="91">
        <v>14</v>
      </c>
    </row>
    <row r="738" spans="1:8" ht="13.5" customHeight="1" x14ac:dyDescent="0.3">
      <c r="A738" s="91">
        <f t="shared" si="42"/>
        <v>16220</v>
      </c>
      <c r="B738" s="9" t="s">
        <v>1088</v>
      </c>
      <c r="C738" s="91"/>
      <c r="D738" s="91"/>
      <c r="E738" s="91" t="s">
        <v>123</v>
      </c>
      <c r="F738" s="16">
        <v>3</v>
      </c>
      <c r="G738" s="91">
        <v>1</v>
      </c>
      <c r="H738" s="91">
        <v>14</v>
      </c>
    </row>
    <row r="739" spans="1:8" ht="13.5" customHeight="1" x14ac:dyDescent="0.3">
      <c r="A739" s="91">
        <f t="shared" si="42"/>
        <v>16234</v>
      </c>
      <c r="B739" s="9" t="s">
        <v>1089</v>
      </c>
      <c r="C739" s="91"/>
      <c r="D739" s="91"/>
      <c r="E739" s="91" t="s">
        <v>123</v>
      </c>
      <c r="F739" s="16">
        <v>3</v>
      </c>
      <c r="G739" s="91">
        <v>1</v>
      </c>
      <c r="H739" s="91">
        <v>14</v>
      </c>
    </row>
    <row r="740" spans="1:8" ht="13.5" customHeight="1" x14ac:dyDescent="0.3">
      <c r="A740" s="91">
        <f t="shared" si="42"/>
        <v>16248</v>
      </c>
      <c r="B740" s="9" t="s">
        <v>1090</v>
      </c>
      <c r="C740" s="91"/>
      <c r="D740" s="91"/>
      <c r="E740" s="91" t="s">
        <v>123</v>
      </c>
      <c r="F740" s="16">
        <v>3</v>
      </c>
      <c r="G740" s="91">
        <v>1</v>
      </c>
      <c r="H740" s="91">
        <v>14</v>
      </c>
    </row>
    <row r="741" spans="1:8" ht="13.5" customHeight="1" x14ac:dyDescent="0.3">
      <c r="A741" s="91">
        <f t="shared" si="42"/>
        <v>16262</v>
      </c>
      <c r="B741" s="9" t="s">
        <v>1091</v>
      </c>
      <c r="C741" s="91"/>
      <c r="D741" s="91"/>
      <c r="E741" s="91" t="s">
        <v>123</v>
      </c>
      <c r="F741" s="16">
        <v>3</v>
      </c>
      <c r="G741" s="91">
        <v>1</v>
      </c>
      <c r="H741" s="91">
        <v>14</v>
      </c>
    </row>
    <row r="742" spans="1:8" ht="13.5" customHeight="1" x14ac:dyDescent="0.3">
      <c r="A742" s="91">
        <f t="shared" si="42"/>
        <v>16276</v>
      </c>
      <c r="B742" s="9" t="s">
        <v>1092</v>
      </c>
      <c r="C742" s="91"/>
      <c r="D742" s="91"/>
      <c r="E742" s="91" t="s">
        <v>123</v>
      </c>
      <c r="F742" s="16">
        <v>3</v>
      </c>
      <c r="G742" s="91">
        <v>1</v>
      </c>
      <c r="H742" s="91">
        <v>14</v>
      </c>
    </row>
    <row r="743" spans="1:8" ht="13.5" customHeight="1" x14ac:dyDescent="0.3">
      <c r="A743" s="91">
        <f t="shared" si="42"/>
        <v>16290</v>
      </c>
      <c r="B743" s="9" t="s">
        <v>1093</v>
      </c>
      <c r="C743" s="91"/>
      <c r="D743" s="91"/>
      <c r="E743" s="91" t="s">
        <v>123</v>
      </c>
      <c r="F743" s="16">
        <v>3</v>
      </c>
      <c r="G743" s="91">
        <v>1</v>
      </c>
      <c r="H743" s="91">
        <v>14</v>
      </c>
    </row>
    <row r="744" spans="1:8" ht="13.5" customHeight="1" x14ac:dyDescent="0.3">
      <c r="A744" s="91">
        <f t="shared" si="42"/>
        <v>16304</v>
      </c>
      <c r="B744" s="9" t="s">
        <v>1094</v>
      </c>
      <c r="C744" s="91"/>
      <c r="D744" s="91"/>
      <c r="E744" s="91" t="s">
        <v>123</v>
      </c>
      <c r="F744" s="16">
        <v>3</v>
      </c>
      <c r="G744" s="91">
        <v>1</v>
      </c>
      <c r="H744" s="91">
        <v>14</v>
      </c>
    </row>
    <row r="745" spans="1:8" ht="13.5" customHeight="1" x14ac:dyDescent="0.3">
      <c r="A745" s="91">
        <f t="shared" si="42"/>
        <v>16318</v>
      </c>
      <c r="B745" s="9" t="s">
        <v>1095</v>
      </c>
      <c r="C745" s="91"/>
      <c r="D745" s="91"/>
      <c r="E745" s="91" t="s">
        <v>123</v>
      </c>
      <c r="F745" s="16">
        <v>3</v>
      </c>
      <c r="G745" s="91">
        <v>1</v>
      </c>
      <c r="H745" s="91">
        <v>14</v>
      </c>
    </row>
    <row r="746" spans="1:8" ht="13.5" customHeight="1" x14ac:dyDescent="0.3">
      <c r="A746" s="91">
        <f t="shared" si="42"/>
        <v>16332</v>
      </c>
      <c r="B746" s="9" t="s">
        <v>1096</v>
      </c>
      <c r="C746" s="91"/>
      <c r="D746" s="91"/>
      <c r="E746" s="91" t="s">
        <v>123</v>
      </c>
      <c r="F746" s="16">
        <v>3</v>
      </c>
      <c r="G746" s="91">
        <v>1</v>
      </c>
      <c r="H746" s="91">
        <v>14</v>
      </c>
    </row>
    <row r="747" spans="1:8" ht="13.5" customHeight="1" x14ac:dyDescent="0.3">
      <c r="A747" s="91">
        <f t="shared" si="42"/>
        <v>16346</v>
      </c>
      <c r="B747" s="9" t="s">
        <v>1097</v>
      </c>
      <c r="C747" s="91"/>
      <c r="D747" s="91"/>
      <c r="E747" s="91" t="s">
        <v>123</v>
      </c>
      <c r="F747" s="16">
        <v>3</v>
      </c>
      <c r="G747" s="91">
        <v>1</v>
      </c>
      <c r="H747" s="91">
        <v>14</v>
      </c>
    </row>
    <row r="748" spans="1:8" ht="13.5" customHeight="1" x14ac:dyDescent="0.3">
      <c r="A748" s="91">
        <f t="shared" si="42"/>
        <v>16360</v>
      </c>
      <c r="B748" s="9" t="s">
        <v>1098</v>
      </c>
      <c r="C748" s="91"/>
      <c r="D748" s="91"/>
      <c r="E748" s="91" t="s">
        <v>123</v>
      </c>
      <c r="F748" s="16">
        <v>3</v>
      </c>
      <c r="G748" s="91">
        <v>1</v>
      </c>
      <c r="H748" s="91">
        <v>14</v>
      </c>
    </row>
    <row r="749" spans="1:8" ht="13.5" customHeight="1" x14ac:dyDescent="0.3">
      <c r="A749" s="91">
        <f t="shared" si="42"/>
        <v>16374</v>
      </c>
      <c r="B749" s="9" t="s">
        <v>1099</v>
      </c>
      <c r="C749" s="91"/>
      <c r="D749" s="91"/>
      <c r="E749" s="91" t="s">
        <v>123</v>
      </c>
      <c r="F749" s="16">
        <v>3</v>
      </c>
      <c r="G749" s="91">
        <v>1</v>
      </c>
      <c r="H749" s="91">
        <v>14</v>
      </c>
    </row>
    <row r="750" spans="1:8" ht="13.5" customHeight="1" x14ac:dyDescent="0.3">
      <c r="A750" s="91">
        <f t="shared" si="42"/>
        <v>16388</v>
      </c>
      <c r="B750" s="9" t="s">
        <v>1100</v>
      </c>
      <c r="C750" s="91"/>
      <c r="D750" s="91"/>
      <c r="E750" s="91" t="s">
        <v>123</v>
      </c>
      <c r="F750" s="16">
        <v>3</v>
      </c>
      <c r="G750" s="91">
        <v>1</v>
      </c>
      <c r="H750" s="91">
        <v>14</v>
      </c>
    </row>
    <row r="751" spans="1:8" ht="13.5" customHeight="1" x14ac:dyDescent="0.3">
      <c r="A751" s="91">
        <f t="shared" si="42"/>
        <v>16402</v>
      </c>
      <c r="B751" s="9"/>
      <c r="C751" s="91"/>
      <c r="D751" s="91"/>
      <c r="E751" s="91" t="s">
        <v>123</v>
      </c>
      <c r="F751" s="16">
        <v>3</v>
      </c>
      <c r="G751" s="91">
        <v>1</v>
      </c>
      <c r="H751" s="91">
        <v>8</v>
      </c>
    </row>
    <row r="752" spans="1:8" ht="13.5" customHeight="1" x14ac:dyDescent="0.3">
      <c r="A752" s="122" t="s">
        <v>1101</v>
      </c>
      <c r="B752" s="122"/>
      <c r="C752" s="122"/>
      <c r="D752" s="122"/>
      <c r="E752" s="122"/>
      <c r="F752" s="122"/>
      <c r="G752" s="122"/>
      <c r="H752" s="122"/>
    </row>
    <row r="753" spans="1:8" ht="13.5" customHeight="1" x14ac:dyDescent="0.3">
      <c r="A753" s="91">
        <f>A751+G751*H751</f>
        <v>16410</v>
      </c>
      <c r="B753" s="15" t="s">
        <v>400</v>
      </c>
      <c r="C753" s="91"/>
      <c r="D753" s="91"/>
      <c r="E753" s="16" t="s">
        <v>123</v>
      </c>
      <c r="F753" s="16">
        <v>3</v>
      </c>
      <c r="G753" s="16">
        <f t="shared" ref="G753:G765" si="43">IF(OR(E753="U16", E753="S16"),1,IF(E753="TS",6,2))</f>
        <v>1</v>
      </c>
      <c r="H753" s="91">
        <v>1</v>
      </c>
    </row>
    <row r="754" spans="1:8" ht="13.5" customHeight="1" x14ac:dyDescent="0.3">
      <c r="A754" s="91">
        <f t="shared" ref="A754:A797" si="44">A753+(G753*H753)</f>
        <v>16411</v>
      </c>
      <c r="B754" s="15" t="s">
        <v>401</v>
      </c>
      <c r="C754" s="91"/>
      <c r="D754" s="91"/>
      <c r="E754" s="16" t="s">
        <v>123</v>
      </c>
      <c r="F754" s="16">
        <v>3</v>
      </c>
      <c r="G754" s="16">
        <f t="shared" si="43"/>
        <v>1</v>
      </c>
      <c r="H754" s="91">
        <v>1</v>
      </c>
    </row>
    <row r="755" spans="1:8" ht="13.5" customHeight="1" x14ac:dyDescent="0.3">
      <c r="A755" s="91">
        <f t="shared" si="44"/>
        <v>16412</v>
      </c>
      <c r="B755" s="22" t="s">
        <v>1064</v>
      </c>
      <c r="C755" s="91"/>
      <c r="D755" s="91"/>
      <c r="E755" s="16" t="s">
        <v>123</v>
      </c>
      <c r="F755" s="16">
        <v>3</v>
      </c>
      <c r="G755" s="16">
        <f t="shared" si="43"/>
        <v>1</v>
      </c>
      <c r="H755" s="91">
        <v>1</v>
      </c>
    </row>
    <row r="756" spans="1:8" ht="13.5" customHeight="1" x14ac:dyDescent="0.3">
      <c r="A756" s="91">
        <f t="shared" si="44"/>
        <v>16413</v>
      </c>
      <c r="B756" s="15" t="s">
        <v>196</v>
      </c>
      <c r="C756" s="91"/>
      <c r="D756" s="91"/>
      <c r="E756" s="16" t="s">
        <v>123</v>
      </c>
      <c r="F756" s="16">
        <v>3</v>
      </c>
      <c r="G756" s="16">
        <f t="shared" si="43"/>
        <v>1</v>
      </c>
      <c r="H756" s="91">
        <v>1</v>
      </c>
    </row>
    <row r="757" spans="1:8" ht="13.5" customHeight="1" x14ac:dyDescent="0.3">
      <c r="A757" s="91">
        <f t="shared" si="44"/>
        <v>16414</v>
      </c>
      <c r="B757" s="128" t="s">
        <v>1065</v>
      </c>
      <c r="C757" s="3" t="s">
        <v>1066</v>
      </c>
      <c r="D757" s="91"/>
      <c r="E757" s="91" t="s">
        <v>91</v>
      </c>
      <c r="F757" s="91">
        <v>3</v>
      </c>
      <c r="G757" s="91">
        <f t="shared" si="43"/>
        <v>2</v>
      </c>
      <c r="H757" s="91">
        <v>1</v>
      </c>
    </row>
    <row r="758" spans="1:8" ht="13.5" customHeight="1" x14ac:dyDescent="0.3">
      <c r="A758" s="91">
        <f t="shared" si="44"/>
        <v>16416</v>
      </c>
      <c r="B758" s="128"/>
      <c r="C758" s="3" t="s">
        <v>442</v>
      </c>
      <c r="D758" s="91"/>
      <c r="E758" s="91" t="s">
        <v>123</v>
      </c>
      <c r="F758" s="91">
        <v>3</v>
      </c>
      <c r="G758" s="91">
        <f t="shared" si="43"/>
        <v>1</v>
      </c>
      <c r="H758" s="91">
        <v>1</v>
      </c>
    </row>
    <row r="759" spans="1:8" ht="13.5" customHeight="1" x14ac:dyDescent="0.3">
      <c r="A759" s="91">
        <f t="shared" si="44"/>
        <v>16417</v>
      </c>
      <c r="B759" s="128"/>
      <c r="C759" s="3" t="s">
        <v>443</v>
      </c>
      <c r="D759" s="91"/>
      <c r="E759" s="91" t="s">
        <v>123</v>
      </c>
      <c r="F759" s="91">
        <v>3</v>
      </c>
      <c r="G759" s="91">
        <f t="shared" si="43"/>
        <v>1</v>
      </c>
      <c r="H759" s="91">
        <v>1</v>
      </c>
    </row>
    <row r="760" spans="1:8" ht="13.5" customHeight="1" x14ac:dyDescent="0.3">
      <c r="A760" s="91">
        <f t="shared" si="44"/>
        <v>16418</v>
      </c>
      <c r="B760" s="128"/>
      <c r="C760" s="3" t="s">
        <v>1067</v>
      </c>
      <c r="D760" s="9" t="s">
        <v>1068</v>
      </c>
      <c r="E760" s="91" t="s">
        <v>123</v>
      </c>
      <c r="F760" s="91">
        <v>3</v>
      </c>
      <c r="G760" s="91">
        <f t="shared" si="43"/>
        <v>1</v>
      </c>
      <c r="H760" s="91">
        <v>1</v>
      </c>
    </row>
    <row r="761" spans="1:8" ht="13.5" customHeight="1" x14ac:dyDescent="0.3">
      <c r="A761" s="91">
        <f t="shared" si="44"/>
        <v>16419</v>
      </c>
      <c r="B761" s="128"/>
      <c r="C761" s="3" t="s">
        <v>440</v>
      </c>
      <c r="D761" s="91"/>
      <c r="E761" s="91" t="s">
        <v>123</v>
      </c>
      <c r="F761" s="91">
        <v>3</v>
      </c>
      <c r="G761" s="91">
        <f t="shared" si="43"/>
        <v>1</v>
      </c>
      <c r="H761" s="91">
        <v>1</v>
      </c>
    </row>
    <row r="762" spans="1:8" ht="13.5" customHeight="1" x14ac:dyDescent="0.3">
      <c r="A762" s="91">
        <f t="shared" si="44"/>
        <v>16420</v>
      </c>
      <c r="B762" s="128"/>
      <c r="C762" s="3" t="s">
        <v>441</v>
      </c>
      <c r="D762" s="91"/>
      <c r="E762" s="91" t="s">
        <v>437</v>
      </c>
      <c r="F762" s="91">
        <v>3</v>
      </c>
      <c r="G762" s="91">
        <f t="shared" si="43"/>
        <v>2</v>
      </c>
      <c r="H762" s="91">
        <v>1</v>
      </c>
    </row>
    <row r="763" spans="1:8" ht="13.5" customHeight="1" x14ac:dyDescent="0.3">
      <c r="A763" s="91">
        <f t="shared" si="44"/>
        <v>16422</v>
      </c>
      <c r="B763" s="128"/>
      <c r="C763" s="3" t="s">
        <v>272</v>
      </c>
      <c r="D763" s="91"/>
      <c r="E763" s="91" t="s">
        <v>437</v>
      </c>
      <c r="F763" s="91">
        <v>3</v>
      </c>
      <c r="G763" s="91">
        <f t="shared" si="43"/>
        <v>2</v>
      </c>
      <c r="H763" s="91">
        <v>1</v>
      </c>
    </row>
    <row r="764" spans="1:8" ht="13.5" customHeight="1" x14ac:dyDescent="0.3">
      <c r="A764" s="91">
        <f t="shared" si="44"/>
        <v>16424</v>
      </c>
      <c r="B764" s="128"/>
      <c r="C764" s="3" t="s">
        <v>273</v>
      </c>
      <c r="D764" s="91"/>
      <c r="E764" s="91" t="s">
        <v>437</v>
      </c>
      <c r="F764" s="91">
        <v>3</v>
      </c>
      <c r="G764" s="91">
        <f t="shared" si="43"/>
        <v>2</v>
      </c>
      <c r="H764" s="91">
        <v>1</v>
      </c>
    </row>
    <row r="765" spans="1:8" ht="13.5" customHeight="1" x14ac:dyDescent="0.3">
      <c r="A765" s="91">
        <f t="shared" si="44"/>
        <v>16426</v>
      </c>
      <c r="B765" s="128"/>
      <c r="C765" s="3" t="s">
        <v>1069</v>
      </c>
      <c r="D765" s="91"/>
      <c r="E765" s="91" t="s">
        <v>437</v>
      </c>
      <c r="F765" s="91">
        <v>3</v>
      </c>
      <c r="G765" s="91">
        <f t="shared" si="43"/>
        <v>2</v>
      </c>
      <c r="H765" s="91">
        <v>1</v>
      </c>
    </row>
    <row r="766" spans="1:8" ht="13.5" customHeight="1" x14ac:dyDescent="0.3">
      <c r="A766" s="91">
        <f t="shared" si="44"/>
        <v>16428</v>
      </c>
      <c r="B766" s="9" t="s">
        <v>1070</v>
      </c>
      <c r="C766" s="91"/>
      <c r="D766" s="91"/>
      <c r="E766" s="91" t="s">
        <v>123</v>
      </c>
      <c r="F766" s="16">
        <v>3</v>
      </c>
      <c r="G766" s="91">
        <v>1</v>
      </c>
      <c r="H766" s="91">
        <v>14</v>
      </c>
    </row>
    <row r="767" spans="1:8" ht="13.5" customHeight="1" x14ac:dyDescent="0.3">
      <c r="A767" s="91">
        <f t="shared" si="44"/>
        <v>16442</v>
      </c>
      <c r="B767" s="9" t="s">
        <v>1071</v>
      </c>
      <c r="C767" s="91"/>
      <c r="D767" s="91"/>
      <c r="E767" s="91" t="s">
        <v>123</v>
      </c>
      <c r="F767" s="16">
        <v>3</v>
      </c>
      <c r="G767" s="91">
        <v>1</v>
      </c>
      <c r="H767" s="91">
        <v>14</v>
      </c>
    </row>
    <row r="768" spans="1:8" ht="13.5" customHeight="1" x14ac:dyDescent="0.3">
      <c r="A768" s="91">
        <f t="shared" si="44"/>
        <v>16456</v>
      </c>
      <c r="B768" s="9" t="s">
        <v>1072</v>
      </c>
      <c r="C768" s="91"/>
      <c r="D768" s="91"/>
      <c r="E768" s="91" t="s">
        <v>123</v>
      </c>
      <c r="F768" s="16">
        <v>3</v>
      </c>
      <c r="G768" s="91">
        <v>1</v>
      </c>
      <c r="H768" s="91">
        <v>14</v>
      </c>
    </row>
    <row r="769" spans="1:8" ht="13.5" customHeight="1" x14ac:dyDescent="0.3">
      <c r="A769" s="91">
        <f t="shared" si="44"/>
        <v>16470</v>
      </c>
      <c r="B769" s="9" t="s">
        <v>1073</v>
      </c>
      <c r="C769" s="91"/>
      <c r="D769" s="91"/>
      <c r="E769" s="91" t="s">
        <v>123</v>
      </c>
      <c r="F769" s="16">
        <v>3</v>
      </c>
      <c r="G769" s="91">
        <v>1</v>
      </c>
      <c r="H769" s="91">
        <v>14</v>
      </c>
    </row>
    <row r="770" spans="1:8" ht="13.5" customHeight="1" x14ac:dyDescent="0.3">
      <c r="A770" s="91">
        <f t="shared" si="44"/>
        <v>16484</v>
      </c>
      <c r="B770" s="9" t="s">
        <v>1074</v>
      </c>
      <c r="C770" s="91"/>
      <c r="D770" s="91"/>
      <c r="E770" s="91" t="s">
        <v>123</v>
      </c>
      <c r="F770" s="16">
        <v>3</v>
      </c>
      <c r="G770" s="91">
        <v>1</v>
      </c>
      <c r="H770" s="91">
        <v>14</v>
      </c>
    </row>
    <row r="771" spans="1:8" ht="13.5" customHeight="1" x14ac:dyDescent="0.3">
      <c r="A771" s="91">
        <f t="shared" si="44"/>
        <v>16498</v>
      </c>
      <c r="B771" s="9" t="s">
        <v>1075</v>
      </c>
      <c r="C771" s="91"/>
      <c r="D771" s="91"/>
      <c r="E771" s="91" t="s">
        <v>123</v>
      </c>
      <c r="F771" s="16">
        <v>3</v>
      </c>
      <c r="G771" s="91">
        <v>1</v>
      </c>
      <c r="H771" s="91">
        <v>14</v>
      </c>
    </row>
    <row r="772" spans="1:8" ht="13.5" customHeight="1" x14ac:dyDescent="0.3">
      <c r="A772" s="91">
        <f t="shared" si="44"/>
        <v>16512</v>
      </c>
      <c r="B772" s="9" t="s">
        <v>1076</v>
      </c>
      <c r="C772" s="91"/>
      <c r="D772" s="91"/>
      <c r="E772" s="91" t="s">
        <v>123</v>
      </c>
      <c r="F772" s="16">
        <v>3</v>
      </c>
      <c r="G772" s="91">
        <v>1</v>
      </c>
      <c r="H772" s="91">
        <v>14</v>
      </c>
    </row>
    <row r="773" spans="1:8" ht="13.5" customHeight="1" x14ac:dyDescent="0.3">
      <c r="A773" s="91">
        <f t="shared" si="44"/>
        <v>16526</v>
      </c>
      <c r="B773" s="9" t="s">
        <v>1077</v>
      </c>
      <c r="C773" s="91"/>
      <c r="D773" s="91"/>
      <c r="E773" s="91" t="s">
        <v>123</v>
      </c>
      <c r="F773" s="16">
        <v>3</v>
      </c>
      <c r="G773" s="91">
        <v>1</v>
      </c>
      <c r="H773" s="91">
        <v>14</v>
      </c>
    </row>
    <row r="774" spans="1:8" ht="13.5" customHeight="1" x14ac:dyDescent="0.3">
      <c r="A774" s="91">
        <f t="shared" si="44"/>
        <v>16540</v>
      </c>
      <c r="B774" s="9" t="s">
        <v>1078</v>
      </c>
      <c r="C774" s="91"/>
      <c r="D774" s="91"/>
      <c r="E774" s="91" t="s">
        <v>123</v>
      </c>
      <c r="F774" s="16">
        <v>3</v>
      </c>
      <c r="G774" s="91">
        <v>1</v>
      </c>
      <c r="H774" s="91">
        <v>14</v>
      </c>
    </row>
    <row r="775" spans="1:8" ht="13.5" customHeight="1" x14ac:dyDescent="0.3">
      <c r="A775" s="91">
        <f t="shared" si="44"/>
        <v>16554</v>
      </c>
      <c r="B775" s="9" t="s">
        <v>1079</v>
      </c>
      <c r="C775" s="91"/>
      <c r="D775" s="91"/>
      <c r="E775" s="91" t="s">
        <v>123</v>
      </c>
      <c r="F775" s="16">
        <v>3</v>
      </c>
      <c r="G775" s="91">
        <v>1</v>
      </c>
      <c r="H775" s="91">
        <v>14</v>
      </c>
    </row>
    <row r="776" spans="1:8" ht="13.5" customHeight="1" x14ac:dyDescent="0.3">
      <c r="A776" s="91">
        <f t="shared" si="44"/>
        <v>16568</v>
      </c>
      <c r="B776" s="9" t="s">
        <v>1080</v>
      </c>
      <c r="C776" s="91"/>
      <c r="D776" s="91"/>
      <c r="E776" s="91" t="s">
        <v>123</v>
      </c>
      <c r="F776" s="16">
        <v>3</v>
      </c>
      <c r="G776" s="91">
        <v>1</v>
      </c>
      <c r="H776" s="91">
        <v>14</v>
      </c>
    </row>
    <row r="777" spans="1:8" ht="13.5" customHeight="1" x14ac:dyDescent="0.3">
      <c r="A777" s="91">
        <f t="shared" si="44"/>
        <v>16582</v>
      </c>
      <c r="B777" s="9" t="s">
        <v>1081</v>
      </c>
      <c r="C777" s="91"/>
      <c r="D777" s="91"/>
      <c r="E777" s="91" t="s">
        <v>123</v>
      </c>
      <c r="F777" s="16">
        <v>3</v>
      </c>
      <c r="G777" s="91">
        <v>1</v>
      </c>
      <c r="H777" s="91">
        <v>14</v>
      </c>
    </row>
    <row r="778" spans="1:8" ht="13.5" customHeight="1" x14ac:dyDescent="0.3">
      <c r="A778" s="91">
        <f t="shared" si="44"/>
        <v>16596</v>
      </c>
      <c r="B778" s="9" t="s">
        <v>1082</v>
      </c>
      <c r="C778" s="91"/>
      <c r="D778" s="91"/>
      <c r="E778" s="91" t="s">
        <v>123</v>
      </c>
      <c r="F778" s="16">
        <v>3</v>
      </c>
      <c r="G778" s="91">
        <v>1</v>
      </c>
      <c r="H778" s="91">
        <v>14</v>
      </c>
    </row>
    <row r="779" spans="1:8" ht="13.5" customHeight="1" x14ac:dyDescent="0.3">
      <c r="A779" s="91">
        <f t="shared" si="44"/>
        <v>16610</v>
      </c>
      <c r="B779" s="9" t="s">
        <v>1083</v>
      </c>
      <c r="C779" s="91"/>
      <c r="D779" s="91"/>
      <c r="E779" s="91" t="s">
        <v>123</v>
      </c>
      <c r="F779" s="16">
        <v>3</v>
      </c>
      <c r="G779" s="91">
        <v>1</v>
      </c>
      <c r="H779" s="91">
        <v>14</v>
      </c>
    </row>
    <row r="780" spans="1:8" ht="13.5" customHeight="1" x14ac:dyDescent="0.3">
      <c r="A780" s="91">
        <f t="shared" si="44"/>
        <v>16624</v>
      </c>
      <c r="B780" s="9" t="s">
        <v>1084</v>
      </c>
      <c r="C780" s="91"/>
      <c r="D780" s="91"/>
      <c r="E780" s="91" t="s">
        <v>123</v>
      </c>
      <c r="F780" s="16">
        <v>3</v>
      </c>
      <c r="G780" s="91">
        <v>1</v>
      </c>
      <c r="H780" s="91">
        <v>14</v>
      </c>
    </row>
    <row r="781" spans="1:8" ht="13.5" customHeight="1" x14ac:dyDescent="0.3">
      <c r="A781" s="91">
        <f t="shared" si="44"/>
        <v>16638</v>
      </c>
      <c r="B781" s="9" t="s">
        <v>1085</v>
      </c>
      <c r="C781" s="91"/>
      <c r="D781" s="91"/>
      <c r="E781" s="91" t="s">
        <v>123</v>
      </c>
      <c r="F781" s="16">
        <v>3</v>
      </c>
      <c r="G781" s="91">
        <v>1</v>
      </c>
      <c r="H781" s="91">
        <v>14</v>
      </c>
    </row>
    <row r="782" spans="1:8" ht="13.5" customHeight="1" x14ac:dyDescent="0.3">
      <c r="A782" s="91">
        <f t="shared" si="44"/>
        <v>16652</v>
      </c>
      <c r="B782" s="9" t="s">
        <v>1086</v>
      </c>
      <c r="C782" s="91"/>
      <c r="D782" s="91"/>
      <c r="E782" s="91" t="s">
        <v>123</v>
      </c>
      <c r="F782" s="16">
        <v>3</v>
      </c>
      <c r="G782" s="91">
        <v>1</v>
      </c>
      <c r="H782" s="91">
        <v>14</v>
      </c>
    </row>
    <row r="783" spans="1:8" ht="13.5" customHeight="1" x14ac:dyDescent="0.3">
      <c r="A783" s="91">
        <f t="shared" si="44"/>
        <v>16666</v>
      </c>
      <c r="B783" s="9" t="s">
        <v>1087</v>
      </c>
      <c r="C783" s="91"/>
      <c r="D783" s="91"/>
      <c r="E783" s="91" t="s">
        <v>123</v>
      </c>
      <c r="F783" s="16">
        <v>3</v>
      </c>
      <c r="G783" s="91">
        <v>1</v>
      </c>
      <c r="H783" s="91">
        <v>14</v>
      </c>
    </row>
    <row r="784" spans="1:8" ht="13.5" customHeight="1" x14ac:dyDescent="0.3">
      <c r="A784" s="91">
        <f t="shared" si="44"/>
        <v>16680</v>
      </c>
      <c r="B784" s="9" t="s">
        <v>1088</v>
      </c>
      <c r="C784" s="91"/>
      <c r="D784" s="91"/>
      <c r="E784" s="91" t="s">
        <v>123</v>
      </c>
      <c r="F784" s="16">
        <v>3</v>
      </c>
      <c r="G784" s="91">
        <v>1</v>
      </c>
      <c r="H784" s="91">
        <v>14</v>
      </c>
    </row>
    <row r="785" spans="1:8" ht="13.5" customHeight="1" x14ac:dyDescent="0.3">
      <c r="A785" s="91">
        <f t="shared" si="44"/>
        <v>16694</v>
      </c>
      <c r="B785" s="9" t="s">
        <v>1089</v>
      </c>
      <c r="C785" s="91"/>
      <c r="D785" s="91"/>
      <c r="E785" s="91" t="s">
        <v>123</v>
      </c>
      <c r="F785" s="16">
        <v>3</v>
      </c>
      <c r="G785" s="91">
        <v>1</v>
      </c>
      <c r="H785" s="91">
        <v>14</v>
      </c>
    </row>
    <row r="786" spans="1:8" ht="13.5" customHeight="1" x14ac:dyDescent="0.3">
      <c r="A786" s="91">
        <f t="shared" si="44"/>
        <v>16708</v>
      </c>
      <c r="B786" s="9" t="s">
        <v>1090</v>
      </c>
      <c r="C786" s="91"/>
      <c r="D786" s="91"/>
      <c r="E786" s="91" t="s">
        <v>123</v>
      </c>
      <c r="F786" s="16">
        <v>3</v>
      </c>
      <c r="G786" s="91">
        <v>1</v>
      </c>
      <c r="H786" s="91">
        <v>14</v>
      </c>
    </row>
    <row r="787" spans="1:8" ht="13.5" customHeight="1" x14ac:dyDescent="0.3">
      <c r="A787" s="91">
        <f t="shared" si="44"/>
        <v>16722</v>
      </c>
      <c r="B787" s="9" t="s">
        <v>1091</v>
      </c>
      <c r="C787" s="91"/>
      <c r="D787" s="91"/>
      <c r="E787" s="91" t="s">
        <v>123</v>
      </c>
      <c r="F787" s="16">
        <v>3</v>
      </c>
      <c r="G787" s="91">
        <v>1</v>
      </c>
      <c r="H787" s="91">
        <v>14</v>
      </c>
    </row>
    <row r="788" spans="1:8" ht="13.5" customHeight="1" x14ac:dyDescent="0.3">
      <c r="A788" s="91">
        <f t="shared" si="44"/>
        <v>16736</v>
      </c>
      <c r="B788" s="9" t="s">
        <v>1092</v>
      </c>
      <c r="C788" s="91"/>
      <c r="D788" s="91"/>
      <c r="E788" s="91" t="s">
        <v>123</v>
      </c>
      <c r="F788" s="16">
        <v>3</v>
      </c>
      <c r="G788" s="91">
        <v>1</v>
      </c>
      <c r="H788" s="91">
        <v>14</v>
      </c>
    </row>
    <row r="789" spans="1:8" ht="13.5" customHeight="1" x14ac:dyDescent="0.3">
      <c r="A789" s="91">
        <f t="shared" si="44"/>
        <v>16750</v>
      </c>
      <c r="B789" s="9" t="s">
        <v>1093</v>
      </c>
      <c r="C789" s="91"/>
      <c r="D789" s="91"/>
      <c r="E789" s="91" t="s">
        <v>123</v>
      </c>
      <c r="F789" s="16">
        <v>3</v>
      </c>
      <c r="G789" s="91">
        <v>1</v>
      </c>
      <c r="H789" s="91">
        <v>14</v>
      </c>
    </row>
    <row r="790" spans="1:8" ht="13.5" customHeight="1" x14ac:dyDescent="0.3">
      <c r="A790" s="91">
        <f t="shared" si="44"/>
        <v>16764</v>
      </c>
      <c r="B790" s="9" t="s">
        <v>1094</v>
      </c>
      <c r="C790" s="91"/>
      <c r="D790" s="91"/>
      <c r="E790" s="91" t="s">
        <v>123</v>
      </c>
      <c r="F790" s="16">
        <v>3</v>
      </c>
      <c r="G790" s="91">
        <v>1</v>
      </c>
      <c r="H790" s="91">
        <v>14</v>
      </c>
    </row>
    <row r="791" spans="1:8" ht="13.5" customHeight="1" x14ac:dyDescent="0.3">
      <c r="A791" s="91">
        <f t="shared" si="44"/>
        <v>16778</v>
      </c>
      <c r="B791" s="9" t="s">
        <v>1095</v>
      </c>
      <c r="C791" s="91"/>
      <c r="D791" s="91"/>
      <c r="E791" s="91" t="s">
        <v>123</v>
      </c>
      <c r="F791" s="16">
        <v>3</v>
      </c>
      <c r="G791" s="91">
        <v>1</v>
      </c>
      <c r="H791" s="91">
        <v>14</v>
      </c>
    </row>
    <row r="792" spans="1:8" ht="13.5" customHeight="1" x14ac:dyDescent="0.3">
      <c r="A792" s="91">
        <f t="shared" si="44"/>
        <v>16792</v>
      </c>
      <c r="B792" s="9" t="s">
        <v>1096</v>
      </c>
      <c r="C792" s="91"/>
      <c r="D792" s="91"/>
      <c r="E792" s="91" t="s">
        <v>123</v>
      </c>
      <c r="F792" s="16">
        <v>3</v>
      </c>
      <c r="G792" s="91">
        <v>1</v>
      </c>
      <c r="H792" s="91">
        <v>14</v>
      </c>
    </row>
    <row r="793" spans="1:8" ht="13.5" customHeight="1" x14ac:dyDescent="0.3">
      <c r="A793" s="91">
        <f t="shared" si="44"/>
        <v>16806</v>
      </c>
      <c r="B793" s="9" t="s">
        <v>1097</v>
      </c>
      <c r="C793" s="91"/>
      <c r="D793" s="91"/>
      <c r="E793" s="91" t="s">
        <v>123</v>
      </c>
      <c r="F793" s="16">
        <v>3</v>
      </c>
      <c r="G793" s="91">
        <v>1</v>
      </c>
      <c r="H793" s="91">
        <v>14</v>
      </c>
    </row>
    <row r="794" spans="1:8" ht="13.5" customHeight="1" x14ac:dyDescent="0.3">
      <c r="A794" s="91">
        <f t="shared" si="44"/>
        <v>16820</v>
      </c>
      <c r="B794" s="9" t="s">
        <v>1098</v>
      </c>
      <c r="C794" s="91"/>
      <c r="D794" s="91"/>
      <c r="E794" s="91" t="s">
        <v>123</v>
      </c>
      <c r="F794" s="16">
        <v>3</v>
      </c>
      <c r="G794" s="91">
        <v>1</v>
      </c>
      <c r="H794" s="91">
        <v>14</v>
      </c>
    </row>
    <row r="795" spans="1:8" ht="13.5" customHeight="1" x14ac:dyDescent="0.3">
      <c r="A795" s="91">
        <f t="shared" si="44"/>
        <v>16834</v>
      </c>
      <c r="B795" s="9" t="s">
        <v>1099</v>
      </c>
      <c r="C795" s="91"/>
      <c r="D795" s="91"/>
      <c r="E795" s="91" t="s">
        <v>123</v>
      </c>
      <c r="F795" s="16">
        <v>3</v>
      </c>
      <c r="G795" s="91">
        <v>1</v>
      </c>
      <c r="H795" s="91">
        <v>14</v>
      </c>
    </row>
    <row r="796" spans="1:8" ht="13.5" customHeight="1" x14ac:dyDescent="0.3">
      <c r="A796" s="91">
        <f t="shared" si="44"/>
        <v>16848</v>
      </c>
      <c r="B796" s="9" t="s">
        <v>1100</v>
      </c>
      <c r="C796" s="91"/>
      <c r="D796" s="91"/>
      <c r="E796" s="91" t="s">
        <v>123</v>
      </c>
      <c r="F796" s="16">
        <v>3</v>
      </c>
      <c r="G796" s="91">
        <v>1</v>
      </c>
      <c r="H796" s="91">
        <v>14</v>
      </c>
    </row>
    <row r="797" spans="1:8" ht="13.5" customHeight="1" x14ac:dyDescent="0.3">
      <c r="A797" s="91">
        <f t="shared" si="44"/>
        <v>16862</v>
      </c>
      <c r="B797" s="9"/>
      <c r="C797" s="91"/>
      <c r="D797" s="91"/>
      <c r="E797" s="91" t="s">
        <v>123</v>
      </c>
      <c r="F797" s="16">
        <v>3</v>
      </c>
      <c r="G797" s="91">
        <v>1</v>
      </c>
      <c r="H797" s="91">
        <v>8</v>
      </c>
    </row>
    <row r="798" spans="1:8" ht="15.95" customHeight="1" x14ac:dyDescent="0.3">
      <c r="A798" s="127" t="s">
        <v>657</v>
      </c>
      <c r="B798" s="127"/>
      <c r="C798" s="127"/>
      <c r="D798" s="127"/>
      <c r="E798" s="127"/>
      <c r="F798" s="127"/>
      <c r="G798" s="127"/>
      <c r="H798" s="127"/>
    </row>
    <row r="799" spans="1:8" ht="13.5" customHeight="1" thickBot="1" x14ac:dyDescent="0.35">
      <c r="A799" s="132" t="s">
        <v>515</v>
      </c>
      <c r="B799" s="132"/>
      <c r="C799" s="132"/>
      <c r="D799" s="132"/>
      <c r="E799" s="132"/>
      <c r="F799" s="132"/>
      <c r="G799" s="132"/>
      <c r="H799" s="132"/>
    </row>
    <row r="800" spans="1:8" ht="15" customHeight="1" x14ac:dyDescent="0.3">
      <c r="A800" s="78">
        <f>A797+(G797*H797)</f>
        <v>16870</v>
      </c>
      <c r="B800" s="79" t="s">
        <v>204</v>
      </c>
      <c r="C800" s="80" t="s">
        <v>582</v>
      </c>
      <c r="D800" s="80"/>
      <c r="E800" s="81" t="s">
        <v>123</v>
      </c>
      <c r="F800" s="81" t="s">
        <v>1062</v>
      </c>
      <c r="G800" s="81">
        <f t="shared" ref="G800:G814" si="45">IF(OR(E800="U16", E800="S16"),1,IF(E800="TS",6,2))</f>
        <v>1</v>
      </c>
      <c r="H800" s="82">
        <v>1</v>
      </c>
    </row>
    <row r="801" spans="1:8" ht="15" customHeight="1" x14ac:dyDescent="0.3">
      <c r="A801" s="83">
        <f t="shared" ref="A801:A819" si="46">A800+(G800*H800)</f>
        <v>16871</v>
      </c>
      <c r="B801" s="11" t="s">
        <v>205</v>
      </c>
      <c r="C801" s="35" t="s">
        <v>587</v>
      </c>
      <c r="D801" s="35"/>
      <c r="E801" s="16" t="s">
        <v>123</v>
      </c>
      <c r="F801" s="16" t="s">
        <v>1062</v>
      </c>
      <c r="G801" s="16">
        <f t="shared" si="45"/>
        <v>1</v>
      </c>
      <c r="H801" s="84">
        <v>1</v>
      </c>
    </row>
    <row r="802" spans="1:8" ht="48.75" customHeight="1" x14ac:dyDescent="0.3">
      <c r="A802" s="83">
        <f t="shared" si="46"/>
        <v>16872</v>
      </c>
      <c r="B802" s="11" t="s">
        <v>208</v>
      </c>
      <c r="C802" s="35" t="s">
        <v>596</v>
      </c>
      <c r="D802" s="35"/>
      <c r="E802" s="16" t="s">
        <v>123</v>
      </c>
      <c r="F802" s="16" t="s">
        <v>1061</v>
      </c>
      <c r="G802" s="16">
        <f t="shared" si="45"/>
        <v>1</v>
      </c>
      <c r="H802" s="84">
        <v>1</v>
      </c>
    </row>
    <row r="803" spans="1:8" ht="15" customHeight="1" x14ac:dyDescent="0.3">
      <c r="A803" s="83">
        <f t="shared" si="46"/>
        <v>16873</v>
      </c>
      <c r="B803" s="11" t="s">
        <v>588</v>
      </c>
      <c r="C803" s="35"/>
      <c r="D803" s="35"/>
      <c r="E803" s="16" t="s">
        <v>123</v>
      </c>
      <c r="F803" s="16" t="s">
        <v>1061</v>
      </c>
      <c r="G803" s="16">
        <f>IF(OR(E803="U16", E803="S16"),1,IF(E803="TS",6,2))</f>
        <v>1</v>
      </c>
      <c r="H803" s="84">
        <v>1</v>
      </c>
    </row>
    <row r="804" spans="1:8" ht="15" customHeight="1" thickBot="1" x14ac:dyDescent="0.35">
      <c r="A804" s="85">
        <f t="shared" si="46"/>
        <v>16874</v>
      </c>
      <c r="B804" s="86" t="s">
        <v>41</v>
      </c>
      <c r="C804" s="87"/>
      <c r="D804" s="87"/>
      <c r="E804" s="88" t="s">
        <v>123</v>
      </c>
      <c r="F804" s="88" t="s">
        <v>1061</v>
      </c>
      <c r="G804" s="88">
        <f>IF(OR(E804="U16", E804="S16"),1,IF(E804="TS",6,2))</f>
        <v>1</v>
      </c>
      <c r="H804" s="89">
        <v>2</v>
      </c>
    </row>
    <row r="805" spans="1:8" ht="15" customHeight="1" x14ac:dyDescent="0.3">
      <c r="A805" s="78">
        <f t="shared" si="46"/>
        <v>16876</v>
      </c>
      <c r="B805" s="79" t="s">
        <v>218</v>
      </c>
      <c r="C805" s="80" t="s">
        <v>584</v>
      </c>
      <c r="D805" s="80"/>
      <c r="E805" s="81" t="s">
        <v>123</v>
      </c>
      <c r="F805" s="81" t="s">
        <v>1061</v>
      </c>
      <c r="G805" s="81">
        <f t="shared" si="45"/>
        <v>1</v>
      </c>
      <c r="H805" s="82">
        <v>1</v>
      </c>
    </row>
    <row r="806" spans="1:8" ht="15" customHeight="1" x14ac:dyDescent="0.3">
      <c r="A806" s="83">
        <f t="shared" si="46"/>
        <v>16877</v>
      </c>
      <c r="B806" s="11" t="s">
        <v>206</v>
      </c>
      <c r="C806" s="35" t="s">
        <v>587</v>
      </c>
      <c r="D806" s="35"/>
      <c r="E806" s="16" t="s">
        <v>123</v>
      </c>
      <c r="F806" s="16" t="s">
        <v>1061</v>
      </c>
      <c r="G806" s="16">
        <f t="shared" si="45"/>
        <v>1</v>
      </c>
      <c r="H806" s="84">
        <v>1</v>
      </c>
    </row>
    <row r="807" spans="1:8" ht="58.5" customHeight="1" x14ac:dyDescent="0.3">
      <c r="A807" s="83">
        <f t="shared" si="46"/>
        <v>16878</v>
      </c>
      <c r="B807" s="11" t="s">
        <v>208</v>
      </c>
      <c r="C807" s="35" t="s">
        <v>596</v>
      </c>
      <c r="D807" s="35"/>
      <c r="E807" s="16" t="s">
        <v>123</v>
      </c>
      <c r="F807" s="16" t="s">
        <v>1061</v>
      </c>
      <c r="G807" s="16">
        <f t="shared" si="45"/>
        <v>1</v>
      </c>
      <c r="H807" s="84">
        <v>1</v>
      </c>
    </row>
    <row r="808" spans="1:8" ht="15" customHeight="1" x14ac:dyDescent="0.3">
      <c r="A808" s="83">
        <f t="shared" si="46"/>
        <v>16879</v>
      </c>
      <c r="B808" s="11" t="s">
        <v>588</v>
      </c>
      <c r="C808" s="35"/>
      <c r="D808" s="35"/>
      <c r="E808" s="16" t="s">
        <v>123</v>
      </c>
      <c r="F808" s="16" t="s">
        <v>1061</v>
      </c>
      <c r="G808" s="16">
        <f t="shared" si="45"/>
        <v>1</v>
      </c>
      <c r="H808" s="84">
        <v>1</v>
      </c>
    </row>
    <row r="809" spans="1:8" ht="15" customHeight="1" thickBot="1" x14ac:dyDescent="0.35">
      <c r="A809" s="85">
        <f t="shared" si="46"/>
        <v>16880</v>
      </c>
      <c r="B809" s="86"/>
      <c r="C809" s="87"/>
      <c r="D809" s="87"/>
      <c r="E809" s="88" t="s">
        <v>123</v>
      </c>
      <c r="F809" s="88" t="s">
        <v>1061</v>
      </c>
      <c r="G809" s="88">
        <f t="shared" si="45"/>
        <v>1</v>
      </c>
      <c r="H809" s="89">
        <v>2</v>
      </c>
    </row>
    <row r="810" spans="1:8" ht="15" customHeight="1" x14ac:dyDescent="0.3">
      <c r="A810" s="78">
        <f t="shared" si="46"/>
        <v>16882</v>
      </c>
      <c r="B810" s="79" t="s">
        <v>583</v>
      </c>
      <c r="C810" s="80" t="s">
        <v>585</v>
      </c>
      <c r="D810" s="80"/>
      <c r="E810" s="81" t="s">
        <v>123</v>
      </c>
      <c r="F810" s="81" t="s">
        <v>1061</v>
      </c>
      <c r="G810" s="81">
        <f t="shared" si="45"/>
        <v>1</v>
      </c>
      <c r="H810" s="82">
        <v>1</v>
      </c>
    </row>
    <row r="811" spans="1:8" ht="15" customHeight="1" x14ac:dyDescent="0.3">
      <c r="A811" s="83">
        <f t="shared" si="46"/>
        <v>16883</v>
      </c>
      <c r="B811" s="11" t="s">
        <v>207</v>
      </c>
      <c r="C811" s="35" t="s">
        <v>587</v>
      </c>
      <c r="D811" s="35"/>
      <c r="E811" s="16" t="s">
        <v>123</v>
      </c>
      <c r="F811" s="16" t="s">
        <v>1061</v>
      </c>
      <c r="G811" s="16">
        <f t="shared" si="45"/>
        <v>1</v>
      </c>
      <c r="H811" s="84">
        <v>1</v>
      </c>
    </row>
    <row r="812" spans="1:8" ht="50.25" customHeight="1" x14ac:dyDescent="0.3">
      <c r="A812" s="83">
        <f t="shared" si="46"/>
        <v>16884</v>
      </c>
      <c r="B812" s="11" t="s">
        <v>208</v>
      </c>
      <c r="C812" s="35" t="s">
        <v>596</v>
      </c>
      <c r="D812" s="35"/>
      <c r="E812" s="16" t="s">
        <v>123</v>
      </c>
      <c r="F812" s="16" t="s">
        <v>1061</v>
      </c>
      <c r="G812" s="16">
        <f t="shared" si="45"/>
        <v>1</v>
      </c>
      <c r="H812" s="84">
        <v>1</v>
      </c>
    </row>
    <row r="813" spans="1:8" ht="15" customHeight="1" x14ac:dyDescent="0.3">
      <c r="A813" s="83">
        <f t="shared" si="46"/>
        <v>16885</v>
      </c>
      <c r="B813" s="11" t="s">
        <v>588</v>
      </c>
      <c r="C813" s="35"/>
      <c r="D813" s="35"/>
      <c r="E813" s="16" t="s">
        <v>123</v>
      </c>
      <c r="F813" s="16" t="s">
        <v>1061</v>
      </c>
      <c r="G813" s="16">
        <f t="shared" si="45"/>
        <v>1</v>
      </c>
      <c r="H813" s="84">
        <v>1</v>
      </c>
    </row>
    <row r="814" spans="1:8" ht="15" customHeight="1" thickBot="1" x14ac:dyDescent="0.35">
      <c r="A814" s="85">
        <f t="shared" si="46"/>
        <v>16886</v>
      </c>
      <c r="B814" s="86"/>
      <c r="C814" s="87"/>
      <c r="D814" s="87"/>
      <c r="E814" s="88" t="s">
        <v>123</v>
      </c>
      <c r="F814" s="88" t="s">
        <v>1061</v>
      </c>
      <c r="G814" s="88">
        <f t="shared" si="45"/>
        <v>1</v>
      </c>
      <c r="H814" s="89">
        <v>2</v>
      </c>
    </row>
    <row r="815" spans="1:8" ht="15" customHeight="1" x14ac:dyDescent="0.3">
      <c r="A815" s="78">
        <f t="shared" si="46"/>
        <v>16888</v>
      </c>
      <c r="B815" s="79" t="s">
        <v>219</v>
      </c>
      <c r="C815" s="80" t="s">
        <v>586</v>
      </c>
      <c r="D815" s="80"/>
      <c r="E815" s="81" t="s">
        <v>123</v>
      </c>
      <c r="F815" s="81" t="s">
        <v>1061</v>
      </c>
      <c r="G815" s="81">
        <f>IF(OR(E815="U16", E815="S16"),1,IF(E815="TS",6,2))</f>
        <v>1</v>
      </c>
      <c r="H815" s="82">
        <v>1</v>
      </c>
    </row>
    <row r="816" spans="1:8" ht="15" customHeight="1" x14ac:dyDescent="0.3">
      <c r="A816" s="83">
        <f t="shared" si="46"/>
        <v>16889</v>
      </c>
      <c r="B816" s="11" t="s">
        <v>220</v>
      </c>
      <c r="C816" s="35" t="s">
        <v>587</v>
      </c>
      <c r="D816" s="35"/>
      <c r="E816" s="16" t="s">
        <v>123</v>
      </c>
      <c r="F816" s="16" t="s">
        <v>1061</v>
      </c>
      <c r="G816" s="16">
        <f>IF(OR(E816="U16", E816="S16"),1,IF(E816="TS",6,2))</f>
        <v>1</v>
      </c>
      <c r="H816" s="84">
        <v>1</v>
      </c>
    </row>
    <row r="817" spans="1:8" ht="42" customHeight="1" x14ac:dyDescent="0.3">
      <c r="A817" s="83">
        <f t="shared" si="46"/>
        <v>16890</v>
      </c>
      <c r="B817" s="11" t="s">
        <v>208</v>
      </c>
      <c r="C817" s="35" t="s">
        <v>596</v>
      </c>
      <c r="D817" s="35"/>
      <c r="E817" s="16" t="s">
        <v>123</v>
      </c>
      <c r="F817" s="16" t="s">
        <v>1061</v>
      </c>
      <c r="G817" s="16">
        <f>IF(OR(E817="U16", E817="S16"),1,IF(E817="TS",6,2))</f>
        <v>1</v>
      </c>
      <c r="H817" s="84">
        <v>1</v>
      </c>
    </row>
    <row r="818" spans="1:8" ht="15" customHeight="1" x14ac:dyDescent="0.3">
      <c r="A818" s="83">
        <f t="shared" si="46"/>
        <v>16891</v>
      </c>
      <c r="B818" s="11" t="s">
        <v>588</v>
      </c>
      <c r="C818" s="35"/>
      <c r="D818" s="35"/>
      <c r="E818" s="16" t="s">
        <v>123</v>
      </c>
      <c r="F818" s="16" t="s">
        <v>1061</v>
      </c>
      <c r="G818" s="16">
        <f>IF(OR(E818="U16", E818="S16"),1,IF(E818="TS",6,2))</f>
        <v>1</v>
      </c>
      <c r="H818" s="84">
        <v>1</v>
      </c>
    </row>
    <row r="819" spans="1:8" ht="15" customHeight="1" thickBot="1" x14ac:dyDescent="0.35">
      <c r="A819" s="85">
        <f t="shared" si="46"/>
        <v>16892</v>
      </c>
      <c r="B819" s="86"/>
      <c r="C819" s="90"/>
      <c r="D819" s="90"/>
      <c r="E819" s="88" t="s">
        <v>123</v>
      </c>
      <c r="F819" s="88" t="s">
        <v>1061</v>
      </c>
      <c r="G819" s="88">
        <f>IF(OR(E819="U16", E819="S16"),1,IF(E819="TS",6,2))</f>
        <v>1</v>
      </c>
      <c r="H819" s="89">
        <v>2</v>
      </c>
    </row>
    <row r="820" spans="1:8" ht="13.5" customHeight="1" x14ac:dyDescent="0.3">
      <c r="A820" s="131" t="s">
        <v>385</v>
      </c>
      <c r="B820" s="131"/>
      <c r="C820" s="131"/>
      <c r="D820" s="131"/>
      <c r="E820" s="131"/>
      <c r="F820" s="131"/>
      <c r="G820" s="131"/>
      <c r="H820" s="131"/>
    </row>
    <row r="821" spans="1:8" ht="13.5" customHeight="1" x14ac:dyDescent="0.3">
      <c r="A821" s="91">
        <f>A819+(G819*H819)</f>
        <v>16894</v>
      </c>
      <c r="B821" s="11" t="s">
        <v>390</v>
      </c>
      <c r="C821" s="35" t="s">
        <v>581</v>
      </c>
      <c r="D821" s="35"/>
      <c r="E821" s="16" t="s">
        <v>123</v>
      </c>
      <c r="F821" s="16" t="s">
        <v>1061</v>
      </c>
      <c r="G821" s="16">
        <f t="shared" ref="G821:G829" si="47">IF(OR(E821="U16", E821="S16"),1,IF(E821="TS",6,2))</f>
        <v>1</v>
      </c>
      <c r="H821" s="91">
        <v>1</v>
      </c>
    </row>
    <row r="822" spans="1:8" ht="13.5" customHeight="1" x14ac:dyDescent="0.3">
      <c r="A822" s="91">
        <f>A821+(G821*H821)</f>
        <v>16895</v>
      </c>
      <c r="B822" s="11" t="s">
        <v>391</v>
      </c>
      <c r="C822" s="35" t="s">
        <v>579</v>
      </c>
      <c r="D822" s="35"/>
      <c r="E822" s="16" t="s">
        <v>123</v>
      </c>
      <c r="F822" s="16" t="s">
        <v>1061</v>
      </c>
      <c r="G822" s="16">
        <f t="shared" si="47"/>
        <v>1</v>
      </c>
      <c r="H822" s="91">
        <v>1</v>
      </c>
    </row>
    <row r="823" spans="1:8" ht="13.5" customHeight="1" x14ac:dyDescent="0.3">
      <c r="A823" s="91">
        <f t="shared" ref="A823:A829" si="48">A822+(G822*H822)</f>
        <v>16896</v>
      </c>
      <c r="B823" s="11" t="s">
        <v>392</v>
      </c>
      <c r="C823" s="35" t="s">
        <v>580</v>
      </c>
      <c r="D823" s="35"/>
      <c r="E823" s="16" t="s">
        <v>123</v>
      </c>
      <c r="F823" s="16" t="s">
        <v>1061</v>
      </c>
      <c r="G823" s="16">
        <f t="shared" si="47"/>
        <v>1</v>
      </c>
      <c r="H823" s="91">
        <v>1</v>
      </c>
    </row>
    <row r="824" spans="1:8" ht="13.5" customHeight="1" x14ac:dyDescent="0.3">
      <c r="A824" s="91">
        <f t="shared" si="48"/>
        <v>16897</v>
      </c>
      <c r="B824" s="11" t="s">
        <v>393</v>
      </c>
      <c r="C824" s="35" t="s">
        <v>594</v>
      </c>
      <c r="D824" s="35"/>
      <c r="E824" s="16" t="s">
        <v>123</v>
      </c>
      <c r="F824" s="16" t="s">
        <v>1061</v>
      </c>
      <c r="G824" s="16">
        <f t="shared" si="47"/>
        <v>1</v>
      </c>
      <c r="H824" s="91">
        <v>1</v>
      </c>
    </row>
    <row r="825" spans="1:8" ht="13.5" customHeight="1" x14ac:dyDescent="0.3">
      <c r="A825" s="91">
        <f t="shared" si="48"/>
        <v>16898</v>
      </c>
      <c r="B825" s="11" t="s">
        <v>386</v>
      </c>
      <c r="C825" s="35" t="s">
        <v>581</v>
      </c>
      <c r="D825" s="35"/>
      <c r="E825" s="16" t="s">
        <v>123</v>
      </c>
      <c r="F825" s="16" t="s">
        <v>1061</v>
      </c>
      <c r="G825" s="16">
        <f t="shared" si="47"/>
        <v>1</v>
      </c>
      <c r="H825" s="91">
        <v>1</v>
      </c>
    </row>
    <row r="826" spans="1:8" ht="13.5" customHeight="1" x14ac:dyDescent="0.3">
      <c r="A826" s="91">
        <f t="shared" si="48"/>
        <v>16899</v>
      </c>
      <c r="B826" s="11" t="s">
        <v>387</v>
      </c>
      <c r="C826" s="35" t="s">
        <v>579</v>
      </c>
      <c r="D826" s="35"/>
      <c r="E826" s="16" t="s">
        <v>123</v>
      </c>
      <c r="F826" s="16" t="s">
        <v>1061</v>
      </c>
      <c r="G826" s="16">
        <f t="shared" si="47"/>
        <v>1</v>
      </c>
      <c r="H826" s="91">
        <v>1</v>
      </c>
    </row>
    <row r="827" spans="1:8" ht="13.5" customHeight="1" x14ac:dyDescent="0.3">
      <c r="A827" s="91">
        <f t="shared" si="48"/>
        <v>16900</v>
      </c>
      <c r="B827" s="11" t="s">
        <v>388</v>
      </c>
      <c r="C827" s="35" t="s">
        <v>580</v>
      </c>
      <c r="D827" s="35"/>
      <c r="E827" s="16" t="s">
        <v>123</v>
      </c>
      <c r="F827" s="16" t="s">
        <v>1061</v>
      </c>
      <c r="G827" s="16">
        <f t="shared" si="47"/>
        <v>1</v>
      </c>
      <c r="H827" s="91">
        <v>1</v>
      </c>
    </row>
    <row r="828" spans="1:8" ht="13.5" customHeight="1" x14ac:dyDescent="0.3">
      <c r="A828" s="91">
        <f t="shared" si="48"/>
        <v>16901</v>
      </c>
      <c r="B828" s="11" t="s">
        <v>389</v>
      </c>
      <c r="C828" s="35" t="s">
        <v>594</v>
      </c>
      <c r="D828" s="35"/>
      <c r="E828" s="16" t="s">
        <v>123</v>
      </c>
      <c r="F828" s="16" t="s">
        <v>1061</v>
      </c>
      <c r="G828" s="16">
        <f t="shared" si="47"/>
        <v>1</v>
      </c>
      <c r="H828" s="91">
        <v>1</v>
      </c>
    </row>
    <row r="829" spans="1:8" ht="13.5" customHeight="1" x14ac:dyDescent="0.3">
      <c r="A829" s="91">
        <f t="shared" si="48"/>
        <v>16902</v>
      </c>
      <c r="B829" s="11"/>
      <c r="C829" s="91"/>
      <c r="D829" s="91"/>
      <c r="E829" s="16" t="s">
        <v>123</v>
      </c>
      <c r="F829" s="16" t="s">
        <v>1061</v>
      </c>
      <c r="G829" s="16">
        <f t="shared" si="47"/>
        <v>1</v>
      </c>
      <c r="H829" s="91">
        <v>12</v>
      </c>
    </row>
    <row r="830" spans="1:8" ht="13.5" customHeight="1" x14ac:dyDescent="0.3">
      <c r="A830" s="122" t="s">
        <v>512</v>
      </c>
      <c r="B830" s="122"/>
      <c r="C830" s="122"/>
      <c r="D830" s="122"/>
      <c r="E830" s="122"/>
      <c r="F830" s="122"/>
      <c r="G830" s="122"/>
      <c r="H830" s="122"/>
    </row>
    <row r="831" spans="1:8" ht="13.5" customHeight="1" x14ac:dyDescent="0.3">
      <c r="A831" s="134" t="s">
        <v>513</v>
      </c>
      <c r="B831" s="134"/>
      <c r="C831" s="134"/>
      <c r="D831" s="134"/>
      <c r="E831" s="134"/>
      <c r="F831" s="134"/>
      <c r="G831" s="134"/>
      <c r="H831" s="134"/>
    </row>
    <row r="832" spans="1:8" ht="13.5" customHeight="1" x14ac:dyDescent="0.3">
      <c r="A832" s="91">
        <f>A829+G829*H829</f>
        <v>16914</v>
      </c>
      <c r="B832" s="13" t="s">
        <v>224</v>
      </c>
      <c r="C832" s="91"/>
      <c r="D832" s="91"/>
      <c r="E832" s="16" t="s">
        <v>123</v>
      </c>
      <c r="F832" s="16" t="s">
        <v>1061</v>
      </c>
      <c r="G832" s="16">
        <f>IF(OR(E832="U16", E832="S16"),1,IF(E832="TS",6,2))</f>
        <v>1</v>
      </c>
      <c r="H832" s="91">
        <v>1</v>
      </c>
    </row>
    <row r="833" spans="1:8" ht="13.5" customHeight="1" x14ac:dyDescent="0.3">
      <c r="A833" s="91">
        <f>A832+(G832*H832)</f>
        <v>16915</v>
      </c>
      <c r="B833" s="13" t="s">
        <v>225</v>
      </c>
      <c r="C833" s="91"/>
      <c r="D833" s="91"/>
      <c r="E833" s="16" t="s">
        <v>123</v>
      </c>
      <c r="F833" s="16" t="s">
        <v>1061</v>
      </c>
      <c r="G833" s="16">
        <f>IF(OR(E833="U16", E833="S16"),1,IF(E833="TS",6,2))</f>
        <v>1</v>
      </c>
      <c r="H833" s="91">
        <v>1</v>
      </c>
    </row>
    <row r="834" spans="1:8" ht="13.5" customHeight="1" x14ac:dyDescent="0.3">
      <c r="A834" s="91">
        <f>A833+(G833*H833)</f>
        <v>16916</v>
      </c>
      <c r="B834" s="13" t="s">
        <v>226</v>
      </c>
      <c r="C834" s="91"/>
      <c r="D834" s="91"/>
      <c r="E834" s="16" t="s">
        <v>123</v>
      </c>
      <c r="F834" s="16" t="s">
        <v>1061</v>
      </c>
      <c r="G834" s="16">
        <f>IF(OR(E834="U16", E834="S16"),1,IF(E834="TS",6,2))</f>
        <v>1</v>
      </c>
      <c r="H834" s="91">
        <v>1</v>
      </c>
    </row>
    <row r="835" spans="1:8" ht="13.5" customHeight="1" x14ac:dyDescent="0.3">
      <c r="A835" s="91">
        <f>A834+(G834*H834)</f>
        <v>16917</v>
      </c>
      <c r="B835" s="13" t="s">
        <v>227</v>
      </c>
      <c r="C835" s="91"/>
      <c r="D835" s="91"/>
      <c r="E835" s="16" t="s">
        <v>123</v>
      </c>
      <c r="F835" s="16" t="s">
        <v>1061</v>
      </c>
      <c r="G835" s="16">
        <f>IF(OR(E835="U16", E835="S16"),1,IF(E835="TS",6,2))</f>
        <v>1</v>
      </c>
      <c r="H835" s="91">
        <v>1</v>
      </c>
    </row>
    <row r="836" spans="1:8" ht="13.5" customHeight="1" x14ac:dyDescent="0.3">
      <c r="A836" s="134" t="s">
        <v>514</v>
      </c>
      <c r="B836" s="134"/>
      <c r="C836" s="134"/>
      <c r="D836" s="134"/>
      <c r="E836" s="134"/>
      <c r="F836" s="134"/>
      <c r="G836" s="134"/>
      <c r="H836" s="134"/>
    </row>
    <row r="837" spans="1:8" ht="13.5" customHeight="1" x14ac:dyDescent="0.3">
      <c r="A837" s="91">
        <f>A835+(G835*H835)</f>
        <v>16918</v>
      </c>
      <c r="B837" s="13" t="s">
        <v>228</v>
      </c>
      <c r="C837" s="91"/>
      <c r="D837" s="91"/>
      <c r="E837" s="16" t="s">
        <v>123</v>
      </c>
      <c r="F837" s="16" t="s">
        <v>1061</v>
      </c>
      <c r="G837" s="16">
        <f>IF(OR(E837="U16", E837="S16"),1,IF(E837="TS",6,2))</f>
        <v>1</v>
      </c>
      <c r="H837" s="91">
        <v>1</v>
      </c>
    </row>
    <row r="838" spans="1:8" ht="13.5" customHeight="1" x14ac:dyDescent="0.3">
      <c r="A838" s="91">
        <f>A837+(G837*H837)</f>
        <v>16919</v>
      </c>
      <c r="B838" s="13" t="s">
        <v>229</v>
      </c>
      <c r="C838" s="91"/>
      <c r="D838" s="91"/>
      <c r="E838" s="16" t="s">
        <v>123</v>
      </c>
      <c r="F838" s="16" t="s">
        <v>1061</v>
      </c>
      <c r="G838" s="16">
        <f>IF(OR(E838="U16", E838="S16"),1,IF(E838="TS",6,2))</f>
        <v>1</v>
      </c>
      <c r="H838" s="91">
        <v>1</v>
      </c>
    </row>
    <row r="839" spans="1:8" ht="13.5" customHeight="1" x14ac:dyDescent="0.3">
      <c r="A839" s="91">
        <f>A838+(G838*H838)</f>
        <v>16920</v>
      </c>
      <c r="B839" s="13" t="s">
        <v>230</v>
      </c>
      <c r="C839" s="91"/>
      <c r="D839" s="91"/>
      <c r="E839" s="16" t="s">
        <v>123</v>
      </c>
      <c r="F839" s="16" t="s">
        <v>1061</v>
      </c>
      <c r="G839" s="16">
        <f>IF(OR(E839="U16", E839="S16"),1,IF(E839="TS",6,2))</f>
        <v>1</v>
      </c>
      <c r="H839" s="91">
        <v>1</v>
      </c>
    </row>
    <row r="840" spans="1:8" ht="13.5" customHeight="1" x14ac:dyDescent="0.3">
      <c r="A840" s="91">
        <f>A839+(G839*H839)</f>
        <v>16921</v>
      </c>
      <c r="B840" s="13" t="s">
        <v>231</v>
      </c>
      <c r="C840" s="91"/>
      <c r="D840" s="91"/>
      <c r="E840" s="16" t="s">
        <v>123</v>
      </c>
      <c r="F840" s="16" t="s">
        <v>1061</v>
      </c>
      <c r="G840" s="16">
        <f>IF(OR(E840="U16", E840="S16"),1,IF(E840="TS",6,2))</f>
        <v>1</v>
      </c>
      <c r="H840" s="91">
        <v>1</v>
      </c>
    </row>
    <row r="841" spans="1:8" ht="13.5" customHeight="1" x14ac:dyDescent="0.3">
      <c r="A841" s="91">
        <f>A840+(G840*H840)</f>
        <v>16922</v>
      </c>
      <c r="B841" s="13"/>
      <c r="C841" s="91"/>
      <c r="D841" s="91"/>
      <c r="E841" s="16" t="s">
        <v>123</v>
      </c>
      <c r="F841" s="16" t="s">
        <v>1061</v>
      </c>
      <c r="G841" s="16">
        <f>IF(OR(E841="U16", E841="S16"),1,IF(E841="TS",6,2))</f>
        <v>1</v>
      </c>
      <c r="H841" s="91">
        <v>12</v>
      </c>
    </row>
    <row r="842" spans="1:8" ht="13.5" customHeight="1" x14ac:dyDescent="0.3">
      <c r="A842" s="122" t="s">
        <v>394</v>
      </c>
      <c r="B842" s="122"/>
      <c r="C842" s="122"/>
      <c r="D842" s="122"/>
      <c r="E842" s="122"/>
      <c r="F842" s="122"/>
      <c r="G842" s="122"/>
      <c r="H842" s="122"/>
    </row>
    <row r="843" spans="1:8" ht="13.5" customHeight="1" x14ac:dyDescent="0.3">
      <c r="A843" s="91">
        <f>A841+(G841*H841)</f>
        <v>16934</v>
      </c>
      <c r="B843" s="9" t="s">
        <v>476</v>
      </c>
      <c r="C843" s="91"/>
      <c r="D843" s="91"/>
      <c r="E843" s="16" t="s">
        <v>123</v>
      </c>
      <c r="F843" s="16" t="s">
        <v>1061</v>
      </c>
      <c r="G843" s="16">
        <f t="shared" ref="G843:G906" si="49">IF(OR(E843="U16", E843="S16"),1,IF(E843="TS",6,2))</f>
        <v>1</v>
      </c>
      <c r="H843" s="91">
        <v>1</v>
      </c>
    </row>
    <row r="844" spans="1:8" ht="13.5" customHeight="1" x14ac:dyDescent="0.3">
      <c r="A844" s="91">
        <f t="shared" ref="A844:A907" si="50">A843+(G843*H843)</f>
        <v>16935</v>
      </c>
      <c r="B844" s="9" t="s">
        <v>477</v>
      </c>
      <c r="C844" s="91"/>
      <c r="D844" s="91"/>
      <c r="E844" s="16" t="s">
        <v>123</v>
      </c>
      <c r="F844" s="16" t="s">
        <v>1061</v>
      </c>
      <c r="G844" s="16">
        <f>IF(OR(E844="U16", E844="S16"),1,IF(E844="TS",6,2))</f>
        <v>1</v>
      </c>
      <c r="H844" s="91">
        <v>1</v>
      </c>
    </row>
    <row r="845" spans="1:8" ht="13.5" customHeight="1" x14ac:dyDescent="0.3">
      <c r="A845" s="91">
        <f t="shared" si="50"/>
        <v>16936</v>
      </c>
      <c r="B845" s="9" t="s">
        <v>526</v>
      </c>
      <c r="C845" s="35"/>
      <c r="D845" s="35"/>
      <c r="E845" s="16" t="s">
        <v>123</v>
      </c>
      <c r="F845" s="16" t="s">
        <v>1061</v>
      </c>
      <c r="G845" s="16">
        <f t="shared" si="49"/>
        <v>1</v>
      </c>
      <c r="H845" s="91">
        <v>1</v>
      </c>
    </row>
    <row r="846" spans="1:8" ht="13.5" customHeight="1" x14ac:dyDescent="0.3">
      <c r="A846" s="91">
        <f t="shared" si="50"/>
        <v>16937</v>
      </c>
      <c r="B846" s="9" t="s">
        <v>444</v>
      </c>
      <c r="C846" s="35"/>
      <c r="D846" s="35"/>
      <c r="E846" s="16" t="s">
        <v>123</v>
      </c>
      <c r="F846" s="16" t="s">
        <v>1061</v>
      </c>
      <c r="G846" s="16">
        <f t="shared" si="49"/>
        <v>1</v>
      </c>
      <c r="H846" s="91">
        <v>1</v>
      </c>
    </row>
    <row r="847" spans="1:8" ht="13.5" customHeight="1" x14ac:dyDescent="0.3">
      <c r="A847" s="91">
        <f t="shared" si="50"/>
        <v>16938</v>
      </c>
      <c r="B847" s="9" t="s">
        <v>445</v>
      </c>
      <c r="C847" s="35"/>
      <c r="D847" s="35"/>
      <c r="E847" s="16" t="s">
        <v>123</v>
      </c>
      <c r="F847" s="16" t="s">
        <v>1061</v>
      </c>
      <c r="G847" s="16">
        <f t="shared" si="49"/>
        <v>1</v>
      </c>
      <c r="H847" s="91">
        <v>1</v>
      </c>
    </row>
    <row r="848" spans="1:8" ht="13.5" customHeight="1" x14ac:dyDescent="0.3">
      <c r="A848" s="91">
        <f t="shared" si="50"/>
        <v>16939</v>
      </c>
      <c r="B848" s="9" t="s">
        <v>446</v>
      </c>
      <c r="C848" s="35"/>
      <c r="D848" s="35"/>
      <c r="E848" s="16" t="s">
        <v>123</v>
      </c>
      <c r="F848" s="16" t="s">
        <v>1061</v>
      </c>
      <c r="G848" s="16">
        <f t="shared" si="49"/>
        <v>1</v>
      </c>
      <c r="H848" s="91">
        <v>1</v>
      </c>
    </row>
    <row r="849" spans="1:8" ht="13.5" customHeight="1" x14ac:dyDescent="0.3">
      <c r="A849" s="91">
        <f t="shared" si="50"/>
        <v>16940</v>
      </c>
      <c r="B849" s="9" t="s">
        <v>447</v>
      </c>
      <c r="C849" s="35"/>
      <c r="D849" s="35"/>
      <c r="E849" s="16" t="s">
        <v>123</v>
      </c>
      <c r="F849" s="16" t="s">
        <v>1061</v>
      </c>
      <c r="G849" s="16">
        <f t="shared" si="49"/>
        <v>1</v>
      </c>
      <c r="H849" s="91">
        <v>1</v>
      </c>
    </row>
    <row r="850" spans="1:8" ht="13.5" customHeight="1" x14ac:dyDescent="0.3">
      <c r="A850" s="91">
        <f t="shared" si="50"/>
        <v>16941</v>
      </c>
      <c r="B850" s="9" t="s">
        <v>448</v>
      </c>
      <c r="C850" s="35"/>
      <c r="D850" s="35"/>
      <c r="E850" s="16" t="s">
        <v>123</v>
      </c>
      <c r="F850" s="16" t="s">
        <v>1061</v>
      </c>
      <c r="G850" s="16">
        <f t="shared" si="49"/>
        <v>1</v>
      </c>
      <c r="H850" s="91">
        <v>1</v>
      </c>
    </row>
    <row r="851" spans="1:8" ht="13.5" customHeight="1" x14ac:dyDescent="0.3">
      <c r="A851" s="91">
        <f t="shared" si="50"/>
        <v>16942</v>
      </c>
      <c r="B851" s="9" t="s">
        <v>449</v>
      </c>
      <c r="C851" s="35"/>
      <c r="D851" s="35"/>
      <c r="E851" s="16" t="s">
        <v>123</v>
      </c>
      <c r="F851" s="16" t="s">
        <v>1061</v>
      </c>
      <c r="G851" s="16">
        <f t="shared" si="49"/>
        <v>1</v>
      </c>
      <c r="H851" s="91">
        <v>1</v>
      </c>
    </row>
    <row r="852" spans="1:8" ht="13.5" customHeight="1" x14ac:dyDescent="0.3">
      <c r="A852" s="91">
        <f t="shared" si="50"/>
        <v>16943</v>
      </c>
      <c r="B852" s="9" t="s">
        <v>450</v>
      </c>
      <c r="C852" s="35"/>
      <c r="D852" s="35"/>
      <c r="E852" s="16" t="s">
        <v>123</v>
      </c>
      <c r="F852" s="16" t="s">
        <v>1061</v>
      </c>
      <c r="G852" s="16">
        <f t="shared" si="49"/>
        <v>1</v>
      </c>
      <c r="H852" s="91">
        <v>1</v>
      </c>
    </row>
    <row r="853" spans="1:8" ht="13.5" customHeight="1" x14ac:dyDescent="0.3">
      <c r="A853" s="91">
        <f t="shared" si="50"/>
        <v>16944</v>
      </c>
      <c r="B853" s="9" t="s">
        <v>451</v>
      </c>
      <c r="C853" s="35"/>
      <c r="D853" s="35"/>
      <c r="E853" s="16" t="s">
        <v>123</v>
      </c>
      <c r="F853" s="16" t="s">
        <v>1061</v>
      </c>
      <c r="G853" s="16">
        <f t="shared" si="49"/>
        <v>1</v>
      </c>
      <c r="H853" s="91">
        <v>1</v>
      </c>
    </row>
    <row r="854" spans="1:8" ht="13.5" customHeight="1" x14ac:dyDescent="0.3">
      <c r="A854" s="91">
        <f t="shared" si="50"/>
        <v>16945</v>
      </c>
      <c r="B854" s="9" t="s">
        <v>452</v>
      </c>
      <c r="C854" s="35"/>
      <c r="D854" s="35"/>
      <c r="E854" s="16" t="s">
        <v>123</v>
      </c>
      <c r="F854" s="16" t="s">
        <v>1061</v>
      </c>
      <c r="G854" s="16">
        <f t="shared" si="49"/>
        <v>1</v>
      </c>
      <c r="H854" s="91">
        <v>1</v>
      </c>
    </row>
    <row r="855" spans="1:8" ht="13.5" customHeight="1" x14ac:dyDescent="0.3">
      <c r="A855" s="91">
        <f t="shared" si="50"/>
        <v>16946</v>
      </c>
      <c r="B855" s="9" t="s">
        <v>453</v>
      </c>
      <c r="C855" s="35"/>
      <c r="D855" s="35"/>
      <c r="E855" s="16" t="s">
        <v>123</v>
      </c>
      <c r="F855" s="16" t="s">
        <v>1061</v>
      </c>
      <c r="G855" s="16">
        <f t="shared" si="49"/>
        <v>1</v>
      </c>
      <c r="H855" s="91">
        <v>1</v>
      </c>
    </row>
    <row r="856" spans="1:8" ht="13.5" customHeight="1" x14ac:dyDescent="0.3">
      <c r="A856" s="91">
        <f t="shared" si="50"/>
        <v>16947</v>
      </c>
      <c r="B856" s="9" t="s">
        <v>454</v>
      </c>
      <c r="C856" s="35"/>
      <c r="D856" s="35"/>
      <c r="E856" s="16" t="s">
        <v>123</v>
      </c>
      <c r="F856" s="16" t="s">
        <v>1061</v>
      </c>
      <c r="G856" s="16">
        <f t="shared" si="49"/>
        <v>1</v>
      </c>
      <c r="H856" s="91">
        <v>1</v>
      </c>
    </row>
    <row r="857" spans="1:8" ht="13.5" customHeight="1" x14ac:dyDescent="0.3">
      <c r="A857" s="91">
        <f t="shared" si="50"/>
        <v>16948</v>
      </c>
      <c r="B857" s="9" t="s">
        <v>455</v>
      </c>
      <c r="C857" s="35"/>
      <c r="D857" s="35"/>
      <c r="E857" s="16" t="s">
        <v>123</v>
      </c>
      <c r="F857" s="16" t="s">
        <v>1061</v>
      </c>
      <c r="G857" s="16">
        <f t="shared" si="49"/>
        <v>1</v>
      </c>
      <c r="H857" s="91">
        <v>1</v>
      </c>
    </row>
    <row r="858" spans="1:8" ht="13.5" customHeight="1" x14ac:dyDescent="0.3">
      <c r="A858" s="91">
        <f t="shared" si="50"/>
        <v>16949</v>
      </c>
      <c r="B858" s="9" t="s">
        <v>456</v>
      </c>
      <c r="C858" s="35"/>
      <c r="D858" s="35"/>
      <c r="E858" s="16" t="s">
        <v>123</v>
      </c>
      <c r="F858" s="16" t="s">
        <v>1061</v>
      </c>
      <c r="G858" s="16">
        <f t="shared" si="49"/>
        <v>1</v>
      </c>
      <c r="H858" s="91">
        <v>1</v>
      </c>
    </row>
    <row r="859" spans="1:8" ht="13.5" customHeight="1" x14ac:dyDescent="0.3">
      <c r="A859" s="91">
        <f t="shared" si="50"/>
        <v>16950</v>
      </c>
      <c r="B859" s="9" t="s">
        <v>457</v>
      </c>
      <c r="C859" s="35"/>
      <c r="D859" s="35"/>
      <c r="E859" s="16" t="s">
        <v>123</v>
      </c>
      <c r="F859" s="16" t="s">
        <v>1061</v>
      </c>
      <c r="G859" s="16">
        <f t="shared" si="49"/>
        <v>1</v>
      </c>
      <c r="H859" s="91">
        <v>1</v>
      </c>
    </row>
    <row r="860" spans="1:8" ht="13.5" customHeight="1" x14ac:dyDescent="0.3">
      <c r="A860" s="91">
        <f t="shared" si="50"/>
        <v>16951</v>
      </c>
      <c r="B860" s="9" t="s">
        <v>458</v>
      </c>
      <c r="C860" s="35"/>
      <c r="D860" s="35"/>
      <c r="E860" s="16" t="s">
        <v>123</v>
      </c>
      <c r="F860" s="16" t="s">
        <v>1061</v>
      </c>
      <c r="G860" s="16">
        <f t="shared" si="49"/>
        <v>1</v>
      </c>
      <c r="H860" s="91">
        <v>1</v>
      </c>
    </row>
    <row r="861" spans="1:8" ht="13.5" customHeight="1" x14ac:dyDescent="0.3">
      <c r="A861" s="91">
        <f t="shared" si="50"/>
        <v>16952</v>
      </c>
      <c r="B861" s="9" t="s">
        <v>459</v>
      </c>
      <c r="C861" s="35"/>
      <c r="D861" s="35"/>
      <c r="E861" s="16" t="s">
        <v>123</v>
      </c>
      <c r="F861" s="16" t="s">
        <v>1061</v>
      </c>
      <c r="G861" s="16">
        <f t="shared" si="49"/>
        <v>1</v>
      </c>
      <c r="H861" s="91">
        <v>1</v>
      </c>
    </row>
    <row r="862" spans="1:8" ht="13.5" customHeight="1" x14ac:dyDescent="0.3">
      <c r="A862" s="91">
        <f t="shared" si="50"/>
        <v>16953</v>
      </c>
      <c r="B862" s="9" t="s">
        <v>521</v>
      </c>
      <c r="C862" s="35"/>
      <c r="D862" s="35"/>
      <c r="E862" s="16" t="s">
        <v>123</v>
      </c>
      <c r="F862" s="16" t="s">
        <v>1061</v>
      </c>
      <c r="G862" s="16">
        <f t="shared" si="49"/>
        <v>1</v>
      </c>
      <c r="H862" s="91">
        <v>1</v>
      </c>
    </row>
    <row r="863" spans="1:8" ht="13.5" customHeight="1" x14ac:dyDescent="0.3">
      <c r="A863" s="91">
        <f t="shared" si="50"/>
        <v>16954</v>
      </c>
      <c r="B863" s="9" t="s">
        <v>522</v>
      </c>
      <c r="C863" s="35"/>
      <c r="D863" s="35"/>
      <c r="E863" s="16" t="s">
        <v>123</v>
      </c>
      <c r="F863" s="16" t="s">
        <v>1061</v>
      </c>
      <c r="G863" s="16">
        <f t="shared" si="49"/>
        <v>1</v>
      </c>
      <c r="H863" s="91">
        <v>1</v>
      </c>
    </row>
    <row r="864" spans="1:8" ht="13.5" customHeight="1" x14ac:dyDescent="0.3">
      <c r="A864" s="91">
        <f t="shared" si="50"/>
        <v>16955</v>
      </c>
      <c r="B864" s="9" t="s">
        <v>526</v>
      </c>
      <c r="C864" s="35"/>
      <c r="D864" s="35"/>
      <c r="E864" s="16" t="s">
        <v>123</v>
      </c>
      <c r="F864" s="16" t="s">
        <v>1061</v>
      </c>
      <c r="G864" s="16">
        <f>IF(OR(E864="U16", E864="S16"),1,IF(E864="TS",6,2))</f>
        <v>1</v>
      </c>
      <c r="H864" s="91">
        <v>1</v>
      </c>
    </row>
    <row r="865" spans="1:8" ht="13.5" customHeight="1" x14ac:dyDescent="0.3">
      <c r="A865" s="91">
        <f t="shared" si="50"/>
        <v>16956</v>
      </c>
      <c r="B865" s="9" t="s">
        <v>460</v>
      </c>
      <c r="C865" s="35"/>
      <c r="D865" s="35"/>
      <c r="E865" s="16" t="s">
        <v>123</v>
      </c>
      <c r="F865" s="16" t="s">
        <v>1061</v>
      </c>
      <c r="G865" s="16">
        <f t="shared" si="49"/>
        <v>1</v>
      </c>
      <c r="H865" s="91">
        <v>1</v>
      </c>
    </row>
    <row r="866" spans="1:8" ht="13.5" customHeight="1" x14ac:dyDescent="0.3">
      <c r="A866" s="91">
        <f t="shared" si="50"/>
        <v>16957</v>
      </c>
      <c r="B866" s="9" t="s">
        <v>461</v>
      </c>
      <c r="C866" s="35"/>
      <c r="D866" s="35"/>
      <c r="E866" s="16" t="s">
        <v>123</v>
      </c>
      <c r="F866" s="16" t="s">
        <v>1061</v>
      </c>
      <c r="G866" s="16">
        <f t="shared" si="49"/>
        <v>1</v>
      </c>
      <c r="H866" s="91">
        <v>1</v>
      </c>
    </row>
    <row r="867" spans="1:8" ht="13.5" customHeight="1" x14ac:dyDescent="0.3">
      <c r="A867" s="91">
        <f t="shared" si="50"/>
        <v>16958</v>
      </c>
      <c r="B867" s="9" t="s">
        <v>462</v>
      </c>
      <c r="C867" s="35"/>
      <c r="D867" s="35"/>
      <c r="E867" s="16" t="s">
        <v>123</v>
      </c>
      <c r="F867" s="16" t="s">
        <v>1061</v>
      </c>
      <c r="G867" s="16">
        <f t="shared" si="49"/>
        <v>1</v>
      </c>
      <c r="H867" s="91">
        <v>1</v>
      </c>
    </row>
    <row r="868" spans="1:8" ht="13.5" customHeight="1" x14ac:dyDescent="0.3">
      <c r="A868" s="91">
        <f t="shared" si="50"/>
        <v>16959</v>
      </c>
      <c r="B868" s="9" t="s">
        <v>463</v>
      </c>
      <c r="C868" s="35"/>
      <c r="D868" s="35"/>
      <c r="E868" s="16" t="s">
        <v>123</v>
      </c>
      <c r="F868" s="16" t="s">
        <v>1061</v>
      </c>
      <c r="G868" s="16">
        <f t="shared" si="49"/>
        <v>1</v>
      </c>
      <c r="H868" s="91">
        <v>1</v>
      </c>
    </row>
    <row r="869" spans="1:8" ht="13.5" customHeight="1" x14ac:dyDescent="0.3">
      <c r="A869" s="91">
        <f t="shared" si="50"/>
        <v>16960</v>
      </c>
      <c r="B869" s="9" t="s">
        <v>464</v>
      </c>
      <c r="C869" s="35"/>
      <c r="D869" s="35"/>
      <c r="E869" s="16" t="s">
        <v>123</v>
      </c>
      <c r="F869" s="16" t="s">
        <v>1061</v>
      </c>
      <c r="G869" s="16">
        <f t="shared" si="49"/>
        <v>1</v>
      </c>
      <c r="H869" s="91">
        <v>1</v>
      </c>
    </row>
    <row r="870" spans="1:8" ht="13.5" customHeight="1" x14ac:dyDescent="0.3">
      <c r="A870" s="91">
        <f t="shared" si="50"/>
        <v>16961</v>
      </c>
      <c r="B870" s="9" t="s">
        <v>465</v>
      </c>
      <c r="C870" s="35"/>
      <c r="D870" s="35"/>
      <c r="E870" s="16" t="s">
        <v>123</v>
      </c>
      <c r="F870" s="16" t="s">
        <v>1061</v>
      </c>
      <c r="G870" s="16">
        <f t="shared" si="49"/>
        <v>1</v>
      </c>
      <c r="H870" s="91">
        <v>1</v>
      </c>
    </row>
    <row r="871" spans="1:8" ht="13.5" customHeight="1" x14ac:dyDescent="0.3">
      <c r="A871" s="91">
        <f t="shared" si="50"/>
        <v>16962</v>
      </c>
      <c r="B871" s="9" t="s">
        <v>466</v>
      </c>
      <c r="C871" s="35"/>
      <c r="D871" s="35"/>
      <c r="E871" s="16" t="s">
        <v>123</v>
      </c>
      <c r="F871" s="16" t="s">
        <v>1061</v>
      </c>
      <c r="G871" s="16">
        <f t="shared" si="49"/>
        <v>1</v>
      </c>
      <c r="H871" s="91">
        <v>1</v>
      </c>
    </row>
    <row r="872" spans="1:8" ht="13.5" customHeight="1" x14ac:dyDescent="0.3">
      <c r="A872" s="91">
        <f t="shared" si="50"/>
        <v>16963</v>
      </c>
      <c r="B872" s="9" t="s">
        <v>467</v>
      </c>
      <c r="C872" s="35"/>
      <c r="D872" s="35"/>
      <c r="E872" s="16" t="s">
        <v>123</v>
      </c>
      <c r="F872" s="16" t="s">
        <v>1061</v>
      </c>
      <c r="G872" s="16">
        <f t="shared" si="49"/>
        <v>1</v>
      </c>
      <c r="H872" s="91">
        <v>1</v>
      </c>
    </row>
    <row r="873" spans="1:8" ht="13.5" customHeight="1" x14ac:dyDescent="0.3">
      <c r="A873" s="91">
        <f t="shared" si="50"/>
        <v>16964</v>
      </c>
      <c r="B873" s="9" t="s">
        <v>468</v>
      </c>
      <c r="C873" s="35"/>
      <c r="D873" s="35"/>
      <c r="E873" s="16" t="s">
        <v>123</v>
      </c>
      <c r="F873" s="16" t="s">
        <v>1061</v>
      </c>
      <c r="G873" s="16">
        <f t="shared" si="49"/>
        <v>1</v>
      </c>
      <c r="H873" s="91">
        <v>1</v>
      </c>
    </row>
    <row r="874" spans="1:8" ht="15" customHeight="1" x14ac:dyDescent="0.3">
      <c r="A874" s="91">
        <f t="shared" si="50"/>
        <v>16965</v>
      </c>
      <c r="B874" s="9" t="s">
        <v>469</v>
      </c>
      <c r="C874" s="35"/>
      <c r="D874" s="35"/>
      <c r="E874" s="16" t="s">
        <v>123</v>
      </c>
      <c r="F874" s="16" t="s">
        <v>1061</v>
      </c>
      <c r="G874" s="16">
        <f t="shared" si="49"/>
        <v>1</v>
      </c>
      <c r="H874" s="91">
        <v>1</v>
      </c>
    </row>
    <row r="875" spans="1:8" ht="15" customHeight="1" x14ac:dyDescent="0.3">
      <c r="A875" s="91">
        <f t="shared" si="50"/>
        <v>16966</v>
      </c>
      <c r="B875" s="9" t="s">
        <v>470</v>
      </c>
      <c r="C875" s="35"/>
      <c r="D875" s="35"/>
      <c r="E875" s="16" t="s">
        <v>123</v>
      </c>
      <c r="F875" s="16" t="s">
        <v>1061</v>
      </c>
      <c r="G875" s="16">
        <f t="shared" si="49"/>
        <v>1</v>
      </c>
      <c r="H875" s="91">
        <v>1</v>
      </c>
    </row>
    <row r="876" spans="1:8" ht="15" customHeight="1" x14ac:dyDescent="0.3">
      <c r="A876" s="91">
        <f t="shared" si="50"/>
        <v>16967</v>
      </c>
      <c r="B876" s="9" t="s">
        <v>471</v>
      </c>
      <c r="C876" s="35"/>
      <c r="D876" s="35"/>
      <c r="E876" s="16" t="s">
        <v>123</v>
      </c>
      <c r="F876" s="16" t="s">
        <v>1061</v>
      </c>
      <c r="G876" s="16">
        <f t="shared" si="49"/>
        <v>1</v>
      </c>
      <c r="H876" s="91">
        <v>1</v>
      </c>
    </row>
    <row r="877" spans="1:8" ht="15" customHeight="1" x14ac:dyDescent="0.3">
      <c r="A877" s="91">
        <f t="shared" si="50"/>
        <v>16968</v>
      </c>
      <c r="B877" s="9" t="s">
        <v>472</v>
      </c>
      <c r="C877" s="35"/>
      <c r="D877" s="35"/>
      <c r="E877" s="16" t="s">
        <v>123</v>
      </c>
      <c r="F877" s="16" t="s">
        <v>1061</v>
      </c>
      <c r="G877" s="16">
        <f t="shared" si="49"/>
        <v>1</v>
      </c>
      <c r="H877" s="91">
        <v>1</v>
      </c>
    </row>
    <row r="878" spans="1:8" ht="15" customHeight="1" x14ac:dyDescent="0.3">
      <c r="A878" s="91">
        <f t="shared" si="50"/>
        <v>16969</v>
      </c>
      <c r="B878" s="9" t="s">
        <v>473</v>
      </c>
      <c r="C878" s="35"/>
      <c r="D878" s="35"/>
      <c r="E878" s="16" t="s">
        <v>123</v>
      </c>
      <c r="F878" s="16" t="s">
        <v>1061</v>
      </c>
      <c r="G878" s="16">
        <f t="shared" si="49"/>
        <v>1</v>
      </c>
      <c r="H878" s="91">
        <v>1</v>
      </c>
    </row>
    <row r="879" spans="1:8" ht="15" customHeight="1" x14ac:dyDescent="0.3">
      <c r="A879" s="91">
        <f t="shared" si="50"/>
        <v>16970</v>
      </c>
      <c r="B879" s="9" t="s">
        <v>474</v>
      </c>
      <c r="C879" s="35"/>
      <c r="D879" s="35"/>
      <c r="E879" s="16" t="s">
        <v>123</v>
      </c>
      <c r="F879" s="16" t="s">
        <v>1061</v>
      </c>
      <c r="G879" s="16">
        <f t="shared" si="49"/>
        <v>1</v>
      </c>
      <c r="H879" s="91">
        <v>1</v>
      </c>
    </row>
    <row r="880" spans="1:8" ht="15" customHeight="1" x14ac:dyDescent="0.3">
      <c r="A880" s="91">
        <f t="shared" si="50"/>
        <v>16971</v>
      </c>
      <c r="B880" s="9" t="s">
        <v>475</v>
      </c>
      <c r="C880" s="35"/>
      <c r="D880" s="35"/>
      <c r="E880" s="16" t="s">
        <v>123</v>
      </c>
      <c r="F880" s="16" t="s">
        <v>1061</v>
      </c>
      <c r="G880" s="16">
        <f t="shared" si="49"/>
        <v>1</v>
      </c>
      <c r="H880" s="91">
        <v>1</v>
      </c>
    </row>
    <row r="881" spans="1:8" ht="15" customHeight="1" x14ac:dyDescent="0.3">
      <c r="A881" s="91">
        <f t="shared" si="50"/>
        <v>16972</v>
      </c>
      <c r="B881" s="9" t="s">
        <v>524</v>
      </c>
      <c r="C881" s="35"/>
      <c r="D881" s="35"/>
      <c r="E881" s="16" t="s">
        <v>123</v>
      </c>
      <c r="F881" s="16" t="s">
        <v>1061</v>
      </c>
      <c r="G881" s="16">
        <f t="shared" si="49"/>
        <v>1</v>
      </c>
      <c r="H881" s="91">
        <v>1</v>
      </c>
    </row>
    <row r="882" spans="1:8" ht="15" customHeight="1" x14ac:dyDescent="0.3">
      <c r="A882" s="91">
        <f t="shared" si="50"/>
        <v>16973</v>
      </c>
      <c r="B882" s="9" t="s">
        <v>525</v>
      </c>
      <c r="C882" s="35"/>
      <c r="D882" s="35"/>
      <c r="E882" s="16" t="s">
        <v>123</v>
      </c>
      <c r="F882" s="16" t="s">
        <v>1061</v>
      </c>
      <c r="G882" s="16">
        <f t="shared" si="49"/>
        <v>1</v>
      </c>
      <c r="H882" s="91">
        <v>1</v>
      </c>
    </row>
    <row r="883" spans="1:8" ht="15" customHeight="1" x14ac:dyDescent="0.3">
      <c r="A883" s="91">
        <f t="shared" si="50"/>
        <v>16974</v>
      </c>
      <c r="B883" s="9" t="s">
        <v>41</v>
      </c>
      <c r="C883" s="35"/>
      <c r="D883" s="35"/>
      <c r="E883" s="16" t="s">
        <v>123</v>
      </c>
      <c r="F883" s="16" t="s">
        <v>1061</v>
      </c>
      <c r="G883" s="16">
        <f t="shared" si="49"/>
        <v>1</v>
      </c>
      <c r="H883" s="91">
        <v>1</v>
      </c>
    </row>
    <row r="884" spans="1:8" ht="15" customHeight="1" x14ac:dyDescent="0.3">
      <c r="A884" s="91">
        <f t="shared" si="50"/>
        <v>16975</v>
      </c>
      <c r="B884" s="9" t="s">
        <v>478</v>
      </c>
      <c r="C884" s="35"/>
      <c r="D884" s="35"/>
      <c r="E884" s="16" t="s">
        <v>123</v>
      </c>
      <c r="F884" s="16" t="s">
        <v>1061</v>
      </c>
      <c r="G884" s="16">
        <f t="shared" si="49"/>
        <v>1</v>
      </c>
      <c r="H884" s="91">
        <v>1</v>
      </c>
    </row>
    <row r="885" spans="1:8" ht="15" customHeight="1" x14ac:dyDescent="0.3">
      <c r="A885" s="91">
        <f t="shared" si="50"/>
        <v>16976</v>
      </c>
      <c r="B885" s="9" t="s">
        <v>479</v>
      </c>
      <c r="C885" s="35"/>
      <c r="D885" s="35"/>
      <c r="E885" s="16" t="s">
        <v>123</v>
      </c>
      <c r="F885" s="16" t="s">
        <v>1061</v>
      </c>
      <c r="G885" s="16">
        <f t="shared" si="49"/>
        <v>1</v>
      </c>
      <c r="H885" s="91">
        <v>1</v>
      </c>
    </row>
    <row r="886" spans="1:8" ht="15" customHeight="1" x14ac:dyDescent="0.3">
      <c r="A886" s="91">
        <f t="shared" si="50"/>
        <v>16977</v>
      </c>
      <c r="B886" s="9" t="s">
        <v>480</v>
      </c>
      <c r="C886" s="35"/>
      <c r="D886" s="35"/>
      <c r="E886" s="16" t="s">
        <v>123</v>
      </c>
      <c r="F886" s="16" t="s">
        <v>1061</v>
      </c>
      <c r="G886" s="16">
        <f t="shared" si="49"/>
        <v>1</v>
      </c>
      <c r="H886" s="91">
        <v>1</v>
      </c>
    </row>
    <row r="887" spans="1:8" ht="15" customHeight="1" x14ac:dyDescent="0.3">
      <c r="A887" s="91">
        <f t="shared" si="50"/>
        <v>16978</v>
      </c>
      <c r="B887" s="9" t="s">
        <v>481</v>
      </c>
      <c r="C887" s="35"/>
      <c r="D887" s="35"/>
      <c r="E887" s="16" t="s">
        <v>123</v>
      </c>
      <c r="F887" s="16" t="s">
        <v>1061</v>
      </c>
      <c r="G887" s="16">
        <f t="shared" si="49"/>
        <v>1</v>
      </c>
      <c r="H887" s="91">
        <v>1</v>
      </c>
    </row>
    <row r="888" spans="1:8" ht="15" customHeight="1" x14ac:dyDescent="0.3">
      <c r="A888" s="91">
        <f t="shared" si="50"/>
        <v>16979</v>
      </c>
      <c r="B888" s="9" t="s">
        <v>482</v>
      </c>
      <c r="C888" s="35"/>
      <c r="D888" s="35"/>
      <c r="E888" s="16" t="s">
        <v>123</v>
      </c>
      <c r="F888" s="16" t="s">
        <v>1061</v>
      </c>
      <c r="G888" s="16">
        <f t="shared" si="49"/>
        <v>1</v>
      </c>
      <c r="H888" s="91">
        <v>1</v>
      </c>
    </row>
    <row r="889" spans="1:8" ht="15" customHeight="1" x14ac:dyDescent="0.3">
      <c r="A889" s="91">
        <f t="shared" si="50"/>
        <v>16980</v>
      </c>
      <c r="B889" s="9" t="s">
        <v>483</v>
      </c>
      <c r="C889" s="35"/>
      <c r="D889" s="35"/>
      <c r="E889" s="16" t="s">
        <v>123</v>
      </c>
      <c r="F889" s="16" t="s">
        <v>1061</v>
      </c>
      <c r="G889" s="16">
        <f t="shared" si="49"/>
        <v>1</v>
      </c>
      <c r="H889" s="91">
        <v>1</v>
      </c>
    </row>
    <row r="890" spans="1:8" ht="15" customHeight="1" x14ac:dyDescent="0.3">
      <c r="A890" s="91">
        <f t="shared" si="50"/>
        <v>16981</v>
      </c>
      <c r="B890" s="9" t="s">
        <v>484</v>
      </c>
      <c r="C890" s="35"/>
      <c r="D890" s="35"/>
      <c r="E890" s="16" t="s">
        <v>123</v>
      </c>
      <c r="F890" s="16" t="s">
        <v>1061</v>
      </c>
      <c r="G890" s="16">
        <f t="shared" si="49"/>
        <v>1</v>
      </c>
      <c r="H890" s="91">
        <v>1</v>
      </c>
    </row>
    <row r="891" spans="1:8" ht="15" customHeight="1" x14ac:dyDescent="0.3">
      <c r="A891" s="91">
        <f t="shared" si="50"/>
        <v>16982</v>
      </c>
      <c r="B891" s="9" t="s">
        <v>485</v>
      </c>
      <c r="C891" s="35"/>
      <c r="D891" s="35"/>
      <c r="E891" s="16" t="s">
        <v>123</v>
      </c>
      <c r="F891" s="16" t="s">
        <v>1061</v>
      </c>
      <c r="G891" s="16">
        <f t="shared" si="49"/>
        <v>1</v>
      </c>
      <c r="H891" s="91">
        <v>1</v>
      </c>
    </row>
    <row r="892" spans="1:8" ht="15" customHeight="1" x14ac:dyDescent="0.3">
      <c r="A892" s="91">
        <f t="shared" si="50"/>
        <v>16983</v>
      </c>
      <c r="B892" s="9" t="s">
        <v>486</v>
      </c>
      <c r="C892" s="35"/>
      <c r="D892" s="35"/>
      <c r="E892" s="16" t="s">
        <v>123</v>
      </c>
      <c r="F892" s="16" t="s">
        <v>1061</v>
      </c>
      <c r="G892" s="16">
        <f t="shared" si="49"/>
        <v>1</v>
      </c>
      <c r="H892" s="91">
        <v>1</v>
      </c>
    </row>
    <row r="893" spans="1:8" ht="15" customHeight="1" x14ac:dyDescent="0.3">
      <c r="A893" s="91">
        <f t="shared" si="50"/>
        <v>16984</v>
      </c>
      <c r="B893" s="9" t="s">
        <v>487</v>
      </c>
      <c r="C893" s="35"/>
      <c r="D893" s="35"/>
      <c r="E893" s="16" t="s">
        <v>123</v>
      </c>
      <c r="F893" s="16" t="s">
        <v>1061</v>
      </c>
      <c r="G893" s="16">
        <f t="shared" si="49"/>
        <v>1</v>
      </c>
      <c r="H893" s="91">
        <v>1</v>
      </c>
    </row>
    <row r="894" spans="1:8" ht="15" customHeight="1" x14ac:dyDescent="0.3">
      <c r="A894" s="91">
        <f t="shared" si="50"/>
        <v>16985</v>
      </c>
      <c r="B894" s="9" t="s">
        <v>488</v>
      </c>
      <c r="C894" s="35"/>
      <c r="D894" s="35"/>
      <c r="E894" s="16" t="s">
        <v>123</v>
      </c>
      <c r="F894" s="16" t="s">
        <v>1061</v>
      </c>
      <c r="G894" s="16">
        <f t="shared" si="49"/>
        <v>1</v>
      </c>
      <c r="H894" s="91">
        <v>1</v>
      </c>
    </row>
    <row r="895" spans="1:8" ht="15" customHeight="1" x14ac:dyDescent="0.3">
      <c r="A895" s="91">
        <f t="shared" si="50"/>
        <v>16986</v>
      </c>
      <c r="B895" s="9" t="s">
        <v>489</v>
      </c>
      <c r="C895" s="35"/>
      <c r="D895" s="35"/>
      <c r="E895" s="16" t="s">
        <v>123</v>
      </c>
      <c r="F895" s="16" t="s">
        <v>1061</v>
      </c>
      <c r="G895" s="16">
        <f t="shared" si="49"/>
        <v>1</v>
      </c>
      <c r="H895" s="91">
        <v>1</v>
      </c>
    </row>
    <row r="896" spans="1:8" ht="15" customHeight="1" x14ac:dyDescent="0.3">
      <c r="A896" s="91">
        <f t="shared" si="50"/>
        <v>16987</v>
      </c>
      <c r="B896" s="9" t="s">
        <v>490</v>
      </c>
      <c r="C896" s="35"/>
      <c r="D896" s="35"/>
      <c r="E896" s="16" t="s">
        <v>123</v>
      </c>
      <c r="F896" s="16" t="s">
        <v>1061</v>
      </c>
      <c r="G896" s="16">
        <f t="shared" si="49"/>
        <v>1</v>
      </c>
      <c r="H896" s="91">
        <v>1</v>
      </c>
    </row>
    <row r="897" spans="1:8" ht="15" customHeight="1" x14ac:dyDescent="0.3">
      <c r="A897" s="91">
        <f t="shared" si="50"/>
        <v>16988</v>
      </c>
      <c r="B897" s="9" t="s">
        <v>491</v>
      </c>
      <c r="C897" s="35"/>
      <c r="D897" s="35"/>
      <c r="E897" s="16" t="s">
        <v>123</v>
      </c>
      <c r="F897" s="16" t="s">
        <v>1061</v>
      </c>
      <c r="G897" s="16">
        <f t="shared" si="49"/>
        <v>1</v>
      </c>
      <c r="H897" s="91">
        <v>1</v>
      </c>
    </row>
    <row r="898" spans="1:8" ht="15" customHeight="1" x14ac:dyDescent="0.3">
      <c r="A898" s="91">
        <f t="shared" si="50"/>
        <v>16989</v>
      </c>
      <c r="B898" s="9" t="s">
        <v>492</v>
      </c>
      <c r="C898" s="35"/>
      <c r="D898" s="35"/>
      <c r="E898" s="16" t="s">
        <v>123</v>
      </c>
      <c r="F898" s="16" t="s">
        <v>1061</v>
      </c>
      <c r="G898" s="16">
        <f t="shared" si="49"/>
        <v>1</v>
      </c>
      <c r="H898" s="91">
        <v>1</v>
      </c>
    </row>
    <row r="899" spans="1:8" ht="15" customHeight="1" x14ac:dyDescent="0.3">
      <c r="A899" s="91">
        <f t="shared" si="50"/>
        <v>16990</v>
      </c>
      <c r="B899" s="9" t="s">
        <v>493</v>
      </c>
      <c r="C899" s="35"/>
      <c r="D899" s="35"/>
      <c r="E899" s="16" t="s">
        <v>123</v>
      </c>
      <c r="F899" s="16" t="s">
        <v>1061</v>
      </c>
      <c r="G899" s="16">
        <f t="shared" si="49"/>
        <v>1</v>
      </c>
      <c r="H899" s="91">
        <v>1</v>
      </c>
    </row>
    <row r="900" spans="1:8" ht="15" customHeight="1" x14ac:dyDescent="0.3">
      <c r="A900" s="91">
        <f t="shared" si="50"/>
        <v>16991</v>
      </c>
      <c r="B900" s="9" t="s">
        <v>510</v>
      </c>
      <c r="C900" s="35"/>
      <c r="D900" s="35"/>
      <c r="E900" s="16" t="s">
        <v>123</v>
      </c>
      <c r="F900" s="16" t="s">
        <v>1061</v>
      </c>
      <c r="G900" s="16">
        <f t="shared" si="49"/>
        <v>1</v>
      </c>
      <c r="H900" s="91">
        <v>1</v>
      </c>
    </row>
    <row r="901" spans="1:8" ht="15" customHeight="1" x14ac:dyDescent="0.3">
      <c r="A901" s="91">
        <f t="shared" si="50"/>
        <v>16992</v>
      </c>
      <c r="B901" s="9" t="s">
        <v>511</v>
      </c>
      <c r="C901" s="35"/>
      <c r="D901" s="35"/>
      <c r="E901" s="16" t="s">
        <v>123</v>
      </c>
      <c r="F901" s="16" t="s">
        <v>1061</v>
      </c>
      <c r="G901" s="16">
        <f t="shared" si="49"/>
        <v>1</v>
      </c>
      <c r="H901" s="91">
        <v>1</v>
      </c>
    </row>
    <row r="902" spans="1:8" ht="15" customHeight="1" x14ac:dyDescent="0.3">
      <c r="A902" s="91">
        <f t="shared" si="50"/>
        <v>16993</v>
      </c>
      <c r="B902" s="9" t="s">
        <v>41</v>
      </c>
      <c r="C902" s="35"/>
      <c r="D902" s="35"/>
      <c r="E902" s="16" t="s">
        <v>123</v>
      </c>
      <c r="F902" s="16" t="s">
        <v>1061</v>
      </c>
      <c r="G902" s="16">
        <f t="shared" si="49"/>
        <v>1</v>
      </c>
      <c r="H902" s="91">
        <v>1</v>
      </c>
    </row>
    <row r="903" spans="1:8" ht="15" customHeight="1" x14ac:dyDescent="0.3">
      <c r="A903" s="91">
        <f t="shared" si="50"/>
        <v>16994</v>
      </c>
      <c r="B903" s="9" t="s">
        <v>494</v>
      </c>
      <c r="C903" s="35"/>
      <c r="D903" s="35"/>
      <c r="E903" s="16" t="s">
        <v>123</v>
      </c>
      <c r="F903" s="16" t="s">
        <v>1061</v>
      </c>
      <c r="G903" s="16">
        <f t="shared" si="49"/>
        <v>1</v>
      </c>
      <c r="H903" s="91">
        <v>1</v>
      </c>
    </row>
    <row r="904" spans="1:8" ht="15" customHeight="1" x14ac:dyDescent="0.3">
      <c r="A904" s="91">
        <f t="shared" si="50"/>
        <v>16995</v>
      </c>
      <c r="B904" s="9" t="s">
        <v>495</v>
      </c>
      <c r="C904" s="35"/>
      <c r="D904" s="35"/>
      <c r="E904" s="16" t="s">
        <v>123</v>
      </c>
      <c r="F904" s="16" t="s">
        <v>1061</v>
      </c>
      <c r="G904" s="16">
        <f t="shared" si="49"/>
        <v>1</v>
      </c>
      <c r="H904" s="91">
        <v>1</v>
      </c>
    </row>
    <row r="905" spans="1:8" ht="15" customHeight="1" x14ac:dyDescent="0.3">
      <c r="A905" s="91">
        <f t="shared" si="50"/>
        <v>16996</v>
      </c>
      <c r="B905" s="9" t="s">
        <v>496</v>
      </c>
      <c r="C905" s="35"/>
      <c r="D905" s="35"/>
      <c r="E905" s="16" t="s">
        <v>123</v>
      </c>
      <c r="F905" s="16" t="s">
        <v>1061</v>
      </c>
      <c r="G905" s="16">
        <f t="shared" si="49"/>
        <v>1</v>
      </c>
      <c r="H905" s="91">
        <v>1</v>
      </c>
    </row>
    <row r="906" spans="1:8" ht="15" customHeight="1" x14ac:dyDescent="0.3">
      <c r="A906" s="91">
        <f t="shared" si="50"/>
        <v>16997</v>
      </c>
      <c r="B906" s="9" t="s">
        <v>497</v>
      </c>
      <c r="C906" s="35"/>
      <c r="D906" s="35"/>
      <c r="E906" s="16" t="s">
        <v>123</v>
      </c>
      <c r="F906" s="16" t="s">
        <v>1061</v>
      </c>
      <c r="G906" s="16">
        <f t="shared" si="49"/>
        <v>1</v>
      </c>
      <c r="H906" s="91">
        <v>1</v>
      </c>
    </row>
    <row r="907" spans="1:8" ht="15" customHeight="1" x14ac:dyDescent="0.3">
      <c r="A907" s="91">
        <f t="shared" si="50"/>
        <v>16998</v>
      </c>
      <c r="B907" s="9" t="s">
        <v>498</v>
      </c>
      <c r="C907" s="35"/>
      <c r="D907" s="35"/>
      <c r="E907" s="16" t="s">
        <v>123</v>
      </c>
      <c r="F907" s="16" t="s">
        <v>1061</v>
      </c>
      <c r="G907" s="16">
        <f t="shared" ref="G907:G908" si="51">IF(OR(E907="U16", E907="S16"),1,IF(E907="TS",6,2))</f>
        <v>1</v>
      </c>
      <c r="H907" s="91">
        <v>1</v>
      </c>
    </row>
    <row r="908" spans="1:8" ht="15" customHeight="1" x14ac:dyDescent="0.3">
      <c r="A908" s="91">
        <f t="shared" ref="A908:A919" si="52">A907+(G907*H907)</f>
        <v>16999</v>
      </c>
      <c r="B908" s="9" t="s">
        <v>499</v>
      </c>
      <c r="C908" s="35"/>
      <c r="D908" s="35"/>
      <c r="E908" s="16" t="s">
        <v>123</v>
      </c>
      <c r="F908" s="16" t="s">
        <v>1061</v>
      </c>
      <c r="G908" s="16">
        <f t="shared" si="51"/>
        <v>1</v>
      </c>
      <c r="H908" s="91">
        <v>1</v>
      </c>
    </row>
    <row r="909" spans="1:8" ht="15" customHeight="1" x14ac:dyDescent="0.3">
      <c r="A909" s="91">
        <f t="shared" si="52"/>
        <v>17000</v>
      </c>
      <c r="B909" s="9" t="s">
        <v>500</v>
      </c>
      <c r="C909" s="35"/>
      <c r="D909" s="35"/>
      <c r="E909" s="16" t="s">
        <v>123</v>
      </c>
      <c r="F909" s="16" t="s">
        <v>1061</v>
      </c>
      <c r="G909" s="16">
        <f>IF(OR(E909="U16", E909="S16"),1,IF(E909="TS",6,2))</f>
        <v>1</v>
      </c>
      <c r="H909" s="91">
        <v>1</v>
      </c>
    </row>
    <row r="910" spans="1:8" ht="15" customHeight="1" x14ac:dyDescent="0.3">
      <c r="A910" s="91">
        <f t="shared" si="52"/>
        <v>17001</v>
      </c>
      <c r="B910" s="9" t="s">
        <v>501</v>
      </c>
      <c r="C910" s="91"/>
      <c r="D910" s="91"/>
      <c r="E910" s="16" t="s">
        <v>123</v>
      </c>
      <c r="F910" s="16" t="s">
        <v>1061</v>
      </c>
      <c r="G910" s="16">
        <f t="shared" ref="G910:G915" si="53">IF(OR(E910="U16", E910="S16"),1,IF(E910="TS",6,2))</f>
        <v>1</v>
      </c>
      <c r="H910" s="91">
        <v>1</v>
      </c>
    </row>
    <row r="911" spans="1:8" ht="15" customHeight="1" x14ac:dyDescent="0.3">
      <c r="A911" s="91">
        <f t="shared" si="52"/>
        <v>17002</v>
      </c>
      <c r="B911" s="9" t="s">
        <v>502</v>
      </c>
      <c r="C911" s="91"/>
      <c r="D911" s="91"/>
      <c r="E911" s="16" t="s">
        <v>123</v>
      </c>
      <c r="F911" s="16" t="s">
        <v>1061</v>
      </c>
      <c r="G911" s="16">
        <f t="shared" si="53"/>
        <v>1</v>
      </c>
      <c r="H911" s="91">
        <v>1</v>
      </c>
    </row>
    <row r="912" spans="1:8" ht="15" customHeight="1" x14ac:dyDescent="0.3">
      <c r="A912" s="91">
        <f t="shared" si="52"/>
        <v>17003</v>
      </c>
      <c r="B912" s="9" t="s">
        <v>503</v>
      </c>
      <c r="C912" s="91"/>
      <c r="D912" s="91"/>
      <c r="E912" s="16" t="s">
        <v>123</v>
      </c>
      <c r="F912" s="16" t="s">
        <v>1061</v>
      </c>
      <c r="G912" s="16">
        <f t="shared" si="53"/>
        <v>1</v>
      </c>
      <c r="H912" s="91">
        <v>1</v>
      </c>
    </row>
    <row r="913" spans="1:8" ht="15" customHeight="1" x14ac:dyDescent="0.3">
      <c r="A913" s="91">
        <f t="shared" si="52"/>
        <v>17004</v>
      </c>
      <c r="B913" s="9" t="s">
        <v>504</v>
      </c>
      <c r="C913" s="91"/>
      <c r="D913" s="91"/>
      <c r="E913" s="16" t="s">
        <v>123</v>
      </c>
      <c r="F913" s="16" t="s">
        <v>1061</v>
      </c>
      <c r="G913" s="16">
        <f t="shared" si="53"/>
        <v>1</v>
      </c>
      <c r="H913" s="91">
        <v>1</v>
      </c>
    </row>
    <row r="914" spans="1:8" ht="15" customHeight="1" x14ac:dyDescent="0.3">
      <c r="A914" s="91">
        <f t="shared" si="52"/>
        <v>17005</v>
      </c>
      <c r="B914" s="9" t="s">
        <v>505</v>
      </c>
      <c r="C914" s="91"/>
      <c r="D914" s="91"/>
      <c r="E914" s="16" t="s">
        <v>123</v>
      </c>
      <c r="F914" s="16" t="s">
        <v>1061</v>
      </c>
      <c r="G914" s="16">
        <f t="shared" si="53"/>
        <v>1</v>
      </c>
      <c r="H914" s="91">
        <v>1</v>
      </c>
    </row>
    <row r="915" spans="1:8" ht="15" customHeight="1" x14ac:dyDescent="0.3">
      <c r="A915" s="91">
        <f t="shared" si="52"/>
        <v>17006</v>
      </c>
      <c r="B915" s="9" t="s">
        <v>506</v>
      </c>
      <c r="C915" s="91"/>
      <c r="D915" s="91"/>
      <c r="E915" s="16" t="s">
        <v>123</v>
      </c>
      <c r="F915" s="16" t="s">
        <v>1061</v>
      </c>
      <c r="G915" s="16">
        <f t="shared" si="53"/>
        <v>1</v>
      </c>
      <c r="H915" s="91">
        <v>1</v>
      </c>
    </row>
    <row r="916" spans="1:8" ht="15" customHeight="1" x14ac:dyDescent="0.3">
      <c r="A916" s="91">
        <f t="shared" si="52"/>
        <v>17007</v>
      </c>
      <c r="B916" s="9" t="s">
        <v>507</v>
      </c>
      <c r="C916" s="91"/>
      <c r="D916" s="91"/>
      <c r="E916" s="16" t="s">
        <v>123</v>
      </c>
      <c r="F916" s="16" t="s">
        <v>1061</v>
      </c>
      <c r="G916" s="16">
        <f>IF(OR(E916="U16", E916="S16"),1,IF(E916="TS",6,2))</f>
        <v>1</v>
      </c>
      <c r="H916" s="91">
        <v>1</v>
      </c>
    </row>
    <row r="917" spans="1:8" ht="15" customHeight="1" x14ac:dyDescent="0.3">
      <c r="A917" s="91">
        <f t="shared" si="52"/>
        <v>17008</v>
      </c>
      <c r="B917" s="9" t="s">
        <v>508</v>
      </c>
      <c r="C917" s="91"/>
      <c r="D917" s="91"/>
      <c r="E917" s="16" t="s">
        <v>123</v>
      </c>
      <c r="F917" s="16" t="s">
        <v>1061</v>
      </c>
      <c r="G917" s="16">
        <f>IF(OR(E917="U16", E917="S16"),1,IF(E917="TS",6,2))</f>
        <v>1</v>
      </c>
      <c r="H917" s="91">
        <v>1</v>
      </c>
    </row>
    <row r="918" spans="1:8" ht="15" customHeight="1" x14ac:dyDescent="0.3">
      <c r="A918" s="91">
        <f t="shared" si="52"/>
        <v>17009</v>
      </c>
      <c r="B918" s="9" t="s">
        <v>509</v>
      </c>
      <c r="C918" s="91"/>
      <c r="D918" s="91"/>
      <c r="E918" s="16" t="s">
        <v>123</v>
      </c>
      <c r="F918" s="16" t="s">
        <v>1061</v>
      </c>
      <c r="G918" s="16">
        <f>IF(OR(E918="U16", E918="S16"),1,IF(E918="TS",6,2))</f>
        <v>1</v>
      </c>
      <c r="H918" s="91">
        <v>1</v>
      </c>
    </row>
    <row r="919" spans="1:8" ht="15" customHeight="1" x14ac:dyDescent="0.3">
      <c r="A919" s="91">
        <f t="shared" si="52"/>
        <v>17010</v>
      </c>
      <c r="B919" s="9"/>
      <c r="C919" s="91"/>
      <c r="D919" s="91"/>
      <c r="E919" s="16" t="s">
        <v>123</v>
      </c>
      <c r="F919" s="16" t="s">
        <v>1061</v>
      </c>
      <c r="G919" s="16">
        <f>IF(OR(E919="U16", E919="S16"),1,IF(E919="TS",6,2))</f>
        <v>1</v>
      </c>
      <c r="H919" s="91">
        <v>4</v>
      </c>
    </row>
    <row r="920" spans="1:8" ht="15" customHeight="1" x14ac:dyDescent="0.3">
      <c r="A920" s="122" t="s">
        <v>222</v>
      </c>
      <c r="B920" s="122"/>
      <c r="C920" s="122"/>
      <c r="D920" s="122"/>
      <c r="E920" s="122"/>
      <c r="F920" s="122"/>
      <c r="G920" s="122"/>
      <c r="H920" s="122"/>
    </row>
    <row r="921" spans="1:8" ht="15" customHeight="1" x14ac:dyDescent="0.3">
      <c r="A921" s="91">
        <f>A919+(G919*H919)</f>
        <v>17014</v>
      </c>
      <c r="B921" s="13" t="s">
        <v>221</v>
      </c>
      <c r="C921" s="91"/>
      <c r="D921" s="91"/>
      <c r="E921" s="16" t="s">
        <v>123</v>
      </c>
      <c r="F921" s="16" t="s">
        <v>1061</v>
      </c>
      <c r="G921" s="16">
        <f>IF(OR(E921="U16", E921="S16"),1,IF(E921="TS",6,2))</f>
        <v>1</v>
      </c>
      <c r="H921" s="91">
        <v>1</v>
      </c>
    </row>
    <row r="922" spans="1:8" ht="15" customHeight="1" x14ac:dyDescent="0.3">
      <c r="A922" s="91">
        <f>A921+(G921*H921)</f>
        <v>17015</v>
      </c>
      <c r="B922" s="13" t="s">
        <v>223</v>
      </c>
      <c r="C922" s="91"/>
      <c r="D922" s="91"/>
      <c r="E922" s="16" t="s">
        <v>123</v>
      </c>
      <c r="F922" s="16" t="s">
        <v>1061</v>
      </c>
      <c r="G922" s="16">
        <f>IF(OR(E922="U16", E922="S16"),1,IF(E922="TS",6,2))</f>
        <v>1</v>
      </c>
      <c r="H922" s="91">
        <v>1</v>
      </c>
    </row>
    <row r="923" spans="1:8" ht="15" customHeight="1" x14ac:dyDescent="0.3">
      <c r="A923" s="91">
        <f>A922+(G922*H922)</f>
        <v>17016</v>
      </c>
      <c r="B923" s="13" t="s">
        <v>41</v>
      </c>
      <c r="C923" s="91"/>
      <c r="D923" s="91"/>
      <c r="E923" s="16" t="s">
        <v>123</v>
      </c>
      <c r="F923" s="16"/>
      <c r="G923" s="16">
        <f>IF(OR(E923="U16", E923="S16"),1,IF(E923="TS",6,2))</f>
        <v>1</v>
      </c>
      <c r="H923" s="91">
        <v>8</v>
      </c>
    </row>
    <row r="924" spans="1:8" ht="15" customHeight="1" x14ac:dyDescent="0.3">
      <c r="A924" s="122" t="s">
        <v>236</v>
      </c>
      <c r="B924" s="122"/>
      <c r="C924" s="122"/>
      <c r="D924" s="122"/>
      <c r="E924" s="122"/>
      <c r="F924" s="122"/>
      <c r="G924" s="122"/>
      <c r="H924" s="122"/>
    </row>
    <row r="925" spans="1:8" ht="15" customHeight="1" x14ac:dyDescent="0.3">
      <c r="A925" s="91">
        <f>A923+(G923*H923)</f>
        <v>17024</v>
      </c>
      <c r="B925" s="9" t="s">
        <v>433</v>
      </c>
      <c r="C925" s="91"/>
      <c r="D925" s="91"/>
      <c r="E925" s="16" t="s">
        <v>123</v>
      </c>
      <c r="F925" s="16" t="s">
        <v>1061</v>
      </c>
      <c r="G925" s="16">
        <f t="shared" ref="G925:G965" si="54">IF(OR(E925="U16", E925="S16"),1,IF(E925="TS",6,2))</f>
        <v>1</v>
      </c>
      <c r="H925" s="91">
        <v>1</v>
      </c>
    </row>
    <row r="926" spans="1:8" ht="15" customHeight="1" x14ac:dyDescent="0.3">
      <c r="A926" s="91">
        <f t="shared" ref="A926:A965" si="55">A925+(G925*H925)</f>
        <v>17025</v>
      </c>
      <c r="B926" s="9" t="s">
        <v>197</v>
      </c>
      <c r="C926" s="91"/>
      <c r="D926" s="91"/>
      <c r="E926" s="16" t="s">
        <v>123</v>
      </c>
      <c r="F926" s="16"/>
      <c r="G926" s="16">
        <f t="shared" si="54"/>
        <v>1</v>
      </c>
      <c r="H926" s="91">
        <v>1</v>
      </c>
    </row>
    <row r="927" spans="1:8" ht="15" customHeight="1" x14ac:dyDescent="0.3">
      <c r="A927" s="91">
        <f t="shared" si="55"/>
        <v>17026</v>
      </c>
      <c r="B927" s="9"/>
      <c r="C927" s="91"/>
      <c r="D927" s="91"/>
      <c r="E927" s="16" t="s">
        <v>123</v>
      </c>
      <c r="F927" s="16"/>
      <c r="G927" s="16">
        <f>IF(OR(E927="U16", E927="S16"),1,IF(E927="TS",6,2))</f>
        <v>1</v>
      </c>
      <c r="H927" s="91">
        <v>1</v>
      </c>
    </row>
    <row r="928" spans="1:8" ht="15" customHeight="1" x14ac:dyDescent="0.3">
      <c r="A928" s="91">
        <f t="shared" si="55"/>
        <v>17027</v>
      </c>
      <c r="B928" s="9"/>
      <c r="C928" s="91"/>
      <c r="D928" s="91"/>
      <c r="E928" s="16" t="s">
        <v>123</v>
      </c>
      <c r="F928" s="16"/>
      <c r="G928" s="16">
        <f>IF(OR(E928="U16", E928="S16"),1,IF(E928="TS",6,2))</f>
        <v>1</v>
      </c>
      <c r="H928" s="91">
        <v>1</v>
      </c>
    </row>
    <row r="929" spans="1:8" ht="15" customHeight="1" x14ac:dyDescent="0.3">
      <c r="A929" s="134" t="s">
        <v>351</v>
      </c>
      <c r="B929" s="134"/>
      <c r="C929" s="134"/>
      <c r="D929" s="134"/>
      <c r="E929" s="134"/>
      <c r="F929" s="134"/>
      <c r="G929" s="134"/>
      <c r="H929" s="134"/>
    </row>
    <row r="930" spans="1:8" ht="15" customHeight="1" x14ac:dyDescent="0.3">
      <c r="A930" s="95">
        <f>A928+(G928*H928)</f>
        <v>17028</v>
      </c>
      <c r="B930" s="31" t="s">
        <v>436</v>
      </c>
      <c r="C930" s="133"/>
      <c r="D930" s="95"/>
      <c r="E930" s="95" t="s">
        <v>123</v>
      </c>
      <c r="F930" s="95" t="s">
        <v>1062</v>
      </c>
      <c r="G930" s="95">
        <f t="shared" si="54"/>
        <v>1</v>
      </c>
      <c r="H930" s="95">
        <v>1</v>
      </c>
    </row>
    <row r="931" spans="1:8" ht="15" customHeight="1" x14ac:dyDescent="0.3">
      <c r="A931" s="95">
        <f t="shared" si="55"/>
        <v>17029</v>
      </c>
      <c r="B931" s="31" t="s">
        <v>519</v>
      </c>
      <c r="C931" s="133"/>
      <c r="D931" s="95"/>
      <c r="E931" s="95" t="s">
        <v>123</v>
      </c>
      <c r="F931" s="95" t="s">
        <v>1062</v>
      </c>
      <c r="G931" s="95">
        <f t="shared" si="54"/>
        <v>1</v>
      </c>
      <c r="H931" s="95">
        <v>1</v>
      </c>
    </row>
    <row r="932" spans="1:8" ht="15" customHeight="1" x14ac:dyDescent="0.3">
      <c r="A932" s="95">
        <f t="shared" si="55"/>
        <v>17030</v>
      </c>
      <c r="B932" s="31" t="s">
        <v>520</v>
      </c>
      <c r="C932" s="133"/>
      <c r="D932" s="95"/>
      <c r="E932" s="95" t="s">
        <v>123</v>
      </c>
      <c r="F932" s="95" t="s">
        <v>1061</v>
      </c>
      <c r="G932" s="95">
        <f t="shared" si="54"/>
        <v>1</v>
      </c>
      <c r="H932" s="95">
        <v>1</v>
      </c>
    </row>
    <row r="933" spans="1:8" ht="15" customHeight="1" x14ac:dyDescent="0.3">
      <c r="A933" s="95">
        <f t="shared" si="55"/>
        <v>17031</v>
      </c>
      <c r="B933" s="31" t="s">
        <v>435</v>
      </c>
      <c r="C933" s="133"/>
      <c r="D933" s="95"/>
      <c r="E933" s="95" t="s">
        <v>123</v>
      </c>
      <c r="F933" s="95" t="s">
        <v>1061</v>
      </c>
      <c r="G933" s="95">
        <f t="shared" si="54"/>
        <v>1</v>
      </c>
      <c r="H933" s="95">
        <v>1</v>
      </c>
    </row>
    <row r="934" spans="1:8" ht="15" customHeight="1" x14ac:dyDescent="0.3">
      <c r="A934" s="95">
        <f t="shared" si="55"/>
        <v>17032</v>
      </c>
      <c r="B934" s="31" t="s">
        <v>518</v>
      </c>
      <c r="C934" s="133"/>
      <c r="D934" s="95"/>
      <c r="E934" s="95" t="s">
        <v>58</v>
      </c>
      <c r="F934" s="95" t="s">
        <v>1061</v>
      </c>
      <c r="G934" s="95">
        <f t="shared" si="54"/>
        <v>2</v>
      </c>
      <c r="H934" s="95">
        <v>1</v>
      </c>
    </row>
    <row r="935" spans="1:8" ht="15" customHeight="1" x14ac:dyDescent="0.3">
      <c r="A935" s="91">
        <f t="shared" si="55"/>
        <v>17034</v>
      </c>
      <c r="B935" s="9" t="s">
        <v>350</v>
      </c>
      <c r="C935" s="91"/>
      <c r="D935" s="91"/>
      <c r="E935" s="16" t="s">
        <v>123</v>
      </c>
      <c r="F935" s="16" t="s">
        <v>1061</v>
      </c>
      <c r="G935" s="16">
        <f t="shared" si="54"/>
        <v>1</v>
      </c>
      <c r="H935" s="91">
        <v>6</v>
      </c>
    </row>
    <row r="936" spans="1:8" ht="15" customHeight="1" x14ac:dyDescent="0.3">
      <c r="A936" s="91">
        <f t="shared" si="55"/>
        <v>17040</v>
      </c>
      <c r="B936" s="9" t="s">
        <v>352</v>
      </c>
      <c r="C936" s="91"/>
      <c r="D936" s="91"/>
      <c r="E936" s="16" t="s">
        <v>123</v>
      </c>
      <c r="F936" s="16" t="s">
        <v>1061</v>
      </c>
      <c r="G936" s="16">
        <f t="shared" si="54"/>
        <v>1</v>
      </c>
      <c r="H936" s="91">
        <v>6</v>
      </c>
    </row>
    <row r="937" spans="1:8" ht="15" customHeight="1" x14ac:dyDescent="0.3">
      <c r="A937" s="91">
        <f t="shared" si="55"/>
        <v>17046</v>
      </c>
      <c r="B937" s="9" t="s">
        <v>353</v>
      </c>
      <c r="C937" s="91"/>
      <c r="D937" s="91"/>
      <c r="E937" s="16" t="s">
        <v>123</v>
      </c>
      <c r="F937" s="16" t="s">
        <v>1061</v>
      </c>
      <c r="G937" s="16">
        <f t="shared" si="54"/>
        <v>1</v>
      </c>
      <c r="H937" s="91">
        <v>6</v>
      </c>
    </row>
    <row r="938" spans="1:8" ht="15" customHeight="1" x14ac:dyDescent="0.3">
      <c r="A938" s="91">
        <f t="shared" si="55"/>
        <v>17052</v>
      </c>
      <c r="B938" s="9" t="s">
        <v>354</v>
      </c>
      <c r="C938" s="91"/>
      <c r="D938" s="91"/>
      <c r="E938" s="16" t="s">
        <v>123</v>
      </c>
      <c r="F938" s="16" t="s">
        <v>1061</v>
      </c>
      <c r="G938" s="16">
        <f t="shared" si="54"/>
        <v>1</v>
      </c>
      <c r="H938" s="91">
        <v>6</v>
      </c>
    </row>
    <row r="939" spans="1:8" ht="15" customHeight="1" x14ac:dyDescent="0.3">
      <c r="A939" s="91">
        <f t="shared" si="55"/>
        <v>17058</v>
      </c>
      <c r="B939" s="9" t="s">
        <v>355</v>
      </c>
      <c r="C939" s="91"/>
      <c r="D939" s="91"/>
      <c r="E939" s="16" t="s">
        <v>123</v>
      </c>
      <c r="F939" s="16" t="s">
        <v>1061</v>
      </c>
      <c r="G939" s="16">
        <f t="shared" si="54"/>
        <v>1</v>
      </c>
      <c r="H939" s="91">
        <v>6</v>
      </c>
    </row>
    <row r="940" spans="1:8" ht="15" customHeight="1" x14ac:dyDescent="0.3">
      <c r="A940" s="91">
        <f t="shared" si="55"/>
        <v>17064</v>
      </c>
      <c r="B940" s="9" t="s">
        <v>356</v>
      </c>
      <c r="C940" s="91"/>
      <c r="D940" s="91"/>
      <c r="E940" s="16" t="s">
        <v>123</v>
      </c>
      <c r="F940" s="16" t="s">
        <v>1061</v>
      </c>
      <c r="G940" s="16">
        <f t="shared" si="54"/>
        <v>1</v>
      </c>
      <c r="H940" s="91">
        <v>6</v>
      </c>
    </row>
    <row r="941" spans="1:8" ht="15" customHeight="1" x14ac:dyDescent="0.3">
      <c r="A941" s="91">
        <f t="shared" si="55"/>
        <v>17070</v>
      </c>
      <c r="B941" s="9" t="s">
        <v>357</v>
      </c>
      <c r="C941" s="91"/>
      <c r="D941" s="91"/>
      <c r="E941" s="16" t="s">
        <v>123</v>
      </c>
      <c r="F941" s="16" t="s">
        <v>1061</v>
      </c>
      <c r="G941" s="16">
        <f t="shared" si="54"/>
        <v>1</v>
      </c>
      <c r="H941" s="91">
        <v>6</v>
      </c>
    </row>
    <row r="942" spans="1:8" ht="15" customHeight="1" x14ac:dyDescent="0.3">
      <c r="A942" s="91">
        <f t="shared" si="55"/>
        <v>17076</v>
      </c>
      <c r="B942" s="9" t="s">
        <v>358</v>
      </c>
      <c r="C942" s="91"/>
      <c r="D942" s="91"/>
      <c r="E942" s="16" t="s">
        <v>123</v>
      </c>
      <c r="F942" s="16" t="s">
        <v>1061</v>
      </c>
      <c r="G942" s="16">
        <f t="shared" si="54"/>
        <v>1</v>
      </c>
      <c r="H942" s="91">
        <v>6</v>
      </c>
    </row>
    <row r="943" spans="1:8" ht="15" customHeight="1" x14ac:dyDescent="0.3">
      <c r="A943" s="91">
        <f t="shared" si="55"/>
        <v>17082</v>
      </c>
      <c r="B943" s="9" t="s">
        <v>359</v>
      </c>
      <c r="C943" s="91"/>
      <c r="D943" s="91"/>
      <c r="E943" s="16" t="s">
        <v>123</v>
      </c>
      <c r="F943" s="16" t="s">
        <v>1061</v>
      </c>
      <c r="G943" s="16">
        <f t="shared" si="54"/>
        <v>1</v>
      </c>
      <c r="H943" s="91">
        <v>6</v>
      </c>
    </row>
    <row r="944" spans="1:8" ht="15" customHeight="1" x14ac:dyDescent="0.3">
      <c r="A944" s="91">
        <f t="shared" si="55"/>
        <v>17088</v>
      </c>
      <c r="B944" s="9" t="s">
        <v>360</v>
      </c>
      <c r="C944" s="91"/>
      <c r="D944" s="91"/>
      <c r="E944" s="16" t="s">
        <v>123</v>
      </c>
      <c r="F944" s="16" t="s">
        <v>1061</v>
      </c>
      <c r="G944" s="16">
        <f t="shared" si="54"/>
        <v>1</v>
      </c>
      <c r="H944" s="91">
        <v>6</v>
      </c>
    </row>
    <row r="945" spans="1:8" ht="15" customHeight="1" x14ac:dyDescent="0.3">
      <c r="A945" s="91">
        <f t="shared" si="55"/>
        <v>17094</v>
      </c>
      <c r="B945" s="9" t="s">
        <v>361</v>
      </c>
      <c r="C945" s="91"/>
      <c r="D945" s="91"/>
      <c r="E945" s="16" t="s">
        <v>123</v>
      </c>
      <c r="F945" s="16" t="s">
        <v>1061</v>
      </c>
      <c r="G945" s="16">
        <f t="shared" si="54"/>
        <v>1</v>
      </c>
      <c r="H945" s="91">
        <v>6</v>
      </c>
    </row>
    <row r="946" spans="1:8" ht="15" customHeight="1" x14ac:dyDescent="0.3">
      <c r="A946" s="91">
        <f t="shared" si="55"/>
        <v>17100</v>
      </c>
      <c r="B946" s="9" t="s">
        <v>362</v>
      </c>
      <c r="C946" s="91"/>
      <c r="D946" s="91"/>
      <c r="E946" s="16" t="s">
        <v>123</v>
      </c>
      <c r="F946" s="16" t="s">
        <v>1061</v>
      </c>
      <c r="G946" s="16">
        <f t="shared" si="54"/>
        <v>1</v>
      </c>
      <c r="H946" s="91">
        <v>6</v>
      </c>
    </row>
    <row r="947" spans="1:8" ht="15" customHeight="1" x14ac:dyDescent="0.3">
      <c r="A947" s="91">
        <f t="shared" si="55"/>
        <v>17106</v>
      </c>
      <c r="B947" s="9" t="s">
        <v>363</v>
      </c>
      <c r="C947" s="91"/>
      <c r="D947" s="91"/>
      <c r="E947" s="16" t="s">
        <v>123</v>
      </c>
      <c r="F947" s="16" t="s">
        <v>1061</v>
      </c>
      <c r="G947" s="16">
        <f t="shared" si="54"/>
        <v>1</v>
      </c>
      <c r="H947" s="91">
        <v>6</v>
      </c>
    </row>
    <row r="948" spans="1:8" ht="15" customHeight="1" x14ac:dyDescent="0.3">
      <c r="A948" s="91">
        <f t="shared" si="55"/>
        <v>17112</v>
      </c>
      <c r="B948" s="9" t="s">
        <v>364</v>
      </c>
      <c r="C948" s="91"/>
      <c r="D948" s="91"/>
      <c r="E948" s="16" t="s">
        <v>123</v>
      </c>
      <c r="F948" s="16" t="s">
        <v>1061</v>
      </c>
      <c r="G948" s="16">
        <f t="shared" si="54"/>
        <v>1</v>
      </c>
      <c r="H948" s="91">
        <v>6</v>
      </c>
    </row>
    <row r="949" spans="1:8" ht="15" customHeight="1" x14ac:dyDescent="0.3">
      <c r="A949" s="91">
        <f t="shared" si="55"/>
        <v>17118</v>
      </c>
      <c r="B949" s="9" t="s">
        <v>365</v>
      </c>
      <c r="C949" s="91"/>
      <c r="D949" s="91"/>
      <c r="E949" s="16" t="s">
        <v>123</v>
      </c>
      <c r="F949" s="16" t="s">
        <v>1061</v>
      </c>
      <c r="G949" s="16">
        <f t="shared" si="54"/>
        <v>1</v>
      </c>
      <c r="H949" s="91">
        <v>6</v>
      </c>
    </row>
    <row r="950" spans="1:8" ht="15" customHeight="1" x14ac:dyDescent="0.3">
      <c r="A950" s="91">
        <f t="shared" si="55"/>
        <v>17124</v>
      </c>
      <c r="B950" s="9" t="s">
        <v>366</v>
      </c>
      <c r="C950" s="91"/>
      <c r="D950" s="91"/>
      <c r="E950" s="16" t="s">
        <v>123</v>
      </c>
      <c r="F950" s="16" t="s">
        <v>1061</v>
      </c>
      <c r="G950" s="16">
        <f t="shared" si="54"/>
        <v>1</v>
      </c>
      <c r="H950" s="91">
        <v>6</v>
      </c>
    </row>
    <row r="951" spans="1:8" ht="15" customHeight="1" x14ac:dyDescent="0.3">
      <c r="A951" s="91">
        <f t="shared" si="55"/>
        <v>17130</v>
      </c>
      <c r="B951" s="9" t="s">
        <v>367</v>
      </c>
      <c r="C951" s="91"/>
      <c r="D951" s="91"/>
      <c r="E951" s="16" t="s">
        <v>123</v>
      </c>
      <c r="F951" s="16" t="s">
        <v>1061</v>
      </c>
      <c r="G951" s="16">
        <f t="shared" si="54"/>
        <v>1</v>
      </c>
      <c r="H951" s="91">
        <v>6</v>
      </c>
    </row>
    <row r="952" spans="1:8" ht="15" customHeight="1" x14ac:dyDescent="0.3">
      <c r="A952" s="91">
        <f t="shared" si="55"/>
        <v>17136</v>
      </c>
      <c r="B952" s="9" t="s">
        <v>368</v>
      </c>
      <c r="C952" s="91"/>
      <c r="D952" s="91"/>
      <c r="E952" s="16" t="s">
        <v>123</v>
      </c>
      <c r="F952" s="16" t="s">
        <v>1061</v>
      </c>
      <c r="G952" s="16">
        <f t="shared" si="54"/>
        <v>1</v>
      </c>
      <c r="H952" s="91">
        <v>6</v>
      </c>
    </row>
    <row r="953" spans="1:8" ht="15" customHeight="1" x14ac:dyDescent="0.3">
      <c r="A953" s="91">
        <f t="shared" si="55"/>
        <v>17142</v>
      </c>
      <c r="B953" s="9" t="s">
        <v>369</v>
      </c>
      <c r="C953" s="91"/>
      <c r="D953" s="91"/>
      <c r="E953" s="16" t="s">
        <v>123</v>
      </c>
      <c r="F953" s="16" t="s">
        <v>1061</v>
      </c>
      <c r="G953" s="16">
        <f t="shared" si="54"/>
        <v>1</v>
      </c>
      <c r="H953" s="91">
        <v>6</v>
      </c>
    </row>
    <row r="954" spans="1:8" ht="15" customHeight="1" x14ac:dyDescent="0.3">
      <c r="A954" s="91">
        <f t="shared" si="55"/>
        <v>17148</v>
      </c>
      <c r="B954" s="9" t="s">
        <v>370</v>
      </c>
      <c r="C954" s="91"/>
      <c r="D954" s="91"/>
      <c r="E954" s="16" t="s">
        <v>123</v>
      </c>
      <c r="F954" s="16" t="s">
        <v>1061</v>
      </c>
      <c r="G954" s="16">
        <f t="shared" si="54"/>
        <v>1</v>
      </c>
      <c r="H954" s="91">
        <v>6</v>
      </c>
    </row>
    <row r="955" spans="1:8" ht="15" customHeight="1" x14ac:dyDescent="0.3">
      <c r="A955" s="91">
        <f t="shared" si="55"/>
        <v>17154</v>
      </c>
      <c r="B955" s="9" t="s">
        <v>371</v>
      </c>
      <c r="C955" s="91"/>
      <c r="D955" s="91"/>
      <c r="E955" s="16" t="s">
        <v>123</v>
      </c>
      <c r="F955" s="16" t="s">
        <v>1061</v>
      </c>
      <c r="G955" s="16">
        <f t="shared" si="54"/>
        <v>1</v>
      </c>
      <c r="H955" s="91">
        <v>6</v>
      </c>
    </row>
    <row r="956" spans="1:8" ht="15" customHeight="1" x14ac:dyDescent="0.3">
      <c r="A956" s="91">
        <f t="shared" si="55"/>
        <v>17160</v>
      </c>
      <c r="B956" s="9" t="s">
        <v>372</v>
      </c>
      <c r="C956" s="91"/>
      <c r="D956" s="91"/>
      <c r="E956" s="16" t="s">
        <v>123</v>
      </c>
      <c r="F956" s="16" t="s">
        <v>1061</v>
      </c>
      <c r="G956" s="16">
        <f t="shared" si="54"/>
        <v>1</v>
      </c>
      <c r="H956" s="91">
        <v>6</v>
      </c>
    </row>
    <row r="957" spans="1:8" ht="15" customHeight="1" x14ac:dyDescent="0.3">
      <c r="A957" s="91">
        <f t="shared" si="55"/>
        <v>17166</v>
      </c>
      <c r="B957" s="9" t="s">
        <v>373</v>
      </c>
      <c r="C957" s="91"/>
      <c r="D957" s="91"/>
      <c r="E957" s="16" t="s">
        <v>123</v>
      </c>
      <c r="F957" s="16" t="s">
        <v>1061</v>
      </c>
      <c r="G957" s="16">
        <f t="shared" si="54"/>
        <v>1</v>
      </c>
      <c r="H957" s="91">
        <v>6</v>
      </c>
    </row>
    <row r="958" spans="1:8" ht="15" customHeight="1" x14ac:dyDescent="0.3">
      <c r="A958" s="91">
        <f t="shared" si="55"/>
        <v>17172</v>
      </c>
      <c r="B958" s="9" t="s">
        <v>374</v>
      </c>
      <c r="C958" s="91"/>
      <c r="D958" s="91"/>
      <c r="E958" s="16" t="s">
        <v>123</v>
      </c>
      <c r="F958" s="16" t="s">
        <v>1061</v>
      </c>
      <c r="G958" s="16">
        <f t="shared" si="54"/>
        <v>1</v>
      </c>
      <c r="H958" s="91">
        <v>6</v>
      </c>
    </row>
    <row r="959" spans="1:8" ht="15" customHeight="1" x14ac:dyDescent="0.3">
      <c r="A959" s="91">
        <f t="shared" si="55"/>
        <v>17178</v>
      </c>
      <c r="B959" s="9" t="s">
        <v>375</v>
      </c>
      <c r="C959" s="91"/>
      <c r="D959" s="91"/>
      <c r="E959" s="16" t="s">
        <v>123</v>
      </c>
      <c r="F959" s="16" t="s">
        <v>1061</v>
      </c>
      <c r="G959" s="16">
        <f t="shared" si="54"/>
        <v>1</v>
      </c>
      <c r="H959" s="91">
        <v>6</v>
      </c>
    </row>
    <row r="960" spans="1:8" ht="15" customHeight="1" x14ac:dyDescent="0.3">
      <c r="A960" s="91">
        <f t="shared" si="55"/>
        <v>17184</v>
      </c>
      <c r="B960" s="9" t="s">
        <v>376</v>
      </c>
      <c r="C960" s="91"/>
      <c r="D960" s="91"/>
      <c r="E960" s="16" t="s">
        <v>123</v>
      </c>
      <c r="F960" s="16" t="s">
        <v>1061</v>
      </c>
      <c r="G960" s="16">
        <f t="shared" si="54"/>
        <v>1</v>
      </c>
      <c r="H960" s="91">
        <v>6</v>
      </c>
    </row>
    <row r="961" spans="1:8" ht="15" customHeight="1" x14ac:dyDescent="0.3">
      <c r="A961" s="91">
        <f t="shared" si="55"/>
        <v>17190</v>
      </c>
      <c r="B961" s="9" t="s">
        <v>377</v>
      </c>
      <c r="C961" s="91"/>
      <c r="D961" s="91"/>
      <c r="E961" s="16" t="s">
        <v>123</v>
      </c>
      <c r="F961" s="16" t="s">
        <v>1061</v>
      </c>
      <c r="G961" s="16">
        <f t="shared" si="54"/>
        <v>1</v>
      </c>
      <c r="H961" s="91">
        <v>6</v>
      </c>
    </row>
    <row r="962" spans="1:8" ht="15" customHeight="1" x14ac:dyDescent="0.3">
      <c r="A962" s="91">
        <f t="shared" si="55"/>
        <v>17196</v>
      </c>
      <c r="B962" s="9" t="s">
        <v>378</v>
      </c>
      <c r="C962" s="91"/>
      <c r="D962" s="91"/>
      <c r="E962" s="16" t="s">
        <v>123</v>
      </c>
      <c r="F962" s="16" t="s">
        <v>1061</v>
      </c>
      <c r="G962" s="16">
        <f t="shared" si="54"/>
        <v>1</v>
      </c>
      <c r="H962" s="91">
        <v>6</v>
      </c>
    </row>
    <row r="963" spans="1:8" ht="15" customHeight="1" x14ac:dyDescent="0.3">
      <c r="A963" s="91">
        <f t="shared" si="55"/>
        <v>17202</v>
      </c>
      <c r="B963" s="9" t="s">
        <v>379</v>
      </c>
      <c r="C963" s="91"/>
      <c r="D963" s="91"/>
      <c r="E963" s="16" t="s">
        <v>123</v>
      </c>
      <c r="F963" s="16" t="s">
        <v>1061</v>
      </c>
      <c r="G963" s="16">
        <f t="shared" si="54"/>
        <v>1</v>
      </c>
      <c r="H963" s="91">
        <v>6</v>
      </c>
    </row>
    <row r="964" spans="1:8" ht="15" customHeight="1" x14ac:dyDescent="0.3">
      <c r="A964" s="91">
        <f t="shared" si="55"/>
        <v>17208</v>
      </c>
      <c r="B964" s="9" t="s">
        <v>380</v>
      </c>
      <c r="C964" s="91"/>
      <c r="D964" s="91"/>
      <c r="E964" s="16" t="s">
        <v>123</v>
      </c>
      <c r="F964" s="16" t="s">
        <v>1061</v>
      </c>
      <c r="G964" s="16">
        <f t="shared" si="54"/>
        <v>1</v>
      </c>
      <c r="H964" s="91">
        <v>6</v>
      </c>
    </row>
    <row r="965" spans="1:8" ht="15" customHeight="1" x14ac:dyDescent="0.3">
      <c r="A965" s="91">
        <f t="shared" si="55"/>
        <v>17214</v>
      </c>
      <c r="B965" s="9" t="s">
        <v>381</v>
      </c>
      <c r="C965" s="91"/>
      <c r="D965" s="91"/>
      <c r="E965" s="16" t="s">
        <v>123</v>
      </c>
      <c r="F965" s="16" t="s">
        <v>1061</v>
      </c>
      <c r="G965" s="16">
        <f t="shared" si="54"/>
        <v>1</v>
      </c>
      <c r="H965" s="91">
        <v>6</v>
      </c>
    </row>
    <row r="966" spans="1:8" ht="13.5" customHeight="1" x14ac:dyDescent="0.3">
      <c r="B966" s="8"/>
      <c r="E966" s="8"/>
      <c r="F966" s="8"/>
      <c r="G966" s="8"/>
    </row>
  </sheetData>
  <mergeCells count="100">
    <mergeCell ref="B339:B342"/>
    <mergeCell ref="C24:C25"/>
    <mergeCell ref="A2:H2"/>
    <mergeCell ref="D8:D15"/>
    <mergeCell ref="D16:D17"/>
    <mergeCell ref="C18:C20"/>
    <mergeCell ref="C21:C23"/>
    <mergeCell ref="D68:D75"/>
    <mergeCell ref="C72:C75"/>
    <mergeCell ref="C26:C27"/>
    <mergeCell ref="C28:C29"/>
    <mergeCell ref="D33:D37"/>
    <mergeCell ref="C41:C42"/>
    <mergeCell ref="C43:C44"/>
    <mergeCell ref="C45:C46"/>
    <mergeCell ref="C47:C49"/>
    <mergeCell ref="D50:D51"/>
    <mergeCell ref="D52:D59"/>
    <mergeCell ref="D60:D67"/>
    <mergeCell ref="C64:C67"/>
    <mergeCell ref="D76:D79"/>
    <mergeCell ref="C80:C83"/>
    <mergeCell ref="D80:D83"/>
    <mergeCell ref="C84:C87"/>
    <mergeCell ref="D84:D87"/>
    <mergeCell ref="C88:C91"/>
    <mergeCell ref="D88:D90"/>
    <mergeCell ref="C92:C94"/>
    <mergeCell ref="D92:D115"/>
    <mergeCell ref="C95:C97"/>
    <mergeCell ref="C162:C163"/>
    <mergeCell ref="D116:D119"/>
    <mergeCell ref="D120:D123"/>
    <mergeCell ref="A124:H124"/>
    <mergeCell ref="C143:C148"/>
    <mergeCell ref="A149:H149"/>
    <mergeCell ref="C150:C151"/>
    <mergeCell ref="C152:C153"/>
    <mergeCell ref="C154:C155"/>
    <mergeCell ref="C156:C157"/>
    <mergeCell ref="C158:C159"/>
    <mergeCell ref="C160:C161"/>
    <mergeCell ref="C248:C251"/>
    <mergeCell ref="C164:C165"/>
    <mergeCell ref="A187:H187"/>
    <mergeCell ref="A216:H216"/>
    <mergeCell ref="C222:C224"/>
    <mergeCell ref="C225:C227"/>
    <mergeCell ref="C229:C231"/>
    <mergeCell ref="C232:C234"/>
    <mergeCell ref="C235:C237"/>
    <mergeCell ref="C238:C240"/>
    <mergeCell ref="C241:C243"/>
    <mergeCell ref="C244:C247"/>
    <mergeCell ref="C293:C296"/>
    <mergeCell ref="C252:C255"/>
    <mergeCell ref="C256:C259"/>
    <mergeCell ref="C260:C263"/>
    <mergeCell ref="A264:H264"/>
    <mergeCell ref="C271:C273"/>
    <mergeCell ref="C274:C276"/>
    <mergeCell ref="C278:C280"/>
    <mergeCell ref="C281:C283"/>
    <mergeCell ref="C284:C286"/>
    <mergeCell ref="C287:C289"/>
    <mergeCell ref="C290:C292"/>
    <mergeCell ref="B436:B440"/>
    <mergeCell ref="C297:C300"/>
    <mergeCell ref="C301:C304"/>
    <mergeCell ref="C305:C308"/>
    <mergeCell ref="C309:C312"/>
    <mergeCell ref="A313:H313"/>
    <mergeCell ref="A324:H324"/>
    <mergeCell ref="A335:H335"/>
    <mergeCell ref="A388:H388"/>
    <mergeCell ref="B392:B396"/>
    <mergeCell ref="A431:H431"/>
    <mergeCell ref="A752:H752"/>
    <mergeCell ref="A473:H473"/>
    <mergeCell ref="A478:H478"/>
    <mergeCell ref="A519:H519"/>
    <mergeCell ref="A530:H530"/>
    <mergeCell ref="A543:H543"/>
    <mergeCell ref="A593:H593"/>
    <mergeCell ref="A652:H652"/>
    <mergeCell ref="A656:H656"/>
    <mergeCell ref="A706:H706"/>
    <mergeCell ref="B711:B719"/>
    <mergeCell ref="C930:C934"/>
    <mergeCell ref="B757:B765"/>
    <mergeCell ref="A798:H798"/>
    <mergeCell ref="A799:H799"/>
    <mergeCell ref="A820:H820"/>
    <mergeCell ref="A830:H830"/>
    <mergeCell ref="A831:H831"/>
    <mergeCell ref="A836:H836"/>
    <mergeCell ref="A842:H842"/>
    <mergeCell ref="A920:H920"/>
    <mergeCell ref="A924:H924"/>
    <mergeCell ref="A929:H9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:J966"/>
  <sheetViews>
    <sheetView topLeftCell="A680" workbookViewId="0">
      <selection activeCell="C657" sqref="C657"/>
    </sheetView>
  </sheetViews>
  <sheetFormatPr defaultColWidth="9" defaultRowHeight="13.5" x14ac:dyDescent="0.3"/>
  <cols>
    <col min="1" max="1" width="7.375" style="8" customWidth="1"/>
    <col min="2" max="2" width="40.875" style="96" bestFit="1" customWidth="1"/>
    <col min="3" max="3" width="32.5" style="8" bestFit="1" customWidth="1"/>
    <col min="4" max="4" width="6.875" style="8" bestFit="1" customWidth="1"/>
    <col min="5" max="5" width="5.25" style="17" bestFit="1" customWidth="1"/>
    <col min="6" max="6" width="4.5" style="17" bestFit="1" customWidth="1"/>
    <col min="7" max="7" width="6" style="17" bestFit="1" customWidth="1"/>
    <col min="8" max="8" width="6" style="8" bestFit="1" customWidth="1"/>
    <col min="9" max="9" width="6" style="8" customWidth="1"/>
    <col min="10" max="10" width="75.25" style="96" customWidth="1"/>
    <col min="11" max="16384" width="9" style="8"/>
  </cols>
  <sheetData>
    <row r="1" spans="1:9" ht="27.75" customHeight="1" x14ac:dyDescent="0.3">
      <c r="A1" s="44" t="s">
        <v>646</v>
      </c>
      <c r="B1" s="44" t="s">
        <v>644</v>
      </c>
      <c r="C1" s="44" t="s">
        <v>645</v>
      </c>
      <c r="D1" s="44" t="s">
        <v>650</v>
      </c>
      <c r="E1" s="44" t="s">
        <v>647</v>
      </c>
      <c r="F1" s="44" t="s">
        <v>1058</v>
      </c>
      <c r="G1" s="44" t="s">
        <v>648</v>
      </c>
      <c r="H1" s="44" t="s">
        <v>649</v>
      </c>
      <c r="I1" s="103"/>
    </row>
    <row r="2" spans="1:9" ht="15.95" customHeight="1" x14ac:dyDescent="0.3">
      <c r="A2" s="122" t="s">
        <v>139</v>
      </c>
      <c r="B2" s="122"/>
      <c r="C2" s="122"/>
      <c r="D2" s="122"/>
      <c r="E2" s="122"/>
      <c r="F2" s="122"/>
      <c r="G2" s="122"/>
      <c r="H2" s="122"/>
      <c r="I2" s="104"/>
    </row>
    <row r="3" spans="1:9" ht="15.95" customHeight="1" x14ac:dyDescent="0.3">
      <c r="A3" s="91">
        <v>20000</v>
      </c>
      <c r="B3" s="9" t="s">
        <v>90</v>
      </c>
      <c r="C3" s="91"/>
      <c r="D3" s="91"/>
      <c r="E3" s="16" t="s">
        <v>91</v>
      </c>
      <c r="F3" s="16">
        <v>3</v>
      </c>
      <c r="G3" s="16">
        <f>IF(OR(E3="U16",E3="S16"),1,IF(E3="TS",6,IF(E3="U64",4,2)))</f>
        <v>2</v>
      </c>
      <c r="H3" s="91">
        <v>1</v>
      </c>
      <c r="I3" s="98"/>
    </row>
    <row r="4" spans="1:9" ht="15.95" customHeight="1" x14ac:dyDescent="0.3">
      <c r="A4" s="94">
        <f>A3+(G3*H3)</f>
        <v>20002</v>
      </c>
      <c r="B4" s="59" t="s">
        <v>647</v>
      </c>
      <c r="C4" s="91"/>
      <c r="D4" s="91"/>
      <c r="E4" s="16" t="s">
        <v>123</v>
      </c>
      <c r="F4" s="16">
        <v>3</v>
      </c>
      <c r="G4" s="16">
        <v>1</v>
      </c>
      <c r="H4" s="91">
        <v>1</v>
      </c>
      <c r="I4" s="98"/>
    </row>
    <row r="5" spans="1:9" ht="15.95" customHeight="1" x14ac:dyDescent="0.3">
      <c r="A5" s="94">
        <f t="shared" ref="A5:A68" si="0">A4+(G4*H4)</f>
        <v>20003</v>
      </c>
      <c r="B5" s="59" t="s">
        <v>979</v>
      </c>
      <c r="C5" s="91" t="s">
        <v>980</v>
      </c>
      <c r="D5" s="91"/>
      <c r="E5" s="16" t="s">
        <v>123</v>
      </c>
      <c r="F5" s="16">
        <v>3</v>
      </c>
      <c r="G5" s="16">
        <v>1</v>
      </c>
      <c r="H5" s="91">
        <v>1</v>
      </c>
      <c r="I5" s="98"/>
    </row>
    <row r="6" spans="1:9" ht="15.95" customHeight="1" x14ac:dyDescent="0.3">
      <c r="A6" s="94">
        <f t="shared" si="0"/>
        <v>20004</v>
      </c>
      <c r="B6" s="59" t="s">
        <v>30</v>
      </c>
      <c r="C6" s="91" t="s">
        <v>608</v>
      </c>
      <c r="D6" s="91" t="s">
        <v>651</v>
      </c>
      <c r="E6" s="16" t="s">
        <v>58</v>
      </c>
      <c r="F6" s="16">
        <v>3</v>
      </c>
      <c r="G6" s="16">
        <f t="shared" ref="G6:G69" si="1">IF(OR(E6="U16",E6="S16"),1,IF(E6="TS",6,IF(E6="U64",4,2)))</f>
        <v>2</v>
      </c>
      <c r="H6" s="91">
        <v>1</v>
      </c>
      <c r="I6" s="98"/>
    </row>
    <row r="7" spans="1:9" ht="15.95" customHeight="1" x14ac:dyDescent="0.3">
      <c r="A7" s="94">
        <f t="shared" si="0"/>
        <v>20006</v>
      </c>
      <c r="B7" s="59" t="s">
        <v>147</v>
      </c>
      <c r="C7" s="91"/>
      <c r="D7" s="45" t="s">
        <v>652</v>
      </c>
      <c r="E7" s="16" t="s">
        <v>58</v>
      </c>
      <c r="F7" s="16">
        <v>3</v>
      </c>
      <c r="G7" s="16">
        <f t="shared" si="1"/>
        <v>2</v>
      </c>
      <c r="H7" s="91">
        <v>1</v>
      </c>
      <c r="I7" s="98"/>
    </row>
    <row r="8" spans="1:9" ht="15.95" customHeight="1" x14ac:dyDescent="0.3">
      <c r="A8" s="94">
        <f t="shared" si="0"/>
        <v>20008</v>
      </c>
      <c r="B8" s="59" t="s">
        <v>154</v>
      </c>
      <c r="C8" s="61" t="s">
        <v>630</v>
      </c>
      <c r="D8" s="129" t="s">
        <v>142</v>
      </c>
      <c r="E8" s="94" t="s">
        <v>58</v>
      </c>
      <c r="F8" s="16">
        <v>3</v>
      </c>
      <c r="G8" s="16">
        <f t="shared" si="1"/>
        <v>2</v>
      </c>
      <c r="H8" s="91">
        <v>1</v>
      </c>
      <c r="I8" s="98"/>
    </row>
    <row r="9" spans="1:9" ht="15.95" customHeight="1" x14ac:dyDescent="0.3">
      <c r="A9" s="94">
        <f t="shared" si="0"/>
        <v>20010</v>
      </c>
      <c r="B9" s="59" t="s">
        <v>155</v>
      </c>
      <c r="C9" s="61" t="s">
        <v>631</v>
      </c>
      <c r="D9" s="129"/>
      <c r="E9" s="94" t="s">
        <v>58</v>
      </c>
      <c r="F9" s="16">
        <v>3</v>
      </c>
      <c r="G9" s="16">
        <f t="shared" si="1"/>
        <v>2</v>
      </c>
      <c r="H9" s="91">
        <v>1</v>
      </c>
      <c r="I9" s="98"/>
    </row>
    <row r="10" spans="1:9" ht="15.95" customHeight="1" x14ac:dyDescent="0.3">
      <c r="A10" s="94">
        <f t="shared" si="0"/>
        <v>20012</v>
      </c>
      <c r="B10" s="59" t="s">
        <v>156</v>
      </c>
      <c r="C10" s="61" t="s">
        <v>632</v>
      </c>
      <c r="D10" s="129"/>
      <c r="E10" s="94" t="s">
        <v>58</v>
      </c>
      <c r="F10" s="16">
        <v>3</v>
      </c>
      <c r="G10" s="16">
        <f t="shared" si="1"/>
        <v>2</v>
      </c>
      <c r="H10" s="91">
        <v>1</v>
      </c>
      <c r="I10" s="98"/>
    </row>
    <row r="11" spans="1:9" ht="15.95" customHeight="1" x14ac:dyDescent="0.3">
      <c r="A11" s="94">
        <f t="shared" si="0"/>
        <v>20014</v>
      </c>
      <c r="B11" s="59" t="s">
        <v>157</v>
      </c>
      <c r="C11" s="61" t="s">
        <v>633</v>
      </c>
      <c r="D11" s="129"/>
      <c r="E11" s="94" t="s">
        <v>58</v>
      </c>
      <c r="F11" s="16">
        <v>3</v>
      </c>
      <c r="G11" s="16">
        <f t="shared" si="1"/>
        <v>2</v>
      </c>
      <c r="H11" s="91">
        <v>1</v>
      </c>
      <c r="I11" s="98"/>
    </row>
    <row r="12" spans="1:9" ht="15.95" customHeight="1" x14ac:dyDescent="0.3">
      <c r="A12" s="94">
        <f t="shared" si="0"/>
        <v>20016</v>
      </c>
      <c r="B12" s="59" t="s">
        <v>158</v>
      </c>
      <c r="C12" s="59" t="s">
        <v>609</v>
      </c>
      <c r="D12" s="129"/>
      <c r="E12" s="94" t="s">
        <v>58</v>
      </c>
      <c r="F12" s="16">
        <v>3</v>
      </c>
      <c r="G12" s="16">
        <f t="shared" si="1"/>
        <v>2</v>
      </c>
      <c r="H12" s="91">
        <v>1</v>
      </c>
      <c r="I12" s="98"/>
    </row>
    <row r="13" spans="1:9" ht="15.95" customHeight="1" x14ac:dyDescent="0.3">
      <c r="A13" s="94">
        <f t="shared" si="0"/>
        <v>20018</v>
      </c>
      <c r="B13" s="59" t="s">
        <v>159</v>
      </c>
      <c r="C13" s="59" t="s">
        <v>610</v>
      </c>
      <c r="D13" s="129"/>
      <c r="E13" s="94" t="s">
        <v>58</v>
      </c>
      <c r="F13" s="16">
        <v>3</v>
      </c>
      <c r="G13" s="16">
        <f t="shared" si="1"/>
        <v>2</v>
      </c>
      <c r="H13" s="91">
        <v>1</v>
      </c>
      <c r="I13" s="98"/>
    </row>
    <row r="14" spans="1:9" ht="15.95" customHeight="1" x14ac:dyDescent="0.3">
      <c r="A14" s="94">
        <f t="shared" si="0"/>
        <v>20020</v>
      </c>
      <c r="B14" s="59" t="s">
        <v>160</v>
      </c>
      <c r="C14" s="59" t="s">
        <v>611</v>
      </c>
      <c r="D14" s="129"/>
      <c r="E14" s="94" t="s">
        <v>58</v>
      </c>
      <c r="F14" s="16">
        <v>3</v>
      </c>
      <c r="G14" s="16">
        <f t="shared" si="1"/>
        <v>2</v>
      </c>
      <c r="H14" s="91">
        <v>1</v>
      </c>
      <c r="I14" s="98"/>
    </row>
    <row r="15" spans="1:9" ht="15.95" customHeight="1" x14ac:dyDescent="0.3">
      <c r="A15" s="94">
        <f t="shared" si="0"/>
        <v>20022</v>
      </c>
      <c r="B15" s="59" t="s">
        <v>161</v>
      </c>
      <c r="C15" s="59" t="s">
        <v>634</v>
      </c>
      <c r="D15" s="129"/>
      <c r="E15" s="94" t="s">
        <v>58</v>
      </c>
      <c r="F15" s="16">
        <v>3</v>
      </c>
      <c r="G15" s="16">
        <f t="shared" si="1"/>
        <v>2</v>
      </c>
      <c r="H15" s="91">
        <v>1</v>
      </c>
      <c r="I15" s="98"/>
    </row>
    <row r="16" spans="1:9" ht="15.95" customHeight="1" x14ac:dyDescent="0.3">
      <c r="A16" s="91">
        <f t="shared" si="0"/>
        <v>20024</v>
      </c>
      <c r="B16" s="9" t="s">
        <v>190</v>
      </c>
      <c r="C16" s="35"/>
      <c r="D16" s="123" t="s">
        <v>146</v>
      </c>
      <c r="E16" s="16" t="s">
        <v>58</v>
      </c>
      <c r="F16" s="16">
        <v>3</v>
      </c>
      <c r="G16" s="16">
        <f t="shared" si="1"/>
        <v>2</v>
      </c>
      <c r="H16" s="91">
        <v>1</v>
      </c>
      <c r="I16" s="98"/>
    </row>
    <row r="17" spans="1:9" ht="15.95" customHeight="1" x14ac:dyDescent="0.3">
      <c r="A17" s="91">
        <f t="shared" si="0"/>
        <v>20026</v>
      </c>
      <c r="B17" s="9" t="s">
        <v>191</v>
      </c>
      <c r="C17" s="91"/>
      <c r="D17" s="123"/>
      <c r="E17" s="16" t="s">
        <v>58</v>
      </c>
      <c r="F17" s="16">
        <v>3</v>
      </c>
      <c r="G17" s="16">
        <f t="shared" si="1"/>
        <v>2</v>
      </c>
      <c r="H17" s="91">
        <v>1</v>
      </c>
      <c r="I17" s="98"/>
    </row>
    <row r="18" spans="1:9" ht="15.95" customHeight="1" x14ac:dyDescent="0.3">
      <c r="A18" s="91">
        <f t="shared" si="0"/>
        <v>20028</v>
      </c>
      <c r="B18" s="9" t="s">
        <v>169</v>
      </c>
      <c r="C18" s="123"/>
      <c r="D18" s="35"/>
      <c r="E18" s="16" t="s">
        <v>58</v>
      </c>
      <c r="F18" s="16">
        <v>3</v>
      </c>
      <c r="G18" s="16">
        <f t="shared" si="1"/>
        <v>2</v>
      </c>
      <c r="H18" s="91">
        <v>1</v>
      </c>
      <c r="I18" s="98"/>
    </row>
    <row r="19" spans="1:9" ht="15.95" customHeight="1" x14ac:dyDescent="0.3">
      <c r="A19" s="91">
        <f t="shared" si="0"/>
        <v>20030</v>
      </c>
      <c r="B19" s="9" t="s">
        <v>170</v>
      </c>
      <c r="C19" s="123"/>
      <c r="D19" s="35"/>
      <c r="E19" s="16" t="s">
        <v>58</v>
      </c>
      <c r="F19" s="16">
        <v>3</v>
      </c>
      <c r="G19" s="16">
        <f t="shared" si="1"/>
        <v>2</v>
      </c>
      <c r="H19" s="91">
        <v>1</v>
      </c>
      <c r="I19" s="98"/>
    </row>
    <row r="20" spans="1:9" ht="15.95" customHeight="1" x14ac:dyDescent="0.3">
      <c r="A20" s="91">
        <f t="shared" si="0"/>
        <v>20032</v>
      </c>
      <c r="B20" s="9" t="s">
        <v>171</v>
      </c>
      <c r="C20" s="123"/>
      <c r="D20" s="35"/>
      <c r="E20" s="16" t="s">
        <v>58</v>
      </c>
      <c r="F20" s="16">
        <v>3</v>
      </c>
      <c r="G20" s="16">
        <f t="shared" si="1"/>
        <v>2</v>
      </c>
      <c r="H20" s="91">
        <v>1</v>
      </c>
      <c r="I20" s="98"/>
    </row>
    <row r="21" spans="1:9" ht="15.95" customHeight="1" x14ac:dyDescent="0.3">
      <c r="A21" s="91">
        <f t="shared" si="0"/>
        <v>20034</v>
      </c>
      <c r="B21" s="9" t="s">
        <v>172</v>
      </c>
      <c r="C21" s="123"/>
      <c r="D21" s="35"/>
      <c r="E21" s="16" t="s">
        <v>58</v>
      </c>
      <c r="F21" s="16">
        <v>3</v>
      </c>
      <c r="G21" s="16">
        <f t="shared" si="1"/>
        <v>2</v>
      </c>
      <c r="H21" s="91">
        <v>1</v>
      </c>
      <c r="I21" s="98"/>
    </row>
    <row r="22" spans="1:9" ht="15.95" customHeight="1" x14ac:dyDescent="0.3">
      <c r="A22" s="91">
        <f t="shared" si="0"/>
        <v>20036</v>
      </c>
      <c r="B22" s="9" t="s">
        <v>173</v>
      </c>
      <c r="C22" s="123"/>
      <c r="D22" s="35"/>
      <c r="E22" s="16" t="s">
        <v>58</v>
      </c>
      <c r="F22" s="16">
        <v>3</v>
      </c>
      <c r="G22" s="16">
        <f t="shared" si="1"/>
        <v>2</v>
      </c>
      <c r="H22" s="91">
        <v>1</v>
      </c>
      <c r="I22" s="98"/>
    </row>
    <row r="23" spans="1:9" ht="15.95" customHeight="1" x14ac:dyDescent="0.3">
      <c r="A23" s="91">
        <f t="shared" si="0"/>
        <v>20038</v>
      </c>
      <c r="B23" s="9" t="s">
        <v>177</v>
      </c>
      <c r="C23" s="123"/>
      <c r="D23" s="35"/>
      <c r="E23" s="16" t="s">
        <v>58</v>
      </c>
      <c r="F23" s="16">
        <v>3</v>
      </c>
      <c r="G23" s="16">
        <f t="shared" si="1"/>
        <v>2</v>
      </c>
      <c r="H23" s="91">
        <v>1</v>
      </c>
      <c r="I23" s="98"/>
    </row>
    <row r="24" spans="1:9" ht="15.95" customHeight="1" x14ac:dyDescent="0.3">
      <c r="A24" s="91">
        <f t="shared" si="0"/>
        <v>20040</v>
      </c>
      <c r="B24" s="9" t="s">
        <v>174</v>
      </c>
      <c r="C24" s="123"/>
      <c r="D24" s="35"/>
      <c r="E24" s="16" t="s">
        <v>58</v>
      </c>
      <c r="F24" s="16">
        <v>3</v>
      </c>
      <c r="G24" s="16">
        <f t="shared" si="1"/>
        <v>2</v>
      </c>
      <c r="H24" s="91">
        <v>1</v>
      </c>
      <c r="I24" s="98"/>
    </row>
    <row r="25" spans="1:9" ht="15.95" customHeight="1" x14ac:dyDescent="0.3">
      <c r="A25" s="91">
        <f t="shared" si="0"/>
        <v>20042</v>
      </c>
      <c r="B25" s="9" t="s">
        <v>175</v>
      </c>
      <c r="C25" s="123"/>
      <c r="D25" s="35"/>
      <c r="E25" s="16" t="s">
        <v>58</v>
      </c>
      <c r="F25" s="16">
        <v>3</v>
      </c>
      <c r="G25" s="16">
        <f t="shared" si="1"/>
        <v>2</v>
      </c>
      <c r="H25" s="91">
        <v>1</v>
      </c>
      <c r="I25" s="98"/>
    </row>
    <row r="26" spans="1:9" ht="15.95" customHeight="1" x14ac:dyDescent="0.3">
      <c r="A26" s="91">
        <f t="shared" si="0"/>
        <v>20044</v>
      </c>
      <c r="B26" s="9" t="s">
        <v>176</v>
      </c>
      <c r="C26" s="123"/>
      <c r="D26" s="35"/>
      <c r="E26" s="16" t="s">
        <v>58</v>
      </c>
      <c r="F26" s="16">
        <v>3</v>
      </c>
      <c r="G26" s="16">
        <f t="shared" si="1"/>
        <v>2</v>
      </c>
      <c r="H26" s="91">
        <v>1</v>
      </c>
      <c r="I26" s="98"/>
    </row>
    <row r="27" spans="1:9" ht="15.95" customHeight="1" x14ac:dyDescent="0.3">
      <c r="A27" s="91">
        <f t="shared" si="0"/>
        <v>20046</v>
      </c>
      <c r="B27" s="9" t="s">
        <v>163</v>
      </c>
      <c r="C27" s="123"/>
      <c r="D27" s="91" t="s">
        <v>146</v>
      </c>
      <c r="E27" s="16" t="s">
        <v>58</v>
      </c>
      <c r="F27" s="16">
        <v>3</v>
      </c>
      <c r="G27" s="16">
        <f t="shared" si="1"/>
        <v>2</v>
      </c>
      <c r="H27" s="91">
        <v>1</v>
      </c>
      <c r="I27" s="98"/>
    </row>
    <row r="28" spans="1:9" ht="15.95" customHeight="1" x14ac:dyDescent="0.3">
      <c r="A28" s="91">
        <f t="shared" si="0"/>
        <v>20048</v>
      </c>
      <c r="B28" s="9" t="s">
        <v>164</v>
      </c>
      <c r="C28" s="123"/>
      <c r="D28" s="91" t="s">
        <v>146</v>
      </c>
      <c r="E28" s="16" t="s">
        <v>58</v>
      </c>
      <c r="F28" s="16">
        <v>3</v>
      </c>
      <c r="G28" s="16">
        <f t="shared" si="1"/>
        <v>2</v>
      </c>
      <c r="H28" s="91">
        <v>1</v>
      </c>
      <c r="I28" s="98"/>
    </row>
    <row r="29" spans="1:9" ht="15.95" customHeight="1" x14ac:dyDescent="0.3">
      <c r="A29" s="91">
        <f t="shared" si="0"/>
        <v>20050</v>
      </c>
      <c r="B29" s="9" t="s">
        <v>165</v>
      </c>
      <c r="C29" s="123"/>
      <c r="D29" s="91" t="s">
        <v>146</v>
      </c>
      <c r="E29" s="16" t="s">
        <v>58</v>
      </c>
      <c r="F29" s="16">
        <v>3</v>
      </c>
      <c r="G29" s="16">
        <f t="shared" si="1"/>
        <v>2</v>
      </c>
      <c r="H29" s="91">
        <v>1</v>
      </c>
      <c r="I29" s="98"/>
    </row>
    <row r="30" spans="1:9" ht="15.95" customHeight="1" x14ac:dyDescent="0.3">
      <c r="A30" s="91">
        <f t="shared" si="0"/>
        <v>20052</v>
      </c>
      <c r="B30" s="9" t="s">
        <v>166</v>
      </c>
      <c r="C30" s="91"/>
      <c r="D30" s="91" t="s">
        <v>146</v>
      </c>
      <c r="E30" s="16" t="s">
        <v>58</v>
      </c>
      <c r="F30" s="16">
        <v>3</v>
      </c>
      <c r="G30" s="16">
        <f t="shared" si="1"/>
        <v>2</v>
      </c>
      <c r="H30" s="91">
        <v>1</v>
      </c>
      <c r="I30" s="98"/>
    </row>
    <row r="31" spans="1:9" ht="15.95" customHeight="1" x14ac:dyDescent="0.3">
      <c r="A31" s="91">
        <f t="shared" si="0"/>
        <v>20054</v>
      </c>
      <c r="B31" s="9" t="s">
        <v>167</v>
      </c>
      <c r="C31" s="91"/>
      <c r="D31" s="91" t="s">
        <v>146</v>
      </c>
      <c r="E31" s="16" t="s">
        <v>58</v>
      </c>
      <c r="F31" s="16">
        <v>3</v>
      </c>
      <c r="G31" s="16">
        <f t="shared" si="1"/>
        <v>2</v>
      </c>
      <c r="H31" s="91">
        <v>1</v>
      </c>
      <c r="I31" s="98"/>
    </row>
    <row r="32" spans="1:9" ht="15.95" customHeight="1" x14ac:dyDescent="0.3">
      <c r="A32" s="91">
        <f t="shared" si="0"/>
        <v>20056</v>
      </c>
      <c r="B32" s="9" t="s">
        <v>168</v>
      </c>
      <c r="C32" s="91"/>
      <c r="D32" s="91" t="s">
        <v>146</v>
      </c>
      <c r="E32" s="16" t="s">
        <v>58</v>
      </c>
      <c r="F32" s="16">
        <v>3</v>
      </c>
      <c r="G32" s="16">
        <f t="shared" si="1"/>
        <v>2</v>
      </c>
      <c r="H32" s="91">
        <v>1</v>
      </c>
      <c r="I32" s="98"/>
    </row>
    <row r="33" spans="1:10" ht="15.95" customHeight="1" x14ac:dyDescent="0.3">
      <c r="A33" s="91">
        <f t="shared" si="0"/>
        <v>20058</v>
      </c>
      <c r="B33" s="59" t="s">
        <v>0</v>
      </c>
      <c r="C33" s="61" t="s">
        <v>635</v>
      </c>
      <c r="D33" s="129" t="s">
        <v>653</v>
      </c>
      <c r="E33" s="94" t="s">
        <v>58</v>
      </c>
      <c r="F33" s="16">
        <v>3</v>
      </c>
      <c r="G33" s="16">
        <f t="shared" si="1"/>
        <v>2</v>
      </c>
      <c r="H33" s="91">
        <v>1</v>
      </c>
      <c r="I33" s="98"/>
    </row>
    <row r="34" spans="1:10" ht="15.95" customHeight="1" x14ac:dyDescent="0.3">
      <c r="A34" s="91">
        <f t="shared" si="0"/>
        <v>20060</v>
      </c>
      <c r="B34" s="59" t="s">
        <v>1</v>
      </c>
      <c r="C34" s="61" t="s">
        <v>636</v>
      </c>
      <c r="D34" s="129"/>
      <c r="E34" s="94" t="s">
        <v>58</v>
      </c>
      <c r="F34" s="16">
        <v>3</v>
      </c>
      <c r="G34" s="16">
        <f t="shared" si="1"/>
        <v>2</v>
      </c>
      <c r="H34" s="91">
        <v>1</v>
      </c>
      <c r="I34" s="98"/>
    </row>
    <row r="35" spans="1:10" ht="15.95" customHeight="1" x14ac:dyDescent="0.3">
      <c r="A35" s="94">
        <f t="shared" si="0"/>
        <v>20062</v>
      </c>
      <c r="B35" s="59" t="s">
        <v>2</v>
      </c>
      <c r="C35" s="61" t="s">
        <v>637</v>
      </c>
      <c r="D35" s="129"/>
      <c r="E35" s="94" t="s">
        <v>58</v>
      </c>
      <c r="F35" s="16">
        <v>3</v>
      </c>
      <c r="G35" s="16">
        <f t="shared" si="1"/>
        <v>2</v>
      </c>
      <c r="H35" s="91">
        <v>1</v>
      </c>
      <c r="I35" s="98"/>
    </row>
    <row r="36" spans="1:10" ht="15.95" customHeight="1" x14ac:dyDescent="0.3">
      <c r="A36" s="94">
        <f t="shared" si="0"/>
        <v>20064</v>
      </c>
      <c r="B36" s="59" t="s">
        <v>129</v>
      </c>
      <c r="C36" s="94"/>
      <c r="D36" s="129"/>
      <c r="E36" s="94" t="s">
        <v>58</v>
      </c>
      <c r="F36" s="16">
        <v>3</v>
      </c>
      <c r="G36" s="16">
        <f t="shared" si="1"/>
        <v>2</v>
      </c>
      <c r="H36" s="91">
        <v>1</v>
      </c>
      <c r="I36" s="98"/>
    </row>
    <row r="37" spans="1:10" ht="15.95" customHeight="1" x14ac:dyDescent="0.3">
      <c r="A37" s="94">
        <f t="shared" si="0"/>
        <v>20066</v>
      </c>
      <c r="B37" s="59" t="s">
        <v>5</v>
      </c>
      <c r="C37" s="94"/>
      <c r="D37" s="129"/>
      <c r="E37" s="94" t="s">
        <v>58</v>
      </c>
      <c r="F37" s="16">
        <v>3</v>
      </c>
      <c r="G37" s="16">
        <f t="shared" si="1"/>
        <v>2</v>
      </c>
      <c r="H37" s="91">
        <v>1</v>
      </c>
      <c r="I37" s="98"/>
    </row>
    <row r="38" spans="1:10" ht="15.95" customHeight="1" x14ac:dyDescent="0.3">
      <c r="A38" s="94">
        <f t="shared" si="0"/>
        <v>20068</v>
      </c>
      <c r="B38" s="59" t="s">
        <v>40</v>
      </c>
      <c r="C38" s="94"/>
      <c r="D38" s="94"/>
      <c r="E38" s="94" t="s">
        <v>58</v>
      </c>
      <c r="F38" s="16">
        <v>3</v>
      </c>
      <c r="G38" s="16">
        <f t="shared" si="1"/>
        <v>2</v>
      </c>
      <c r="H38" s="91">
        <v>1</v>
      </c>
      <c r="I38" s="91"/>
      <c r="J38" s="9" t="s">
        <v>592</v>
      </c>
    </row>
    <row r="39" spans="1:10" ht="15.95" customHeight="1" x14ac:dyDescent="0.3">
      <c r="A39" s="94">
        <f t="shared" si="0"/>
        <v>20070</v>
      </c>
      <c r="B39" s="59" t="s">
        <v>590</v>
      </c>
      <c r="C39" s="94" t="s">
        <v>591</v>
      </c>
      <c r="D39" s="94"/>
      <c r="E39" s="94" t="s">
        <v>58</v>
      </c>
      <c r="F39" s="16">
        <v>3</v>
      </c>
      <c r="G39" s="16">
        <f t="shared" si="1"/>
        <v>2</v>
      </c>
      <c r="H39" s="91">
        <v>1</v>
      </c>
      <c r="I39" s="98"/>
      <c r="J39" s="96" t="s">
        <v>593</v>
      </c>
    </row>
    <row r="40" spans="1:10" ht="15.95" customHeight="1" x14ac:dyDescent="0.3">
      <c r="A40" s="94">
        <f t="shared" si="0"/>
        <v>20072</v>
      </c>
      <c r="B40" s="59" t="s">
        <v>667</v>
      </c>
      <c r="C40" s="94"/>
      <c r="D40" s="94"/>
      <c r="E40" s="94" t="s">
        <v>58</v>
      </c>
      <c r="F40" s="16">
        <v>3</v>
      </c>
      <c r="G40" s="16">
        <f t="shared" si="1"/>
        <v>2</v>
      </c>
      <c r="H40" s="91">
        <v>1</v>
      </c>
      <c r="I40" s="98"/>
    </row>
    <row r="41" spans="1:10" ht="15.95" customHeight="1" x14ac:dyDescent="0.3">
      <c r="A41" s="91">
        <f t="shared" si="0"/>
        <v>20074</v>
      </c>
      <c r="B41" s="9" t="s">
        <v>183</v>
      </c>
      <c r="C41" s="123"/>
      <c r="D41" s="91"/>
      <c r="E41" s="16" t="s">
        <v>58</v>
      </c>
      <c r="F41" s="16">
        <v>3</v>
      </c>
      <c r="G41" s="16">
        <f t="shared" si="1"/>
        <v>2</v>
      </c>
      <c r="H41" s="91">
        <v>1</v>
      </c>
      <c r="I41" s="98"/>
    </row>
    <row r="42" spans="1:10" ht="15.95" customHeight="1" x14ac:dyDescent="0.3">
      <c r="A42" s="91">
        <f t="shared" si="0"/>
        <v>20076</v>
      </c>
      <c r="B42" s="9" t="s">
        <v>184</v>
      </c>
      <c r="C42" s="123"/>
      <c r="D42" s="91"/>
      <c r="E42" s="16" t="s">
        <v>58</v>
      </c>
      <c r="F42" s="16">
        <v>3</v>
      </c>
      <c r="G42" s="16">
        <f t="shared" si="1"/>
        <v>2</v>
      </c>
      <c r="H42" s="91">
        <v>1</v>
      </c>
      <c r="I42" s="98"/>
    </row>
    <row r="43" spans="1:10" ht="15.95" customHeight="1" x14ac:dyDescent="0.3">
      <c r="A43" s="91">
        <f t="shared" si="0"/>
        <v>20078</v>
      </c>
      <c r="B43" s="9" t="s">
        <v>185</v>
      </c>
      <c r="C43" s="123"/>
      <c r="D43" s="91"/>
      <c r="E43" s="16" t="s">
        <v>58</v>
      </c>
      <c r="F43" s="16">
        <v>3</v>
      </c>
      <c r="G43" s="16">
        <f t="shared" si="1"/>
        <v>2</v>
      </c>
      <c r="H43" s="91">
        <v>1</v>
      </c>
      <c r="I43" s="98"/>
    </row>
    <row r="44" spans="1:10" ht="15.95" customHeight="1" x14ac:dyDescent="0.3">
      <c r="A44" s="91">
        <f t="shared" si="0"/>
        <v>20080</v>
      </c>
      <c r="B44" s="9" t="s">
        <v>186</v>
      </c>
      <c r="C44" s="123"/>
      <c r="D44" s="91"/>
      <c r="E44" s="16" t="s">
        <v>58</v>
      </c>
      <c r="F44" s="16">
        <v>3</v>
      </c>
      <c r="G44" s="16">
        <f t="shared" si="1"/>
        <v>2</v>
      </c>
      <c r="H44" s="91">
        <v>1</v>
      </c>
      <c r="I44" s="98"/>
    </row>
    <row r="45" spans="1:10" ht="15.95" customHeight="1" x14ac:dyDescent="0.3">
      <c r="A45" s="91">
        <f t="shared" si="0"/>
        <v>20082</v>
      </c>
      <c r="B45" s="9" t="s">
        <v>187</v>
      </c>
      <c r="C45" s="123"/>
      <c r="D45" s="91"/>
      <c r="E45" s="16" t="s">
        <v>58</v>
      </c>
      <c r="F45" s="16">
        <v>3</v>
      </c>
      <c r="G45" s="16">
        <f t="shared" si="1"/>
        <v>2</v>
      </c>
      <c r="H45" s="91">
        <v>1</v>
      </c>
      <c r="I45" s="98"/>
    </row>
    <row r="46" spans="1:10" ht="15.95" customHeight="1" x14ac:dyDescent="0.3">
      <c r="A46" s="91">
        <f t="shared" si="0"/>
        <v>20084</v>
      </c>
      <c r="B46" s="9" t="s">
        <v>188</v>
      </c>
      <c r="C46" s="123"/>
      <c r="D46" s="91"/>
      <c r="E46" s="16" t="s">
        <v>58</v>
      </c>
      <c r="F46" s="16">
        <v>3</v>
      </c>
      <c r="G46" s="16">
        <f t="shared" si="1"/>
        <v>2</v>
      </c>
      <c r="H46" s="91">
        <v>1</v>
      </c>
      <c r="I46" s="98"/>
    </row>
    <row r="47" spans="1:10" ht="15.95" customHeight="1" x14ac:dyDescent="0.3">
      <c r="A47" s="91">
        <f t="shared" si="0"/>
        <v>20086</v>
      </c>
      <c r="B47" s="9" t="s">
        <v>192</v>
      </c>
      <c r="C47" s="123"/>
      <c r="D47" s="91"/>
      <c r="E47" s="16" t="s">
        <v>58</v>
      </c>
      <c r="F47" s="16">
        <v>3</v>
      </c>
      <c r="G47" s="16">
        <f t="shared" si="1"/>
        <v>2</v>
      </c>
      <c r="H47" s="91">
        <v>1</v>
      </c>
      <c r="I47" s="98"/>
    </row>
    <row r="48" spans="1:10" ht="15.95" customHeight="1" x14ac:dyDescent="0.3">
      <c r="A48" s="91">
        <f t="shared" si="0"/>
        <v>20088</v>
      </c>
      <c r="B48" s="9" t="s">
        <v>193</v>
      </c>
      <c r="C48" s="123"/>
      <c r="D48" s="91"/>
      <c r="E48" s="16" t="s">
        <v>58</v>
      </c>
      <c r="F48" s="16">
        <v>3</v>
      </c>
      <c r="G48" s="16">
        <f t="shared" si="1"/>
        <v>2</v>
      </c>
      <c r="H48" s="91">
        <v>1</v>
      </c>
      <c r="I48" s="98"/>
    </row>
    <row r="49" spans="1:9" ht="15.95" customHeight="1" x14ac:dyDescent="0.3">
      <c r="A49" s="91">
        <f t="shared" si="0"/>
        <v>20090</v>
      </c>
      <c r="B49" s="9" t="s">
        <v>194</v>
      </c>
      <c r="C49" s="123"/>
      <c r="D49" s="91"/>
      <c r="E49" s="16" t="s">
        <v>58</v>
      </c>
      <c r="F49" s="16">
        <v>3</v>
      </c>
      <c r="G49" s="16">
        <f t="shared" si="1"/>
        <v>2</v>
      </c>
      <c r="H49" s="91">
        <v>1</v>
      </c>
      <c r="I49" s="98"/>
    </row>
    <row r="50" spans="1:9" ht="15.95" customHeight="1" x14ac:dyDescent="0.3">
      <c r="A50" s="91">
        <f t="shared" si="0"/>
        <v>20092</v>
      </c>
      <c r="B50" s="9" t="s">
        <v>195</v>
      </c>
      <c r="C50" s="91"/>
      <c r="D50" s="123" t="s">
        <v>146</v>
      </c>
      <c r="E50" s="16" t="s">
        <v>58</v>
      </c>
      <c r="F50" s="16">
        <v>3</v>
      </c>
      <c r="G50" s="16">
        <f t="shared" si="1"/>
        <v>2</v>
      </c>
      <c r="H50" s="91">
        <v>1</v>
      </c>
      <c r="I50" s="98"/>
    </row>
    <row r="51" spans="1:9" ht="15.95" customHeight="1" x14ac:dyDescent="0.3">
      <c r="A51" s="91">
        <f t="shared" si="0"/>
        <v>20094</v>
      </c>
      <c r="B51" s="9" t="s">
        <v>189</v>
      </c>
      <c r="C51" s="91"/>
      <c r="D51" s="123"/>
      <c r="E51" s="16" t="s">
        <v>58</v>
      </c>
      <c r="F51" s="16">
        <v>3</v>
      </c>
      <c r="G51" s="16">
        <f t="shared" si="1"/>
        <v>2</v>
      </c>
      <c r="H51" s="91">
        <v>1</v>
      </c>
      <c r="I51" s="98"/>
    </row>
    <row r="52" spans="1:9" ht="15.95" customHeight="1" x14ac:dyDescent="0.3">
      <c r="A52" s="91">
        <f t="shared" si="0"/>
        <v>20096</v>
      </c>
      <c r="B52" s="59" t="s">
        <v>60</v>
      </c>
      <c r="C52" s="61" t="s">
        <v>612</v>
      </c>
      <c r="D52" s="129" t="s">
        <v>604</v>
      </c>
      <c r="E52" s="94" t="s">
        <v>58</v>
      </c>
      <c r="F52" s="16">
        <v>3</v>
      </c>
      <c r="G52" s="16">
        <f t="shared" si="1"/>
        <v>2</v>
      </c>
      <c r="H52" s="91">
        <v>1</v>
      </c>
      <c r="I52" s="98"/>
    </row>
    <row r="53" spans="1:9" ht="15.95" customHeight="1" x14ac:dyDescent="0.3">
      <c r="A53" s="94">
        <f t="shared" si="0"/>
        <v>20098</v>
      </c>
      <c r="B53" s="59" t="s">
        <v>148</v>
      </c>
      <c r="C53" s="61" t="s">
        <v>613</v>
      </c>
      <c r="D53" s="129"/>
      <c r="E53" s="94" t="s">
        <v>58</v>
      </c>
      <c r="F53" s="16">
        <v>3</v>
      </c>
      <c r="G53" s="16">
        <f t="shared" si="1"/>
        <v>2</v>
      </c>
      <c r="H53" s="91">
        <v>1</v>
      </c>
      <c r="I53" s="98"/>
    </row>
    <row r="54" spans="1:9" ht="15.95" customHeight="1" x14ac:dyDescent="0.3">
      <c r="A54" s="94">
        <f t="shared" si="0"/>
        <v>20100</v>
      </c>
      <c r="B54" s="59" t="s">
        <v>4</v>
      </c>
      <c r="C54" s="61" t="s">
        <v>614</v>
      </c>
      <c r="D54" s="129"/>
      <c r="E54" s="94" t="s">
        <v>58</v>
      </c>
      <c r="F54" s="16">
        <v>3</v>
      </c>
      <c r="G54" s="16">
        <f t="shared" si="1"/>
        <v>2</v>
      </c>
      <c r="H54" s="91">
        <v>1</v>
      </c>
      <c r="I54" s="98"/>
    </row>
    <row r="55" spans="1:9" ht="15.95" customHeight="1" x14ac:dyDescent="0.3">
      <c r="A55" s="94">
        <f t="shared" si="0"/>
        <v>20102</v>
      </c>
      <c r="B55" s="59" t="s">
        <v>61</v>
      </c>
      <c r="C55" s="61" t="s">
        <v>615</v>
      </c>
      <c r="D55" s="129"/>
      <c r="E55" s="94" t="s">
        <v>58</v>
      </c>
      <c r="F55" s="16">
        <v>3</v>
      </c>
      <c r="G55" s="16">
        <f t="shared" si="1"/>
        <v>2</v>
      </c>
      <c r="H55" s="91">
        <v>1</v>
      </c>
      <c r="I55" s="98"/>
    </row>
    <row r="56" spans="1:9" ht="15.95" customHeight="1" x14ac:dyDescent="0.3">
      <c r="A56" s="94">
        <f t="shared" si="0"/>
        <v>20104</v>
      </c>
      <c r="B56" s="59" t="s">
        <v>68</v>
      </c>
      <c r="C56" s="61"/>
      <c r="D56" s="129"/>
      <c r="E56" s="94" t="s">
        <v>58</v>
      </c>
      <c r="F56" s="16">
        <v>3</v>
      </c>
      <c r="G56" s="16">
        <f t="shared" si="1"/>
        <v>2</v>
      </c>
      <c r="H56" s="91">
        <v>1</v>
      </c>
      <c r="I56" s="98"/>
    </row>
    <row r="57" spans="1:9" ht="15.95" customHeight="1" x14ac:dyDescent="0.3">
      <c r="A57" s="94">
        <f t="shared" si="0"/>
        <v>20106</v>
      </c>
      <c r="B57" s="59" t="s">
        <v>69</v>
      </c>
      <c r="C57" s="61"/>
      <c r="D57" s="129"/>
      <c r="E57" s="94" t="s">
        <v>58</v>
      </c>
      <c r="F57" s="16">
        <v>3</v>
      </c>
      <c r="G57" s="16">
        <f t="shared" si="1"/>
        <v>2</v>
      </c>
      <c r="H57" s="91">
        <v>1</v>
      </c>
      <c r="I57" s="98"/>
    </row>
    <row r="58" spans="1:9" ht="15.95" customHeight="1" x14ac:dyDescent="0.3">
      <c r="A58" s="94">
        <f t="shared" si="0"/>
        <v>20108</v>
      </c>
      <c r="B58" s="59" t="s">
        <v>70</v>
      </c>
      <c r="C58" s="61"/>
      <c r="D58" s="129"/>
      <c r="E58" s="94" t="s">
        <v>58</v>
      </c>
      <c r="F58" s="16">
        <v>3</v>
      </c>
      <c r="G58" s="16">
        <f t="shared" si="1"/>
        <v>2</v>
      </c>
      <c r="H58" s="91">
        <v>1</v>
      </c>
      <c r="I58" s="98"/>
    </row>
    <row r="59" spans="1:9" ht="15.95" customHeight="1" x14ac:dyDescent="0.3">
      <c r="A59" s="94">
        <f t="shared" si="0"/>
        <v>20110</v>
      </c>
      <c r="B59" s="59" t="s">
        <v>71</v>
      </c>
      <c r="C59" s="61"/>
      <c r="D59" s="129"/>
      <c r="E59" s="94" t="s">
        <v>58</v>
      </c>
      <c r="F59" s="16">
        <v>3</v>
      </c>
      <c r="G59" s="16">
        <f t="shared" si="1"/>
        <v>2</v>
      </c>
      <c r="H59" s="91">
        <v>1</v>
      </c>
      <c r="I59" s="98"/>
    </row>
    <row r="60" spans="1:9" ht="15.95" customHeight="1" x14ac:dyDescent="0.3">
      <c r="A60" s="94">
        <f t="shared" si="0"/>
        <v>20112</v>
      </c>
      <c r="B60" s="59" t="s">
        <v>62</v>
      </c>
      <c r="C60" s="61" t="s">
        <v>616</v>
      </c>
      <c r="D60" s="129" t="s">
        <v>605</v>
      </c>
      <c r="E60" s="94" t="s">
        <v>58</v>
      </c>
      <c r="F60" s="16">
        <v>3</v>
      </c>
      <c r="G60" s="16">
        <f t="shared" si="1"/>
        <v>2</v>
      </c>
      <c r="H60" s="91">
        <v>1</v>
      </c>
      <c r="I60" s="98"/>
    </row>
    <row r="61" spans="1:9" ht="15.95" customHeight="1" x14ac:dyDescent="0.3">
      <c r="A61" s="94">
        <f t="shared" si="0"/>
        <v>20114</v>
      </c>
      <c r="B61" s="59" t="s">
        <v>63</v>
      </c>
      <c r="C61" s="61" t="s">
        <v>617</v>
      </c>
      <c r="D61" s="129"/>
      <c r="E61" s="94" t="s">
        <v>58</v>
      </c>
      <c r="F61" s="16">
        <v>3</v>
      </c>
      <c r="G61" s="16">
        <f t="shared" si="1"/>
        <v>2</v>
      </c>
      <c r="H61" s="91">
        <v>1</v>
      </c>
      <c r="I61" s="98"/>
    </row>
    <row r="62" spans="1:9" ht="15.95" customHeight="1" x14ac:dyDescent="0.3">
      <c r="A62" s="94">
        <f t="shared" si="0"/>
        <v>20116</v>
      </c>
      <c r="B62" s="59" t="s">
        <v>64</v>
      </c>
      <c r="C62" s="61" t="s">
        <v>618</v>
      </c>
      <c r="D62" s="129"/>
      <c r="E62" s="94" t="s">
        <v>58</v>
      </c>
      <c r="F62" s="16">
        <v>3</v>
      </c>
      <c r="G62" s="16">
        <f t="shared" si="1"/>
        <v>2</v>
      </c>
      <c r="H62" s="91">
        <v>1</v>
      </c>
      <c r="I62" s="98"/>
    </row>
    <row r="63" spans="1:9" ht="15.95" customHeight="1" x14ac:dyDescent="0.3">
      <c r="A63" s="94">
        <f t="shared" si="0"/>
        <v>20118</v>
      </c>
      <c r="B63" s="59" t="s">
        <v>65</v>
      </c>
      <c r="C63" s="61" t="s">
        <v>619</v>
      </c>
      <c r="D63" s="129"/>
      <c r="E63" s="94" t="s">
        <v>58</v>
      </c>
      <c r="F63" s="16">
        <v>3</v>
      </c>
      <c r="G63" s="16">
        <f t="shared" si="1"/>
        <v>2</v>
      </c>
      <c r="H63" s="91">
        <v>1</v>
      </c>
      <c r="I63" s="98"/>
    </row>
    <row r="64" spans="1:9" ht="15.95" customHeight="1" x14ac:dyDescent="0.3">
      <c r="A64" s="94">
        <f t="shared" si="0"/>
        <v>20120</v>
      </c>
      <c r="B64" s="59" t="s">
        <v>72</v>
      </c>
      <c r="C64" s="129"/>
      <c r="D64" s="129"/>
      <c r="E64" s="94" t="s">
        <v>58</v>
      </c>
      <c r="F64" s="16">
        <v>3</v>
      </c>
      <c r="G64" s="16">
        <f t="shared" si="1"/>
        <v>2</v>
      </c>
      <c r="H64" s="91">
        <v>1</v>
      </c>
      <c r="I64" s="98"/>
    </row>
    <row r="65" spans="1:10" ht="15.95" customHeight="1" x14ac:dyDescent="0.3">
      <c r="A65" s="94">
        <f t="shared" si="0"/>
        <v>20122</v>
      </c>
      <c r="B65" s="59" t="s">
        <v>73</v>
      </c>
      <c r="C65" s="129"/>
      <c r="D65" s="129"/>
      <c r="E65" s="94" t="s">
        <v>58</v>
      </c>
      <c r="F65" s="16">
        <v>3</v>
      </c>
      <c r="G65" s="16">
        <f t="shared" si="1"/>
        <v>2</v>
      </c>
      <c r="H65" s="91">
        <v>1</v>
      </c>
      <c r="I65" s="98"/>
    </row>
    <row r="66" spans="1:10" ht="15.95" customHeight="1" x14ac:dyDescent="0.3">
      <c r="A66" s="94">
        <f t="shared" si="0"/>
        <v>20124</v>
      </c>
      <c r="B66" s="59" t="s">
        <v>74</v>
      </c>
      <c r="C66" s="129"/>
      <c r="D66" s="129"/>
      <c r="E66" s="94" t="s">
        <v>58</v>
      </c>
      <c r="F66" s="16">
        <v>3</v>
      </c>
      <c r="G66" s="16">
        <f t="shared" si="1"/>
        <v>2</v>
      </c>
      <c r="H66" s="91">
        <v>1</v>
      </c>
      <c r="I66" s="98"/>
    </row>
    <row r="67" spans="1:10" ht="15.95" customHeight="1" x14ac:dyDescent="0.3">
      <c r="A67" s="94">
        <f t="shared" si="0"/>
        <v>20126</v>
      </c>
      <c r="B67" s="59" t="s">
        <v>75</v>
      </c>
      <c r="C67" s="129"/>
      <c r="D67" s="129"/>
      <c r="E67" s="94" t="s">
        <v>58</v>
      </c>
      <c r="F67" s="16">
        <v>3</v>
      </c>
      <c r="G67" s="16">
        <f t="shared" si="1"/>
        <v>2</v>
      </c>
      <c r="H67" s="91">
        <v>1</v>
      </c>
      <c r="I67" s="98"/>
    </row>
    <row r="68" spans="1:10" ht="15.95" customHeight="1" x14ac:dyDescent="0.3">
      <c r="A68" s="94">
        <f t="shared" si="0"/>
        <v>20128</v>
      </c>
      <c r="B68" s="59" t="s">
        <v>66</v>
      </c>
      <c r="C68" s="61" t="s">
        <v>620</v>
      </c>
      <c r="D68" s="129" t="s">
        <v>606</v>
      </c>
      <c r="E68" s="94" t="s">
        <v>58</v>
      </c>
      <c r="F68" s="16">
        <v>3</v>
      </c>
      <c r="G68" s="16">
        <f t="shared" si="1"/>
        <v>2</v>
      </c>
      <c r="H68" s="91">
        <v>1</v>
      </c>
      <c r="I68" s="98"/>
    </row>
    <row r="69" spans="1:10" ht="15.95" customHeight="1" x14ac:dyDescent="0.3">
      <c r="A69" s="94">
        <f t="shared" ref="A69:A123" si="2">A68+(G68*H68)</f>
        <v>20130</v>
      </c>
      <c r="B69" s="59" t="s">
        <v>6</v>
      </c>
      <c r="C69" s="61" t="s">
        <v>621</v>
      </c>
      <c r="D69" s="129"/>
      <c r="E69" s="94" t="s">
        <v>58</v>
      </c>
      <c r="F69" s="16">
        <v>3</v>
      </c>
      <c r="G69" s="16">
        <f t="shared" si="1"/>
        <v>2</v>
      </c>
      <c r="H69" s="91">
        <v>1</v>
      </c>
      <c r="I69" s="98"/>
    </row>
    <row r="70" spans="1:10" ht="15.95" customHeight="1" x14ac:dyDescent="0.3">
      <c r="A70" s="94">
        <f t="shared" si="2"/>
        <v>20132</v>
      </c>
      <c r="B70" s="59" t="s">
        <v>7</v>
      </c>
      <c r="C70" s="61" t="s">
        <v>622</v>
      </c>
      <c r="D70" s="129"/>
      <c r="E70" s="94" t="s">
        <v>58</v>
      </c>
      <c r="F70" s="16">
        <v>3</v>
      </c>
      <c r="G70" s="16">
        <f t="shared" ref="G70:G91" si="3">IF(OR(E70="U16",E70="S16"),1,IF(E70="TS",6,IF(E70="U64",4,2)))</f>
        <v>2</v>
      </c>
      <c r="H70" s="91">
        <v>1</v>
      </c>
      <c r="I70" s="98"/>
      <c r="J70" s="29"/>
    </row>
    <row r="71" spans="1:10" ht="15.95" customHeight="1" x14ac:dyDescent="0.3">
      <c r="A71" s="94">
        <f t="shared" si="2"/>
        <v>20134</v>
      </c>
      <c r="B71" s="59" t="s">
        <v>67</v>
      </c>
      <c r="C71" s="61" t="s">
        <v>623</v>
      </c>
      <c r="D71" s="129"/>
      <c r="E71" s="94" t="s">
        <v>58</v>
      </c>
      <c r="F71" s="16">
        <v>3</v>
      </c>
      <c r="G71" s="16">
        <f t="shared" si="3"/>
        <v>2</v>
      </c>
      <c r="H71" s="91">
        <v>1</v>
      </c>
      <c r="I71" s="98"/>
    </row>
    <row r="72" spans="1:10" ht="15.95" customHeight="1" x14ac:dyDescent="0.3">
      <c r="A72" s="94">
        <f t="shared" si="2"/>
        <v>20136</v>
      </c>
      <c r="B72" s="59" t="s">
        <v>76</v>
      </c>
      <c r="C72" s="129"/>
      <c r="D72" s="129"/>
      <c r="E72" s="94" t="s">
        <v>58</v>
      </c>
      <c r="F72" s="16">
        <v>3</v>
      </c>
      <c r="G72" s="16">
        <f t="shared" si="3"/>
        <v>2</v>
      </c>
      <c r="H72" s="91">
        <v>1</v>
      </c>
      <c r="I72" s="98"/>
    </row>
    <row r="73" spans="1:10" ht="15.95" customHeight="1" x14ac:dyDescent="0.3">
      <c r="A73" s="94">
        <f t="shared" si="2"/>
        <v>20138</v>
      </c>
      <c r="B73" s="59" t="s">
        <v>77</v>
      </c>
      <c r="C73" s="129"/>
      <c r="D73" s="129"/>
      <c r="E73" s="94" t="s">
        <v>58</v>
      </c>
      <c r="F73" s="16">
        <v>3</v>
      </c>
      <c r="G73" s="16">
        <f t="shared" si="3"/>
        <v>2</v>
      </c>
      <c r="H73" s="91">
        <v>1</v>
      </c>
      <c r="I73" s="98"/>
    </row>
    <row r="74" spans="1:10" ht="15.95" customHeight="1" x14ac:dyDescent="0.3">
      <c r="A74" s="94">
        <f t="shared" si="2"/>
        <v>20140</v>
      </c>
      <c r="B74" s="59" t="s">
        <v>78</v>
      </c>
      <c r="C74" s="129"/>
      <c r="D74" s="129"/>
      <c r="E74" s="94" t="s">
        <v>58</v>
      </c>
      <c r="F74" s="16">
        <v>3</v>
      </c>
      <c r="G74" s="16">
        <f t="shared" si="3"/>
        <v>2</v>
      </c>
      <c r="H74" s="91">
        <v>1</v>
      </c>
      <c r="I74" s="98"/>
    </row>
    <row r="75" spans="1:10" ht="15.95" customHeight="1" x14ac:dyDescent="0.3">
      <c r="A75" s="94">
        <f t="shared" si="2"/>
        <v>20142</v>
      </c>
      <c r="B75" s="59" t="s">
        <v>79</v>
      </c>
      <c r="C75" s="129"/>
      <c r="D75" s="129"/>
      <c r="E75" s="94" t="s">
        <v>58</v>
      </c>
      <c r="F75" s="16">
        <v>3</v>
      </c>
      <c r="G75" s="16">
        <f t="shared" si="3"/>
        <v>2</v>
      </c>
      <c r="H75" s="91">
        <v>1</v>
      </c>
      <c r="I75" s="98"/>
    </row>
    <row r="76" spans="1:10" ht="15.95" customHeight="1" x14ac:dyDescent="0.3">
      <c r="A76" s="94">
        <f t="shared" si="2"/>
        <v>20144</v>
      </c>
      <c r="B76" s="59" t="s">
        <v>80</v>
      </c>
      <c r="C76" s="61" t="s">
        <v>625</v>
      </c>
      <c r="D76" s="129" t="s">
        <v>146</v>
      </c>
      <c r="E76" s="94" t="s">
        <v>58</v>
      </c>
      <c r="F76" s="94">
        <v>3</v>
      </c>
      <c r="G76" s="94">
        <f t="shared" si="3"/>
        <v>2</v>
      </c>
      <c r="H76" s="91">
        <v>1</v>
      </c>
      <c r="I76" s="98"/>
    </row>
    <row r="77" spans="1:10" ht="15.95" customHeight="1" x14ac:dyDescent="0.3">
      <c r="A77" s="94">
        <f t="shared" si="2"/>
        <v>20146</v>
      </c>
      <c r="B77" s="59" t="s">
        <v>8</v>
      </c>
      <c r="C77" s="61" t="s">
        <v>626</v>
      </c>
      <c r="D77" s="129"/>
      <c r="E77" s="94" t="s">
        <v>58</v>
      </c>
      <c r="F77" s="94">
        <v>3</v>
      </c>
      <c r="G77" s="94">
        <f t="shared" si="3"/>
        <v>2</v>
      </c>
      <c r="H77" s="91">
        <v>1</v>
      </c>
      <c r="I77" s="98"/>
    </row>
    <row r="78" spans="1:10" ht="15.95" customHeight="1" x14ac:dyDescent="0.3">
      <c r="A78" s="94">
        <f t="shared" si="2"/>
        <v>20148</v>
      </c>
      <c r="B78" s="59" t="s">
        <v>9</v>
      </c>
      <c r="C78" s="61" t="s">
        <v>627</v>
      </c>
      <c r="D78" s="129"/>
      <c r="E78" s="94" t="s">
        <v>58</v>
      </c>
      <c r="F78" s="94">
        <v>3</v>
      </c>
      <c r="G78" s="94">
        <f t="shared" si="3"/>
        <v>2</v>
      </c>
      <c r="H78" s="91">
        <v>1</v>
      </c>
      <c r="I78" s="98"/>
    </row>
    <row r="79" spans="1:10" ht="15.95" customHeight="1" x14ac:dyDescent="0.3">
      <c r="A79" s="94">
        <f t="shared" si="2"/>
        <v>20150</v>
      </c>
      <c r="B79" s="59" t="s">
        <v>81</v>
      </c>
      <c r="C79" s="61" t="s">
        <v>624</v>
      </c>
      <c r="D79" s="129"/>
      <c r="E79" s="94" t="s">
        <v>58</v>
      </c>
      <c r="F79" s="94">
        <v>3</v>
      </c>
      <c r="G79" s="94">
        <f t="shared" si="3"/>
        <v>2</v>
      </c>
      <c r="H79" s="91">
        <v>1</v>
      </c>
      <c r="I79" s="98"/>
    </row>
    <row r="80" spans="1:10" ht="15.95" customHeight="1" x14ac:dyDescent="0.3">
      <c r="A80" s="91">
        <f t="shared" si="2"/>
        <v>20152</v>
      </c>
      <c r="B80" s="9" t="s">
        <v>82</v>
      </c>
      <c r="C80" s="123"/>
      <c r="D80" s="123" t="s">
        <v>146</v>
      </c>
      <c r="E80" s="16" t="s">
        <v>58</v>
      </c>
      <c r="F80" s="16">
        <v>3</v>
      </c>
      <c r="G80" s="16">
        <f t="shared" si="3"/>
        <v>2</v>
      </c>
      <c r="H80" s="91">
        <v>1</v>
      </c>
      <c r="I80" s="98"/>
    </row>
    <row r="81" spans="1:10" ht="15.95" customHeight="1" x14ac:dyDescent="0.3">
      <c r="A81" s="91">
        <f t="shared" si="2"/>
        <v>20154</v>
      </c>
      <c r="B81" s="9" t="s">
        <v>83</v>
      </c>
      <c r="C81" s="123"/>
      <c r="D81" s="123"/>
      <c r="E81" s="16" t="s">
        <v>58</v>
      </c>
      <c r="F81" s="16">
        <v>3</v>
      </c>
      <c r="G81" s="16">
        <f t="shared" si="3"/>
        <v>2</v>
      </c>
      <c r="H81" s="91">
        <v>1</v>
      </c>
      <c r="I81" s="98"/>
    </row>
    <row r="82" spans="1:10" ht="15.95" customHeight="1" x14ac:dyDescent="0.3">
      <c r="A82" s="91">
        <f t="shared" si="2"/>
        <v>20156</v>
      </c>
      <c r="B82" s="9" t="s">
        <v>84</v>
      </c>
      <c r="C82" s="123"/>
      <c r="D82" s="123"/>
      <c r="E82" s="16" t="s">
        <v>58</v>
      </c>
      <c r="F82" s="16">
        <v>3</v>
      </c>
      <c r="G82" s="16">
        <f t="shared" si="3"/>
        <v>2</v>
      </c>
      <c r="H82" s="91">
        <v>1</v>
      </c>
      <c r="I82" s="98"/>
    </row>
    <row r="83" spans="1:10" ht="15.95" customHeight="1" x14ac:dyDescent="0.3">
      <c r="A83" s="91">
        <f t="shared" si="2"/>
        <v>20158</v>
      </c>
      <c r="B83" s="9" t="s">
        <v>85</v>
      </c>
      <c r="C83" s="123"/>
      <c r="D83" s="123"/>
      <c r="E83" s="16" t="s">
        <v>58</v>
      </c>
      <c r="F83" s="16">
        <v>3</v>
      </c>
      <c r="G83" s="16">
        <f t="shared" si="3"/>
        <v>2</v>
      </c>
      <c r="H83" s="91">
        <v>1</v>
      </c>
      <c r="I83" s="98"/>
    </row>
    <row r="84" spans="1:10" ht="15.95" customHeight="1" x14ac:dyDescent="0.3">
      <c r="A84" s="91">
        <f t="shared" si="2"/>
        <v>20160</v>
      </c>
      <c r="B84" s="9" t="s">
        <v>108</v>
      </c>
      <c r="C84" s="123"/>
      <c r="D84" s="123" t="s">
        <v>604</v>
      </c>
      <c r="E84" s="16" t="s">
        <v>58</v>
      </c>
      <c r="F84" s="16">
        <v>3</v>
      </c>
      <c r="G84" s="16">
        <f t="shared" si="3"/>
        <v>2</v>
      </c>
      <c r="H84" s="91">
        <v>1</v>
      </c>
      <c r="I84" s="98"/>
      <c r="J84" s="137" t="s">
        <v>112</v>
      </c>
    </row>
    <row r="85" spans="1:10" ht="15.95" customHeight="1" x14ac:dyDescent="0.3">
      <c r="A85" s="91">
        <f t="shared" si="2"/>
        <v>20162</v>
      </c>
      <c r="B85" s="9" t="s">
        <v>109</v>
      </c>
      <c r="C85" s="123"/>
      <c r="D85" s="123"/>
      <c r="E85" s="16" t="s">
        <v>58</v>
      </c>
      <c r="F85" s="16">
        <v>3</v>
      </c>
      <c r="G85" s="16">
        <f t="shared" si="3"/>
        <v>2</v>
      </c>
      <c r="H85" s="91">
        <v>1</v>
      </c>
      <c r="I85" s="98"/>
      <c r="J85" s="137"/>
    </row>
    <row r="86" spans="1:10" ht="15.95" customHeight="1" x14ac:dyDescent="0.3">
      <c r="A86" s="91">
        <f t="shared" si="2"/>
        <v>20164</v>
      </c>
      <c r="B86" s="9" t="s">
        <v>110</v>
      </c>
      <c r="C86" s="123"/>
      <c r="D86" s="123"/>
      <c r="E86" s="16" t="s">
        <v>58</v>
      </c>
      <c r="F86" s="16">
        <v>3</v>
      </c>
      <c r="G86" s="16">
        <f t="shared" si="3"/>
        <v>2</v>
      </c>
      <c r="H86" s="91">
        <v>1</v>
      </c>
      <c r="I86" s="98"/>
      <c r="J86" s="137"/>
    </row>
    <row r="87" spans="1:10" ht="15.95" customHeight="1" x14ac:dyDescent="0.3">
      <c r="A87" s="91">
        <f t="shared" si="2"/>
        <v>20166</v>
      </c>
      <c r="B87" s="9" t="s">
        <v>111</v>
      </c>
      <c r="C87" s="123"/>
      <c r="D87" s="123"/>
      <c r="E87" s="16" t="s">
        <v>58</v>
      </c>
      <c r="F87" s="16">
        <v>3</v>
      </c>
      <c r="G87" s="16">
        <f t="shared" si="3"/>
        <v>2</v>
      </c>
      <c r="H87" s="91">
        <v>1</v>
      </c>
      <c r="I87" s="98"/>
      <c r="J87" s="137"/>
    </row>
    <row r="88" spans="1:10" ht="15.95" customHeight="1" x14ac:dyDescent="0.3">
      <c r="A88" s="91">
        <f t="shared" si="2"/>
        <v>20168</v>
      </c>
      <c r="B88" s="9" t="s">
        <v>105</v>
      </c>
      <c r="C88" s="123"/>
      <c r="D88" s="123" t="s">
        <v>654</v>
      </c>
      <c r="E88" s="16" t="s">
        <v>58</v>
      </c>
      <c r="F88" s="16">
        <v>3</v>
      </c>
      <c r="G88" s="16">
        <f t="shared" si="3"/>
        <v>2</v>
      </c>
      <c r="H88" s="91">
        <v>1</v>
      </c>
      <c r="I88" s="98"/>
      <c r="J88" s="137" t="s">
        <v>395</v>
      </c>
    </row>
    <row r="89" spans="1:10" ht="15.95" customHeight="1" x14ac:dyDescent="0.3">
      <c r="A89" s="91">
        <f t="shared" si="2"/>
        <v>20170</v>
      </c>
      <c r="B89" s="9" t="s">
        <v>106</v>
      </c>
      <c r="C89" s="123"/>
      <c r="D89" s="123"/>
      <c r="E89" s="16" t="s">
        <v>58</v>
      </c>
      <c r="F89" s="16">
        <v>3</v>
      </c>
      <c r="G89" s="16">
        <f t="shared" si="3"/>
        <v>2</v>
      </c>
      <c r="H89" s="91">
        <v>1</v>
      </c>
      <c r="I89" s="98"/>
      <c r="J89" s="137"/>
    </row>
    <row r="90" spans="1:10" ht="15.95" customHeight="1" x14ac:dyDescent="0.3">
      <c r="A90" s="91">
        <f t="shared" si="2"/>
        <v>20172</v>
      </c>
      <c r="B90" s="9" t="s">
        <v>107</v>
      </c>
      <c r="C90" s="123"/>
      <c r="D90" s="123"/>
      <c r="E90" s="16" t="s">
        <v>58</v>
      </c>
      <c r="F90" s="16">
        <v>3</v>
      </c>
      <c r="G90" s="16">
        <f t="shared" si="3"/>
        <v>2</v>
      </c>
      <c r="H90" s="91">
        <v>1</v>
      </c>
      <c r="I90" s="98"/>
      <c r="J90" s="137"/>
    </row>
    <row r="91" spans="1:10" ht="15.95" customHeight="1" x14ac:dyDescent="0.3">
      <c r="A91" s="91">
        <f t="shared" si="2"/>
        <v>20174</v>
      </c>
      <c r="B91" s="9" t="s">
        <v>41</v>
      </c>
      <c r="C91" s="123"/>
      <c r="D91" s="91"/>
      <c r="E91" s="16" t="s">
        <v>58</v>
      </c>
      <c r="F91" s="16">
        <v>3</v>
      </c>
      <c r="G91" s="16">
        <f t="shared" si="3"/>
        <v>2</v>
      </c>
      <c r="H91" s="91">
        <v>1</v>
      </c>
      <c r="I91" s="105"/>
      <c r="J91" s="43" t="s">
        <v>41</v>
      </c>
    </row>
    <row r="92" spans="1:10" ht="15.95" customHeight="1" x14ac:dyDescent="0.3">
      <c r="A92" s="91">
        <f t="shared" si="2"/>
        <v>20176</v>
      </c>
      <c r="B92" s="9" t="s">
        <v>18</v>
      </c>
      <c r="C92" s="123"/>
      <c r="D92" s="123" t="s">
        <v>146</v>
      </c>
      <c r="E92" s="16" t="s">
        <v>58</v>
      </c>
      <c r="F92" s="16">
        <v>3</v>
      </c>
      <c r="G92" s="16">
        <f t="shared" ref="G92:G123" si="4">IF(OR(E92="U16", E92="S16"),1,IF(E92="TS",6,2))</f>
        <v>2</v>
      </c>
      <c r="H92" s="91">
        <v>1</v>
      </c>
      <c r="I92" s="98"/>
    </row>
    <row r="93" spans="1:10" ht="15.95" customHeight="1" x14ac:dyDescent="0.3">
      <c r="A93" s="91">
        <f t="shared" si="2"/>
        <v>20178</v>
      </c>
      <c r="B93" s="9" t="s">
        <v>19</v>
      </c>
      <c r="C93" s="123"/>
      <c r="D93" s="123"/>
      <c r="E93" s="16" t="s">
        <v>58</v>
      </c>
      <c r="F93" s="16">
        <v>3</v>
      </c>
      <c r="G93" s="16">
        <f t="shared" si="4"/>
        <v>2</v>
      </c>
      <c r="H93" s="91">
        <v>1</v>
      </c>
      <c r="I93" s="98"/>
      <c r="J93" s="96" t="s">
        <v>179</v>
      </c>
    </row>
    <row r="94" spans="1:10" ht="15.95" customHeight="1" x14ac:dyDescent="0.3">
      <c r="A94" s="91">
        <f t="shared" si="2"/>
        <v>20180</v>
      </c>
      <c r="B94" s="9" t="s">
        <v>20</v>
      </c>
      <c r="C94" s="123"/>
      <c r="D94" s="123"/>
      <c r="E94" s="16" t="s">
        <v>58</v>
      </c>
      <c r="F94" s="16">
        <v>3</v>
      </c>
      <c r="G94" s="16">
        <f t="shared" si="4"/>
        <v>2</v>
      </c>
      <c r="H94" s="91">
        <v>1</v>
      </c>
      <c r="I94" s="98"/>
    </row>
    <row r="95" spans="1:10" ht="15.95" customHeight="1" x14ac:dyDescent="0.3">
      <c r="A95" s="91">
        <f t="shared" si="2"/>
        <v>20182</v>
      </c>
      <c r="B95" s="9" t="s">
        <v>21</v>
      </c>
      <c r="C95" s="123"/>
      <c r="D95" s="123"/>
      <c r="E95" s="16" t="s">
        <v>58</v>
      </c>
      <c r="F95" s="16">
        <v>3</v>
      </c>
      <c r="G95" s="16">
        <f t="shared" si="4"/>
        <v>2</v>
      </c>
      <c r="H95" s="91">
        <v>1</v>
      </c>
      <c r="I95" s="98"/>
    </row>
    <row r="96" spans="1:10" ht="15.95" customHeight="1" x14ac:dyDescent="0.3">
      <c r="A96" s="91">
        <f t="shared" si="2"/>
        <v>20184</v>
      </c>
      <c r="B96" s="9" t="s">
        <v>22</v>
      </c>
      <c r="C96" s="123"/>
      <c r="D96" s="123"/>
      <c r="E96" s="16" t="s">
        <v>58</v>
      </c>
      <c r="F96" s="16">
        <v>3</v>
      </c>
      <c r="G96" s="16">
        <f t="shared" si="4"/>
        <v>2</v>
      </c>
      <c r="H96" s="91">
        <v>1</v>
      </c>
      <c r="I96" s="98"/>
    </row>
    <row r="97" spans="1:9" ht="15.95" customHeight="1" x14ac:dyDescent="0.3">
      <c r="A97" s="91">
        <f t="shared" si="2"/>
        <v>20186</v>
      </c>
      <c r="B97" s="9" t="s">
        <v>23</v>
      </c>
      <c r="C97" s="123"/>
      <c r="D97" s="123"/>
      <c r="E97" s="16" t="s">
        <v>58</v>
      </c>
      <c r="F97" s="16">
        <v>3</v>
      </c>
      <c r="G97" s="16">
        <f t="shared" si="4"/>
        <v>2</v>
      </c>
      <c r="H97" s="91">
        <v>1</v>
      </c>
      <c r="I97" s="98"/>
    </row>
    <row r="98" spans="1:9" ht="15.95" customHeight="1" x14ac:dyDescent="0.3">
      <c r="A98" s="91">
        <f t="shared" si="2"/>
        <v>20188</v>
      </c>
      <c r="B98" s="9" t="s">
        <v>86</v>
      </c>
      <c r="C98" s="91" t="s">
        <v>655</v>
      </c>
      <c r="D98" s="123"/>
      <c r="E98" s="16" t="s">
        <v>58</v>
      </c>
      <c r="F98" s="16">
        <v>3</v>
      </c>
      <c r="G98" s="16">
        <f t="shared" si="4"/>
        <v>2</v>
      </c>
      <c r="H98" s="91">
        <v>1</v>
      </c>
      <c r="I98" s="98"/>
    </row>
    <row r="99" spans="1:9" ht="15.95" customHeight="1" x14ac:dyDescent="0.3">
      <c r="A99" s="91">
        <f t="shared" si="2"/>
        <v>20190</v>
      </c>
      <c r="B99" s="9" t="s">
        <v>16</v>
      </c>
      <c r="C99" s="91"/>
      <c r="D99" s="123"/>
      <c r="E99" s="16" t="s">
        <v>58</v>
      </c>
      <c r="F99" s="16">
        <v>3</v>
      </c>
      <c r="G99" s="16">
        <f t="shared" si="4"/>
        <v>2</v>
      </c>
      <c r="H99" s="91">
        <v>1</v>
      </c>
      <c r="I99" s="98"/>
    </row>
    <row r="100" spans="1:9" ht="15.95" customHeight="1" x14ac:dyDescent="0.3">
      <c r="A100" s="91">
        <f t="shared" si="2"/>
        <v>20192</v>
      </c>
      <c r="B100" s="9" t="s">
        <v>17</v>
      </c>
      <c r="C100" s="91"/>
      <c r="D100" s="123"/>
      <c r="E100" s="16" t="s">
        <v>58</v>
      </c>
      <c r="F100" s="16">
        <v>3</v>
      </c>
      <c r="G100" s="16">
        <f t="shared" si="4"/>
        <v>2</v>
      </c>
      <c r="H100" s="91">
        <v>1</v>
      </c>
      <c r="I100" s="98"/>
    </row>
    <row r="101" spans="1:9" ht="15.95" customHeight="1" x14ac:dyDescent="0.3">
      <c r="A101" s="91">
        <f t="shared" si="2"/>
        <v>20194</v>
      </c>
      <c r="B101" s="9" t="s">
        <v>87</v>
      </c>
      <c r="C101" s="91"/>
      <c r="D101" s="123"/>
      <c r="E101" s="16" t="s">
        <v>58</v>
      </c>
      <c r="F101" s="16">
        <v>3</v>
      </c>
      <c r="G101" s="16">
        <f t="shared" si="4"/>
        <v>2</v>
      </c>
      <c r="H101" s="91">
        <v>1</v>
      </c>
      <c r="I101" s="98"/>
    </row>
    <row r="102" spans="1:9" ht="15.95" customHeight="1" x14ac:dyDescent="0.3">
      <c r="A102" s="91">
        <f t="shared" si="2"/>
        <v>20196</v>
      </c>
      <c r="B102" s="9" t="s">
        <v>88</v>
      </c>
      <c r="C102" s="91"/>
      <c r="D102" s="123"/>
      <c r="E102" s="16" t="s">
        <v>58</v>
      </c>
      <c r="F102" s="16">
        <v>3</v>
      </c>
      <c r="G102" s="16">
        <f t="shared" si="4"/>
        <v>2</v>
      </c>
      <c r="H102" s="91">
        <v>1</v>
      </c>
      <c r="I102" s="98"/>
    </row>
    <row r="103" spans="1:9" ht="15.95" customHeight="1" x14ac:dyDescent="0.3">
      <c r="A103" s="91">
        <f t="shared" si="2"/>
        <v>20198</v>
      </c>
      <c r="B103" s="9" t="s">
        <v>89</v>
      </c>
      <c r="C103" s="91"/>
      <c r="D103" s="123"/>
      <c r="E103" s="16" t="s">
        <v>58</v>
      </c>
      <c r="F103" s="16">
        <v>3</v>
      </c>
      <c r="G103" s="16">
        <f t="shared" si="4"/>
        <v>2</v>
      </c>
      <c r="H103" s="91">
        <v>1</v>
      </c>
      <c r="I103" s="98"/>
    </row>
    <row r="104" spans="1:9" ht="15.95" customHeight="1" x14ac:dyDescent="0.3">
      <c r="A104" s="91">
        <f t="shared" si="2"/>
        <v>20200</v>
      </c>
      <c r="B104" s="9" t="s">
        <v>24</v>
      </c>
      <c r="C104" s="91"/>
      <c r="D104" s="123"/>
      <c r="E104" s="16" t="s">
        <v>58</v>
      </c>
      <c r="F104" s="16">
        <v>3</v>
      </c>
      <c r="G104" s="16">
        <f t="shared" si="4"/>
        <v>2</v>
      </c>
      <c r="H104" s="91">
        <v>1</v>
      </c>
      <c r="I104" s="98"/>
    </row>
    <row r="105" spans="1:9" ht="15.95" customHeight="1" x14ac:dyDescent="0.3">
      <c r="A105" s="91">
        <f t="shared" si="2"/>
        <v>20202</v>
      </c>
      <c r="B105" s="9" t="s">
        <v>25</v>
      </c>
      <c r="C105" s="91"/>
      <c r="D105" s="123"/>
      <c r="E105" s="16" t="s">
        <v>58</v>
      </c>
      <c r="F105" s="16">
        <v>3</v>
      </c>
      <c r="G105" s="16">
        <f t="shared" si="4"/>
        <v>2</v>
      </c>
      <c r="H105" s="91">
        <v>1</v>
      </c>
      <c r="I105" s="98"/>
    </row>
    <row r="106" spans="1:9" ht="15.95" customHeight="1" x14ac:dyDescent="0.3">
      <c r="A106" s="91">
        <f t="shared" si="2"/>
        <v>20204</v>
      </c>
      <c r="B106" s="9" t="s">
        <v>26</v>
      </c>
      <c r="C106" s="91"/>
      <c r="D106" s="123"/>
      <c r="E106" s="16" t="s">
        <v>58</v>
      </c>
      <c r="F106" s="16">
        <v>3</v>
      </c>
      <c r="G106" s="16">
        <f t="shared" si="4"/>
        <v>2</v>
      </c>
      <c r="H106" s="91">
        <v>1</v>
      </c>
      <c r="I106" s="98"/>
    </row>
    <row r="107" spans="1:9" ht="15.95" customHeight="1" x14ac:dyDescent="0.3">
      <c r="A107" s="91">
        <f t="shared" si="2"/>
        <v>20206</v>
      </c>
      <c r="B107" s="9" t="s">
        <v>27</v>
      </c>
      <c r="C107" s="91"/>
      <c r="D107" s="123"/>
      <c r="E107" s="16" t="s">
        <v>58</v>
      </c>
      <c r="F107" s="16">
        <v>3</v>
      </c>
      <c r="G107" s="16">
        <f t="shared" si="4"/>
        <v>2</v>
      </c>
      <c r="H107" s="91">
        <v>1</v>
      </c>
      <c r="I107" s="98"/>
    </row>
    <row r="108" spans="1:9" ht="15.95" customHeight="1" x14ac:dyDescent="0.3">
      <c r="A108" s="91">
        <f t="shared" si="2"/>
        <v>20208</v>
      </c>
      <c r="B108" s="9" t="s">
        <v>28</v>
      </c>
      <c r="C108" s="91"/>
      <c r="D108" s="123"/>
      <c r="E108" s="16" t="s">
        <v>58</v>
      </c>
      <c r="F108" s="16">
        <v>3</v>
      </c>
      <c r="G108" s="16">
        <f t="shared" si="4"/>
        <v>2</v>
      </c>
      <c r="H108" s="91">
        <v>1</v>
      </c>
      <c r="I108" s="98"/>
    </row>
    <row r="109" spans="1:9" ht="15.95" customHeight="1" x14ac:dyDescent="0.3">
      <c r="A109" s="91">
        <f t="shared" si="2"/>
        <v>20210</v>
      </c>
      <c r="B109" s="9" t="s">
        <v>29</v>
      </c>
      <c r="C109" s="91"/>
      <c r="D109" s="123"/>
      <c r="E109" s="16" t="s">
        <v>58</v>
      </c>
      <c r="F109" s="16">
        <v>3</v>
      </c>
      <c r="G109" s="16">
        <f t="shared" si="4"/>
        <v>2</v>
      </c>
      <c r="H109" s="91">
        <v>1</v>
      </c>
      <c r="I109" s="98"/>
    </row>
    <row r="110" spans="1:9" ht="15.95" customHeight="1" x14ac:dyDescent="0.3">
      <c r="A110" s="91">
        <f t="shared" si="2"/>
        <v>20212</v>
      </c>
      <c r="B110" s="9" t="s">
        <v>10</v>
      </c>
      <c r="C110" s="91" t="s">
        <v>656</v>
      </c>
      <c r="D110" s="123"/>
      <c r="E110" s="16" t="s">
        <v>58</v>
      </c>
      <c r="F110" s="16">
        <v>3</v>
      </c>
      <c r="G110" s="16">
        <f t="shared" si="4"/>
        <v>2</v>
      </c>
      <c r="H110" s="91">
        <v>1</v>
      </c>
      <c r="I110" s="98"/>
    </row>
    <row r="111" spans="1:9" ht="15.95" customHeight="1" x14ac:dyDescent="0.3">
      <c r="A111" s="91">
        <f t="shared" si="2"/>
        <v>20214</v>
      </c>
      <c r="B111" s="9" t="s">
        <v>11</v>
      </c>
      <c r="C111" s="91"/>
      <c r="D111" s="123"/>
      <c r="E111" s="16" t="s">
        <v>58</v>
      </c>
      <c r="F111" s="16">
        <v>3</v>
      </c>
      <c r="G111" s="16">
        <f t="shared" si="4"/>
        <v>2</v>
      </c>
      <c r="H111" s="91">
        <v>1</v>
      </c>
      <c r="I111" s="98"/>
    </row>
    <row r="112" spans="1:9" ht="15.95" customHeight="1" x14ac:dyDescent="0.3">
      <c r="A112" s="91">
        <f t="shared" si="2"/>
        <v>20216</v>
      </c>
      <c r="B112" s="9" t="s">
        <v>12</v>
      </c>
      <c r="C112" s="91"/>
      <c r="D112" s="123"/>
      <c r="E112" s="16" t="s">
        <v>58</v>
      </c>
      <c r="F112" s="16">
        <v>3</v>
      </c>
      <c r="G112" s="16">
        <f t="shared" si="4"/>
        <v>2</v>
      </c>
      <c r="H112" s="91">
        <v>1</v>
      </c>
      <c r="I112" s="98"/>
    </row>
    <row r="113" spans="1:10" ht="15.95" customHeight="1" x14ac:dyDescent="0.3">
      <c r="A113" s="91">
        <f t="shared" si="2"/>
        <v>20218</v>
      </c>
      <c r="B113" s="9" t="s">
        <v>13</v>
      </c>
      <c r="C113" s="91" t="s">
        <v>655</v>
      </c>
      <c r="D113" s="123"/>
      <c r="E113" s="16" t="s">
        <v>58</v>
      </c>
      <c r="F113" s="16">
        <v>3</v>
      </c>
      <c r="G113" s="16">
        <f t="shared" si="4"/>
        <v>2</v>
      </c>
      <c r="H113" s="91">
        <v>1</v>
      </c>
      <c r="I113" s="98"/>
    </row>
    <row r="114" spans="1:10" ht="15.95" customHeight="1" x14ac:dyDescent="0.3">
      <c r="A114" s="91">
        <f t="shared" si="2"/>
        <v>20220</v>
      </c>
      <c r="B114" s="9" t="s">
        <v>14</v>
      </c>
      <c r="C114" s="91"/>
      <c r="D114" s="123"/>
      <c r="E114" s="16" t="s">
        <v>58</v>
      </c>
      <c r="F114" s="16">
        <v>3</v>
      </c>
      <c r="G114" s="16">
        <f t="shared" si="4"/>
        <v>2</v>
      </c>
      <c r="H114" s="91">
        <v>1</v>
      </c>
      <c r="I114" s="98"/>
    </row>
    <row r="115" spans="1:10" ht="15.95" customHeight="1" x14ac:dyDescent="0.3">
      <c r="A115" s="91">
        <f t="shared" si="2"/>
        <v>20222</v>
      </c>
      <c r="B115" s="9" t="s">
        <v>15</v>
      </c>
      <c r="C115" s="91"/>
      <c r="D115" s="123"/>
      <c r="E115" s="16" t="s">
        <v>58</v>
      </c>
      <c r="F115" s="16">
        <v>3</v>
      </c>
      <c r="G115" s="16">
        <f t="shared" si="4"/>
        <v>2</v>
      </c>
      <c r="H115" s="91">
        <v>1</v>
      </c>
      <c r="I115" s="98"/>
    </row>
    <row r="116" spans="1:10" ht="15.95" customHeight="1" x14ac:dyDescent="0.3">
      <c r="A116" s="91">
        <f t="shared" si="2"/>
        <v>20224</v>
      </c>
      <c r="B116" s="58" t="s">
        <v>668</v>
      </c>
      <c r="C116" s="76" t="s">
        <v>672</v>
      </c>
      <c r="D116" s="130" t="s">
        <v>142</v>
      </c>
      <c r="E116" s="99" t="s">
        <v>58</v>
      </c>
      <c r="F116" s="16">
        <v>3</v>
      </c>
      <c r="G116" s="99">
        <f t="shared" si="4"/>
        <v>2</v>
      </c>
      <c r="H116" s="99">
        <v>1</v>
      </c>
      <c r="I116" s="106"/>
    </row>
    <row r="117" spans="1:10" ht="15.95" customHeight="1" x14ac:dyDescent="0.3">
      <c r="A117" s="91">
        <f t="shared" si="2"/>
        <v>20226</v>
      </c>
      <c r="B117" s="58" t="s">
        <v>669</v>
      </c>
      <c r="C117" s="76" t="s">
        <v>673</v>
      </c>
      <c r="D117" s="130"/>
      <c r="E117" s="99" t="s">
        <v>58</v>
      </c>
      <c r="F117" s="16">
        <v>3</v>
      </c>
      <c r="G117" s="99">
        <f t="shared" si="4"/>
        <v>2</v>
      </c>
      <c r="H117" s="99">
        <v>1</v>
      </c>
      <c r="I117" s="106"/>
    </row>
    <row r="118" spans="1:10" ht="15.95" customHeight="1" x14ac:dyDescent="0.3">
      <c r="A118" s="91">
        <f t="shared" si="2"/>
        <v>20228</v>
      </c>
      <c r="B118" s="58" t="s">
        <v>670</v>
      </c>
      <c r="C118" s="76" t="s">
        <v>674</v>
      </c>
      <c r="D118" s="130"/>
      <c r="E118" s="99" t="s">
        <v>58</v>
      </c>
      <c r="F118" s="16">
        <v>3</v>
      </c>
      <c r="G118" s="99">
        <f t="shared" si="4"/>
        <v>2</v>
      </c>
      <c r="H118" s="99">
        <v>1</v>
      </c>
      <c r="I118" s="106"/>
    </row>
    <row r="119" spans="1:10" ht="15.95" customHeight="1" x14ac:dyDescent="0.3">
      <c r="A119" s="91">
        <f t="shared" si="2"/>
        <v>20230</v>
      </c>
      <c r="B119" s="58" t="s">
        <v>671</v>
      </c>
      <c r="C119" s="76" t="s">
        <v>675</v>
      </c>
      <c r="D119" s="130"/>
      <c r="E119" s="99" t="s">
        <v>58</v>
      </c>
      <c r="F119" s="16">
        <v>3</v>
      </c>
      <c r="G119" s="99">
        <f t="shared" si="4"/>
        <v>2</v>
      </c>
      <c r="H119" s="99">
        <v>1</v>
      </c>
      <c r="I119" s="106"/>
    </row>
    <row r="120" spans="1:10" ht="15.95" customHeight="1" x14ac:dyDescent="0.3">
      <c r="A120" s="91">
        <f t="shared" si="2"/>
        <v>20232</v>
      </c>
      <c r="B120" s="58" t="s">
        <v>676</v>
      </c>
      <c r="C120" s="76" t="s">
        <v>680</v>
      </c>
      <c r="D120" s="130" t="s">
        <v>653</v>
      </c>
      <c r="E120" s="99" t="s">
        <v>58</v>
      </c>
      <c r="F120" s="16">
        <v>3</v>
      </c>
      <c r="G120" s="99">
        <f t="shared" si="4"/>
        <v>2</v>
      </c>
      <c r="H120" s="99">
        <v>1</v>
      </c>
      <c r="I120" s="106"/>
    </row>
    <row r="121" spans="1:10" ht="15.95" customHeight="1" x14ac:dyDescent="0.3">
      <c r="A121" s="91">
        <f t="shared" si="2"/>
        <v>20234</v>
      </c>
      <c r="B121" s="58" t="s">
        <v>677</v>
      </c>
      <c r="C121" s="76" t="s">
        <v>681</v>
      </c>
      <c r="D121" s="130"/>
      <c r="E121" s="99" t="s">
        <v>58</v>
      </c>
      <c r="F121" s="16">
        <v>3</v>
      </c>
      <c r="G121" s="99">
        <f t="shared" si="4"/>
        <v>2</v>
      </c>
      <c r="H121" s="99">
        <v>1</v>
      </c>
      <c r="I121" s="106"/>
    </row>
    <row r="122" spans="1:10" ht="15.95" customHeight="1" x14ac:dyDescent="0.3">
      <c r="A122" s="91">
        <f t="shared" si="2"/>
        <v>20236</v>
      </c>
      <c r="B122" s="58" t="s">
        <v>678</v>
      </c>
      <c r="C122" s="76" t="s">
        <v>682</v>
      </c>
      <c r="D122" s="130"/>
      <c r="E122" s="99" t="s">
        <v>58</v>
      </c>
      <c r="F122" s="16">
        <v>3</v>
      </c>
      <c r="G122" s="99">
        <f t="shared" si="4"/>
        <v>2</v>
      </c>
      <c r="H122" s="99">
        <v>1</v>
      </c>
      <c r="I122" s="106"/>
    </row>
    <row r="123" spans="1:10" ht="15.95" customHeight="1" x14ac:dyDescent="0.3">
      <c r="A123" s="91">
        <f t="shared" si="2"/>
        <v>20238</v>
      </c>
      <c r="B123" s="58" t="s">
        <v>679</v>
      </c>
      <c r="C123" s="76" t="s">
        <v>683</v>
      </c>
      <c r="D123" s="130"/>
      <c r="E123" s="99" t="s">
        <v>58</v>
      </c>
      <c r="F123" s="16">
        <v>3</v>
      </c>
      <c r="G123" s="99">
        <f t="shared" si="4"/>
        <v>2</v>
      </c>
      <c r="H123" s="99">
        <v>1</v>
      </c>
      <c r="I123" s="106"/>
    </row>
    <row r="124" spans="1:10" ht="15.95" customHeight="1" x14ac:dyDescent="0.3">
      <c r="A124" s="122" t="s">
        <v>57</v>
      </c>
      <c r="B124" s="122"/>
      <c r="C124" s="122"/>
      <c r="D124" s="122"/>
      <c r="E124" s="122"/>
      <c r="F124" s="122"/>
      <c r="G124" s="122"/>
      <c r="H124" s="122"/>
      <c r="I124" s="104"/>
    </row>
    <row r="125" spans="1:10" s="48" customFormat="1" ht="15.95" customHeight="1" x14ac:dyDescent="0.3">
      <c r="A125" s="91">
        <f>A123+(G123*H123)</f>
        <v>20240</v>
      </c>
      <c r="B125" s="59" t="s">
        <v>628</v>
      </c>
      <c r="C125" s="94" t="s">
        <v>629</v>
      </c>
      <c r="D125" s="94"/>
      <c r="E125" s="94" t="s">
        <v>145</v>
      </c>
      <c r="F125" s="94">
        <v>3</v>
      </c>
      <c r="G125" s="94">
        <f>IF(OR(E125="U16",E125="S16"),1,IF(E125="TS",6,IF(E125="U64",4,2)))</f>
        <v>2</v>
      </c>
      <c r="H125" s="94">
        <v>1</v>
      </c>
      <c r="I125" s="100"/>
      <c r="J125" s="60"/>
    </row>
    <row r="126" spans="1:10" ht="15.95" customHeight="1" x14ac:dyDescent="0.3">
      <c r="A126" s="91">
        <f t="shared" ref="A126:A148" si="5">A125+(G125*H125)</f>
        <v>20242</v>
      </c>
      <c r="B126" s="9" t="s">
        <v>531</v>
      </c>
      <c r="C126" s="91"/>
      <c r="D126" s="91"/>
      <c r="E126" s="16" t="s">
        <v>145</v>
      </c>
      <c r="F126" s="16">
        <v>3</v>
      </c>
      <c r="G126" s="16">
        <f t="shared" ref="G126:G148" si="6">IF(OR(E126="U16",E126="S16"),1,IF(E126="TS",6,IF(E126="U64",4,2)))</f>
        <v>2</v>
      </c>
      <c r="H126" s="91">
        <v>1</v>
      </c>
      <c r="I126" s="98"/>
    </row>
    <row r="127" spans="1:10" ht="15.95" customHeight="1" x14ac:dyDescent="0.3">
      <c r="A127" s="91">
        <f t="shared" si="5"/>
        <v>20244</v>
      </c>
      <c r="B127" s="9" t="s">
        <v>140</v>
      </c>
      <c r="C127" s="91"/>
      <c r="D127" s="91"/>
      <c r="E127" s="16" t="s">
        <v>145</v>
      </c>
      <c r="F127" s="94">
        <v>3</v>
      </c>
      <c r="G127" s="16">
        <f t="shared" si="6"/>
        <v>2</v>
      </c>
      <c r="H127" s="91">
        <v>1</v>
      </c>
      <c r="I127" s="98"/>
    </row>
    <row r="128" spans="1:10" ht="15.95" customHeight="1" x14ac:dyDescent="0.3">
      <c r="A128" s="91">
        <f t="shared" si="5"/>
        <v>20246</v>
      </c>
      <c r="B128" s="9" t="s">
        <v>141</v>
      </c>
      <c r="C128" s="91"/>
      <c r="D128" s="91"/>
      <c r="E128" s="16" t="s">
        <v>145</v>
      </c>
      <c r="F128" s="16">
        <v>3</v>
      </c>
      <c r="G128" s="16">
        <f t="shared" si="6"/>
        <v>2</v>
      </c>
      <c r="H128" s="91">
        <v>1</v>
      </c>
      <c r="I128" s="98"/>
    </row>
    <row r="129" spans="1:10" ht="15.95" customHeight="1" x14ac:dyDescent="0.3">
      <c r="A129" s="91">
        <f t="shared" si="5"/>
        <v>20248</v>
      </c>
      <c r="B129" s="9" t="s">
        <v>533</v>
      </c>
      <c r="C129" s="91"/>
      <c r="D129" s="91"/>
      <c r="E129" s="16" t="s">
        <v>145</v>
      </c>
      <c r="F129" s="94">
        <v>3</v>
      </c>
      <c r="G129" s="16">
        <f t="shared" si="6"/>
        <v>2</v>
      </c>
      <c r="H129" s="91">
        <v>1</v>
      </c>
      <c r="I129" s="98"/>
    </row>
    <row r="130" spans="1:10" ht="15.95" customHeight="1" x14ac:dyDescent="0.3">
      <c r="A130" s="91">
        <f t="shared" si="5"/>
        <v>20250</v>
      </c>
      <c r="B130" s="9"/>
      <c r="C130" s="91"/>
      <c r="D130" s="91"/>
      <c r="E130" s="16" t="s">
        <v>145</v>
      </c>
      <c r="F130" s="16">
        <v>3</v>
      </c>
      <c r="G130" s="16">
        <f t="shared" si="6"/>
        <v>2</v>
      </c>
      <c r="H130" s="91">
        <v>1</v>
      </c>
      <c r="I130" s="98"/>
    </row>
    <row r="131" spans="1:10" ht="15.95" customHeight="1" x14ac:dyDescent="0.3">
      <c r="A131" s="91">
        <f t="shared" si="5"/>
        <v>20252</v>
      </c>
      <c r="B131" s="9" t="s">
        <v>534</v>
      </c>
      <c r="C131" s="91"/>
      <c r="D131" s="91"/>
      <c r="E131" s="16" t="s">
        <v>145</v>
      </c>
      <c r="F131" s="94">
        <v>3</v>
      </c>
      <c r="G131" s="16">
        <f t="shared" si="6"/>
        <v>2</v>
      </c>
      <c r="H131" s="91">
        <v>1</v>
      </c>
      <c r="I131" s="98"/>
    </row>
    <row r="132" spans="1:10" ht="15.95" customHeight="1" x14ac:dyDescent="0.3">
      <c r="A132" s="91">
        <f t="shared" si="5"/>
        <v>20254</v>
      </c>
      <c r="B132" s="9" t="s">
        <v>535</v>
      </c>
      <c r="C132" s="91"/>
      <c r="D132" s="91"/>
      <c r="E132" s="16" t="s">
        <v>145</v>
      </c>
      <c r="F132" s="16">
        <v>3</v>
      </c>
      <c r="G132" s="16">
        <f t="shared" si="6"/>
        <v>2</v>
      </c>
      <c r="H132" s="91">
        <v>1</v>
      </c>
      <c r="I132" s="98"/>
    </row>
    <row r="133" spans="1:10" ht="15.95" customHeight="1" x14ac:dyDescent="0.3">
      <c r="A133" s="91">
        <f t="shared" si="5"/>
        <v>20256</v>
      </c>
      <c r="B133" s="9" t="s">
        <v>536</v>
      </c>
      <c r="C133" s="91"/>
      <c r="D133" s="91"/>
      <c r="E133" s="16" t="s">
        <v>145</v>
      </c>
      <c r="F133" s="94">
        <v>3</v>
      </c>
      <c r="G133" s="16">
        <f t="shared" si="6"/>
        <v>2</v>
      </c>
      <c r="H133" s="91">
        <v>1</v>
      </c>
      <c r="I133" s="98"/>
    </row>
    <row r="134" spans="1:10" ht="15.95" customHeight="1" x14ac:dyDescent="0.3">
      <c r="A134" s="91">
        <f t="shared" si="5"/>
        <v>20258</v>
      </c>
      <c r="B134" s="9" t="s">
        <v>537</v>
      </c>
      <c r="C134" s="91"/>
      <c r="D134" s="91"/>
      <c r="E134" s="16" t="s">
        <v>145</v>
      </c>
      <c r="F134" s="16">
        <v>3</v>
      </c>
      <c r="G134" s="16">
        <f t="shared" si="6"/>
        <v>2</v>
      </c>
      <c r="H134" s="91">
        <v>1</v>
      </c>
      <c r="I134" s="98"/>
    </row>
    <row r="135" spans="1:10" ht="15.95" customHeight="1" x14ac:dyDescent="0.3">
      <c r="A135" s="91">
        <f t="shared" si="5"/>
        <v>20260</v>
      </c>
      <c r="B135" s="9" t="s">
        <v>538</v>
      </c>
      <c r="C135" s="91"/>
      <c r="D135" s="91"/>
      <c r="E135" s="16" t="s">
        <v>145</v>
      </c>
      <c r="F135" s="94">
        <v>3</v>
      </c>
      <c r="G135" s="16">
        <f t="shared" si="6"/>
        <v>2</v>
      </c>
      <c r="H135" s="91">
        <v>1</v>
      </c>
      <c r="I135" s="98"/>
    </row>
    <row r="136" spans="1:10" ht="15.95" customHeight="1" x14ac:dyDescent="0.3">
      <c r="A136" s="91">
        <f t="shared" si="5"/>
        <v>20262</v>
      </c>
      <c r="B136" s="9"/>
      <c r="C136" s="91"/>
      <c r="D136" s="91"/>
      <c r="E136" s="16" t="s">
        <v>145</v>
      </c>
      <c r="F136" s="16">
        <v>3</v>
      </c>
      <c r="G136" s="16">
        <f t="shared" si="6"/>
        <v>2</v>
      </c>
      <c r="H136" s="91">
        <v>1</v>
      </c>
      <c r="I136" s="98"/>
    </row>
    <row r="137" spans="1:10" ht="15.95" customHeight="1" x14ac:dyDescent="0.3">
      <c r="A137" s="91">
        <f t="shared" si="5"/>
        <v>20264</v>
      </c>
      <c r="B137" s="9" t="s">
        <v>539</v>
      </c>
      <c r="C137" s="91"/>
      <c r="D137" s="91"/>
      <c r="E137" s="16" t="s">
        <v>145</v>
      </c>
      <c r="F137" s="94">
        <v>3</v>
      </c>
      <c r="G137" s="16">
        <f t="shared" si="6"/>
        <v>2</v>
      </c>
      <c r="H137" s="91">
        <v>1</v>
      </c>
      <c r="I137" s="91"/>
      <c r="J137" s="9" t="s">
        <v>49</v>
      </c>
    </row>
    <row r="138" spans="1:10" ht="15.95" customHeight="1" x14ac:dyDescent="0.3">
      <c r="A138" s="91">
        <f t="shared" si="5"/>
        <v>20266</v>
      </c>
      <c r="B138" s="9" t="s">
        <v>540</v>
      </c>
      <c r="C138" s="91"/>
      <c r="D138" s="91"/>
      <c r="E138" s="16" t="s">
        <v>145</v>
      </c>
      <c r="F138" s="16">
        <v>3</v>
      </c>
      <c r="G138" s="16">
        <f t="shared" si="6"/>
        <v>2</v>
      </c>
      <c r="H138" s="91">
        <v>1</v>
      </c>
      <c r="I138" s="98"/>
    </row>
    <row r="139" spans="1:10" ht="15.95" customHeight="1" x14ac:dyDescent="0.3">
      <c r="A139" s="91">
        <f t="shared" si="5"/>
        <v>20268</v>
      </c>
      <c r="B139" s="9" t="s">
        <v>541</v>
      </c>
      <c r="C139" s="91"/>
      <c r="D139" s="91"/>
      <c r="E139" s="16" t="s">
        <v>145</v>
      </c>
      <c r="F139" s="94">
        <v>3</v>
      </c>
      <c r="G139" s="16">
        <f t="shared" si="6"/>
        <v>2</v>
      </c>
      <c r="H139" s="91">
        <v>1</v>
      </c>
      <c r="I139" s="98"/>
    </row>
    <row r="140" spans="1:10" ht="15.95" customHeight="1" x14ac:dyDescent="0.3">
      <c r="A140" s="91">
        <f t="shared" si="5"/>
        <v>20270</v>
      </c>
      <c r="B140" s="9" t="s">
        <v>542</v>
      </c>
      <c r="C140" s="91"/>
      <c r="D140" s="91"/>
      <c r="E140" s="16" t="s">
        <v>145</v>
      </c>
      <c r="F140" s="16">
        <v>3</v>
      </c>
      <c r="G140" s="16">
        <f t="shared" si="6"/>
        <v>2</v>
      </c>
      <c r="H140" s="91">
        <v>1</v>
      </c>
      <c r="I140" s="98"/>
    </row>
    <row r="141" spans="1:10" ht="15.95" customHeight="1" x14ac:dyDescent="0.3">
      <c r="A141" s="91">
        <f t="shared" si="5"/>
        <v>20272</v>
      </c>
      <c r="B141" s="9" t="s">
        <v>31</v>
      </c>
      <c r="C141" s="91"/>
      <c r="D141" s="91"/>
      <c r="E141" s="16" t="s">
        <v>145</v>
      </c>
      <c r="F141" s="94">
        <v>3</v>
      </c>
      <c r="G141" s="16">
        <f t="shared" si="6"/>
        <v>2</v>
      </c>
      <c r="H141" s="91">
        <v>1</v>
      </c>
      <c r="I141" s="98"/>
    </row>
    <row r="142" spans="1:10" ht="15.95" customHeight="1" x14ac:dyDescent="0.3">
      <c r="A142" s="91">
        <f t="shared" si="5"/>
        <v>20274</v>
      </c>
      <c r="B142" s="9"/>
      <c r="C142" s="91"/>
      <c r="D142" s="91"/>
      <c r="E142" s="16" t="s">
        <v>145</v>
      </c>
      <c r="F142" s="16">
        <v>3</v>
      </c>
      <c r="G142" s="16">
        <f t="shared" si="6"/>
        <v>2</v>
      </c>
      <c r="H142" s="91">
        <v>1</v>
      </c>
      <c r="I142" s="98"/>
    </row>
    <row r="143" spans="1:10" ht="15.95" customHeight="1" x14ac:dyDescent="0.3">
      <c r="A143" s="94">
        <f t="shared" si="5"/>
        <v>20276</v>
      </c>
      <c r="B143" s="59" t="s">
        <v>549</v>
      </c>
      <c r="C143" s="129" t="s">
        <v>553</v>
      </c>
      <c r="D143" s="94"/>
      <c r="E143" s="94" t="s">
        <v>548</v>
      </c>
      <c r="F143" s="94">
        <v>3</v>
      </c>
      <c r="G143" s="94">
        <f t="shared" si="6"/>
        <v>4</v>
      </c>
      <c r="H143" s="94">
        <v>1</v>
      </c>
      <c r="I143" s="94"/>
      <c r="J143" s="9" t="s">
        <v>49</v>
      </c>
    </row>
    <row r="144" spans="1:10" ht="15.95" customHeight="1" x14ac:dyDescent="0.3">
      <c r="A144" s="94">
        <f t="shared" si="5"/>
        <v>20280</v>
      </c>
      <c r="B144" s="59" t="s">
        <v>531</v>
      </c>
      <c r="C144" s="129"/>
      <c r="D144" s="94"/>
      <c r="E144" s="94" t="s">
        <v>548</v>
      </c>
      <c r="F144" s="94">
        <v>3</v>
      </c>
      <c r="G144" s="94">
        <f t="shared" si="6"/>
        <v>4</v>
      </c>
      <c r="H144" s="94">
        <v>1</v>
      </c>
      <c r="I144" s="100"/>
    </row>
    <row r="145" spans="1:9" ht="15.95" customHeight="1" x14ac:dyDescent="0.3">
      <c r="A145" s="94">
        <f t="shared" si="5"/>
        <v>20284</v>
      </c>
      <c r="B145" s="59" t="s">
        <v>140</v>
      </c>
      <c r="C145" s="129"/>
      <c r="D145" s="94"/>
      <c r="E145" s="94" t="s">
        <v>548</v>
      </c>
      <c r="F145" s="94">
        <v>3</v>
      </c>
      <c r="G145" s="94">
        <f t="shared" si="6"/>
        <v>4</v>
      </c>
      <c r="H145" s="94">
        <v>1</v>
      </c>
      <c r="I145" s="100"/>
    </row>
    <row r="146" spans="1:9" ht="15.95" customHeight="1" x14ac:dyDescent="0.3">
      <c r="A146" s="94">
        <f t="shared" si="5"/>
        <v>20288</v>
      </c>
      <c r="B146" s="59" t="s">
        <v>141</v>
      </c>
      <c r="C146" s="129"/>
      <c r="D146" s="94"/>
      <c r="E146" s="94" t="s">
        <v>548</v>
      </c>
      <c r="F146" s="94">
        <v>3</v>
      </c>
      <c r="G146" s="94">
        <f t="shared" si="6"/>
        <v>4</v>
      </c>
      <c r="H146" s="94">
        <v>1</v>
      </c>
      <c r="I146" s="100"/>
    </row>
    <row r="147" spans="1:9" ht="15.95" customHeight="1" x14ac:dyDescent="0.3">
      <c r="A147" s="94">
        <f t="shared" si="5"/>
        <v>20292</v>
      </c>
      <c r="B147" s="59" t="s">
        <v>533</v>
      </c>
      <c r="C147" s="129"/>
      <c r="D147" s="94"/>
      <c r="E147" s="94" t="s">
        <v>548</v>
      </c>
      <c r="F147" s="94">
        <v>3</v>
      </c>
      <c r="G147" s="94">
        <f t="shared" si="6"/>
        <v>4</v>
      </c>
      <c r="H147" s="94">
        <v>1</v>
      </c>
      <c r="I147" s="100"/>
    </row>
    <row r="148" spans="1:9" ht="15.95" customHeight="1" x14ac:dyDescent="0.3">
      <c r="A148" s="94">
        <f t="shared" si="5"/>
        <v>20296</v>
      </c>
      <c r="B148" s="59"/>
      <c r="C148" s="129"/>
      <c r="D148" s="94"/>
      <c r="E148" s="94" t="s">
        <v>548</v>
      </c>
      <c r="F148" s="94">
        <v>3</v>
      </c>
      <c r="G148" s="94">
        <f t="shared" si="6"/>
        <v>4</v>
      </c>
      <c r="H148" s="94">
        <v>1</v>
      </c>
      <c r="I148" s="100"/>
    </row>
    <row r="149" spans="1:9" ht="15.95" customHeight="1" x14ac:dyDescent="0.3">
      <c r="A149" s="122" t="s">
        <v>138</v>
      </c>
      <c r="B149" s="122"/>
      <c r="C149" s="122"/>
      <c r="D149" s="122"/>
      <c r="E149" s="122"/>
      <c r="F149" s="122"/>
      <c r="G149" s="122"/>
      <c r="H149" s="122"/>
      <c r="I149" s="104"/>
    </row>
    <row r="150" spans="1:9" ht="15.95" customHeight="1" x14ac:dyDescent="0.3">
      <c r="A150" s="91">
        <f>A148+(G148*H148)</f>
        <v>20300</v>
      </c>
      <c r="B150" s="9" t="s">
        <v>90</v>
      </c>
      <c r="C150" s="123"/>
      <c r="D150" s="91"/>
      <c r="E150" s="16" t="s">
        <v>91</v>
      </c>
      <c r="F150" s="16">
        <v>3</v>
      </c>
      <c r="G150" s="16">
        <f t="shared" ref="G150:G186" si="7">IF(OR(E150="U16", E150="S16"),1,IF(E150="TS",6,2))</f>
        <v>2</v>
      </c>
      <c r="H150" s="91">
        <v>1</v>
      </c>
      <c r="I150" s="98"/>
    </row>
    <row r="151" spans="1:9" ht="15.95" customHeight="1" x14ac:dyDescent="0.3">
      <c r="A151" s="91">
        <f t="shared" ref="A151:A186" si="8">A150+(G150*H150)</f>
        <v>20302</v>
      </c>
      <c r="B151" s="9" t="s">
        <v>42</v>
      </c>
      <c r="C151" s="123"/>
      <c r="D151" s="91"/>
      <c r="E151" s="16" t="s">
        <v>58</v>
      </c>
      <c r="F151" s="16">
        <v>3</v>
      </c>
      <c r="G151" s="16">
        <f t="shared" si="7"/>
        <v>2</v>
      </c>
      <c r="H151" s="91">
        <v>1</v>
      </c>
      <c r="I151" s="98"/>
    </row>
    <row r="152" spans="1:9" ht="15.95" customHeight="1" x14ac:dyDescent="0.3">
      <c r="A152" s="91">
        <f t="shared" si="8"/>
        <v>20304</v>
      </c>
      <c r="B152" s="9" t="s">
        <v>90</v>
      </c>
      <c r="C152" s="123"/>
      <c r="D152" s="91"/>
      <c r="E152" s="16" t="s">
        <v>91</v>
      </c>
      <c r="F152" s="16">
        <v>3</v>
      </c>
      <c r="G152" s="16">
        <f t="shared" si="7"/>
        <v>2</v>
      </c>
      <c r="H152" s="91">
        <v>1</v>
      </c>
      <c r="I152" s="98"/>
    </row>
    <row r="153" spans="1:9" ht="15.95" customHeight="1" x14ac:dyDescent="0.3">
      <c r="A153" s="91">
        <f t="shared" si="8"/>
        <v>20306</v>
      </c>
      <c r="B153" s="9" t="s">
        <v>43</v>
      </c>
      <c r="C153" s="123"/>
      <c r="D153" s="91"/>
      <c r="E153" s="16" t="s">
        <v>58</v>
      </c>
      <c r="F153" s="16">
        <v>3</v>
      </c>
      <c r="G153" s="16">
        <f t="shared" si="7"/>
        <v>2</v>
      </c>
      <c r="H153" s="91">
        <v>1</v>
      </c>
      <c r="I153" s="98"/>
    </row>
    <row r="154" spans="1:9" ht="15.95" customHeight="1" x14ac:dyDescent="0.3">
      <c r="A154" s="91">
        <f t="shared" si="8"/>
        <v>20308</v>
      </c>
      <c r="B154" s="9" t="s">
        <v>90</v>
      </c>
      <c r="C154" s="123"/>
      <c r="D154" s="91"/>
      <c r="E154" s="16" t="s">
        <v>91</v>
      </c>
      <c r="F154" s="16">
        <v>3</v>
      </c>
      <c r="G154" s="16">
        <f t="shared" si="7"/>
        <v>2</v>
      </c>
      <c r="H154" s="91">
        <v>1</v>
      </c>
      <c r="I154" s="98"/>
    </row>
    <row r="155" spans="1:9" ht="15.95" customHeight="1" x14ac:dyDescent="0.3">
      <c r="A155" s="91">
        <f t="shared" si="8"/>
        <v>20310</v>
      </c>
      <c r="B155" s="9" t="s">
        <v>44</v>
      </c>
      <c r="C155" s="123"/>
      <c r="D155" s="91"/>
      <c r="E155" s="16" t="s">
        <v>58</v>
      </c>
      <c r="F155" s="16">
        <v>3</v>
      </c>
      <c r="G155" s="16">
        <f t="shared" si="7"/>
        <v>2</v>
      </c>
      <c r="H155" s="91">
        <v>1</v>
      </c>
      <c r="I155" s="98"/>
    </row>
    <row r="156" spans="1:9" ht="15.95" customHeight="1" x14ac:dyDescent="0.3">
      <c r="A156" s="91">
        <f t="shared" si="8"/>
        <v>20312</v>
      </c>
      <c r="B156" s="9" t="s">
        <v>90</v>
      </c>
      <c r="C156" s="123"/>
      <c r="D156" s="91"/>
      <c r="E156" s="16" t="s">
        <v>91</v>
      </c>
      <c r="F156" s="16">
        <v>3</v>
      </c>
      <c r="G156" s="16">
        <f t="shared" si="7"/>
        <v>2</v>
      </c>
      <c r="H156" s="91">
        <v>1</v>
      </c>
      <c r="I156" s="98"/>
    </row>
    <row r="157" spans="1:9" ht="15.95" customHeight="1" x14ac:dyDescent="0.3">
      <c r="A157" s="91">
        <f t="shared" si="8"/>
        <v>20314</v>
      </c>
      <c r="B157" s="9" t="s">
        <v>45</v>
      </c>
      <c r="C157" s="123"/>
      <c r="D157" s="91"/>
      <c r="E157" s="16" t="s">
        <v>58</v>
      </c>
      <c r="F157" s="16">
        <v>3</v>
      </c>
      <c r="G157" s="16">
        <f t="shared" si="7"/>
        <v>2</v>
      </c>
      <c r="H157" s="91">
        <v>1</v>
      </c>
      <c r="I157" s="98"/>
    </row>
    <row r="158" spans="1:9" ht="15.95" customHeight="1" x14ac:dyDescent="0.3">
      <c r="A158" s="91">
        <f t="shared" si="8"/>
        <v>20316</v>
      </c>
      <c r="B158" s="9" t="s">
        <v>90</v>
      </c>
      <c r="C158" s="123"/>
      <c r="D158" s="91"/>
      <c r="E158" s="16" t="s">
        <v>91</v>
      </c>
      <c r="F158" s="16">
        <v>3</v>
      </c>
      <c r="G158" s="16">
        <f t="shared" si="7"/>
        <v>2</v>
      </c>
      <c r="H158" s="91">
        <v>1</v>
      </c>
      <c r="I158" s="98"/>
    </row>
    <row r="159" spans="1:9" ht="15.95" customHeight="1" x14ac:dyDescent="0.3">
      <c r="A159" s="91">
        <f t="shared" si="8"/>
        <v>20318</v>
      </c>
      <c r="B159" s="9" t="s">
        <v>134</v>
      </c>
      <c r="C159" s="123"/>
      <c r="D159" s="91"/>
      <c r="E159" s="16" t="s">
        <v>58</v>
      </c>
      <c r="F159" s="16">
        <v>3</v>
      </c>
      <c r="G159" s="16">
        <f t="shared" si="7"/>
        <v>2</v>
      </c>
      <c r="H159" s="91">
        <v>1</v>
      </c>
      <c r="I159" s="98"/>
    </row>
    <row r="160" spans="1:9" ht="15.95" customHeight="1" x14ac:dyDescent="0.3">
      <c r="A160" s="91">
        <f t="shared" si="8"/>
        <v>20320</v>
      </c>
      <c r="B160" s="9" t="s">
        <v>90</v>
      </c>
      <c r="C160" s="123"/>
      <c r="D160" s="91"/>
      <c r="E160" s="16" t="s">
        <v>91</v>
      </c>
      <c r="F160" s="16">
        <v>3</v>
      </c>
      <c r="G160" s="16">
        <f t="shared" si="7"/>
        <v>2</v>
      </c>
      <c r="H160" s="91">
        <v>1</v>
      </c>
      <c r="I160" s="98"/>
    </row>
    <row r="161" spans="1:10" ht="15.95" customHeight="1" x14ac:dyDescent="0.3">
      <c r="A161" s="91">
        <f t="shared" si="8"/>
        <v>20322</v>
      </c>
      <c r="B161" s="9" t="s">
        <v>46</v>
      </c>
      <c r="C161" s="123"/>
      <c r="D161" s="91"/>
      <c r="E161" s="16" t="s">
        <v>58</v>
      </c>
      <c r="F161" s="16">
        <v>3</v>
      </c>
      <c r="G161" s="16">
        <f t="shared" si="7"/>
        <v>2</v>
      </c>
      <c r="H161" s="91">
        <v>1</v>
      </c>
      <c r="I161" s="98"/>
    </row>
    <row r="162" spans="1:10" ht="15.95" customHeight="1" x14ac:dyDescent="0.3">
      <c r="A162" s="91">
        <f t="shared" si="8"/>
        <v>20324</v>
      </c>
      <c r="B162" s="9" t="s">
        <v>90</v>
      </c>
      <c r="C162" s="123"/>
      <c r="D162" s="91"/>
      <c r="E162" s="16" t="s">
        <v>91</v>
      </c>
      <c r="F162" s="16">
        <v>3</v>
      </c>
      <c r="G162" s="16">
        <f t="shared" si="7"/>
        <v>2</v>
      </c>
      <c r="H162" s="91">
        <v>1</v>
      </c>
      <c r="I162" s="98"/>
    </row>
    <row r="163" spans="1:10" ht="15.95" customHeight="1" x14ac:dyDescent="0.3">
      <c r="A163" s="91">
        <f t="shared" si="8"/>
        <v>20326</v>
      </c>
      <c r="B163" s="9" t="s">
        <v>47</v>
      </c>
      <c r="C163" s="123"/>
      <c r="D163" s="91"/>
      <c r="E163" s="16" t="s">
        <v>58</v>
      </c>
      <c r="F163" s="16">
        <v>3</v>
      </c>
      <c r="G163" s="16">
        <f t="shared" si="7"/>
        <v>2</v>
      </c>
      <c r="H163" s="91">
        <v>1</v>
      </c>
      <c r="I163" s="98"/>
    </row>
    <row r="164" spans="1:10" ht="15.95" customHeight="1" x14ac:dyDescent="0.3">
      <c r="A164" s="91">
        <f t="shared" si="8"/>
        <v>20328</v>
      </c>
      <c r="B164" s="9" t="s">
        <v>90</v>
      </c>
      <c r="C164" s="123"/>
      <c r="D164" s="91"/>
      <c r="E164" s="16" t="s">
        <v>91</v>
      </c>
      <c r="F164" s="16">
        <v>3</v>
      </c>
      <c r="G164" s="16">
        <f t="shared" si="7"/>
        <v>2</v>
      </c>
      <c r="H164" s="91">
        <v>1</v>
      </c>
      <c r="I164" s="98"/>
    </row>
    <row r="165" spans="1:10" ht="15.95" customHeight="1" x14ac:dyDescent="0.3">
      <c r="A165" s="91">
        <f t="shared" si="8"/>
        <v>20330</v>
      </c>
      <c r="B165" s="9" t="s">
        <v>48</v>
      </c>
      <c r="C165" s="123"/>
      <c r="D165" s="91"/>
      <c r="E165" s="16" t="s">
        <v>58</v>
      </c>
      <c r="F165" s="16">
        <v>3</v>
      </c>
      <c r="G165" s="16">
        <f t="shared" si="7"/>
        <v>2</v>
      </c>
      <c r="H165" s="91">
        <v>1</v>
      </c>
      <c r="I165" s="98"/>
    </row>
    <row r="166" spans="1:10" ht="15.95" customHeight="1" x14ac:dyDescent="0.3">
      <c r="A166" s="91">
        <f t="shared" si="8"/>
        <v>20332</v>
      </c>
      <c r="B166" s="9" t="s">
        <v>397</v>
      </c>
      <c r="C166" s="91"/>
      <c r="D166" s="91"/>
      <c r="E166" s="16" t="s">
        <v>91</v>
      </c>
      <c r="F166" s="16">
        <v>3</v>
      </c>
      <c r="G166" s="16">
        <f t="shared" si="7"/>
        <v>2</v>
      </c>
      <c r="H166" s="91">
        <v>1</v>
      </c>
      <c r="I166" s="98"/>
    </row>
    <row r="167" spans="1:10" ht="15.95" customHeight="1" x14ac:dyDescent="0.3">
      <c r="A167" s="91">
        <f t="shared" si="8"/>
        <v>20334</v>
      </c>
      <c r="B167" s="9" t="s">
        <v>49</v>
      </c>
      <c r="C167" s="91"/>
      <c r="D167" s="91"/>
      <c r="E167" s="16" t="s">
        <v>58</v>
      </c>
      <c r="F167" s="16">
        <v>3</v>
      </c>
      <c r="G167" s="16">
        <f t="shared" si="7"/>
        <v>2</v>
      </c>
      <c r="H167" s="91">
        <v>1</v>
      </c>
      <c r="I167" s="98"/>
    </row>
    <row r="168" spans="1:10" ht="15.95" customHeight="1" x14ac:dyDescent="0.3">
      <c r="A168" s="91">
        <f t="shared" si="8"/>
        <v>20336</v>
      </c>
      <c r="B168" s="9" t="s">
        <v>50</v>
      </c>
      <c r="C168" s="91"/>
      <c r="D168" s="91"/>
      <c r="E168" s="16" t="s">
        <v>58</v>
      </c>
      <c r="F168" s="16">
        <v>3</v>
      </c>
      <c r="G168" s="16">
        <f t="shared" si="7"/>
        <v>2</v>
      </c>
      <c r="H168" s="91">
        <v>1</v>
      </c>
      <c r="I168" s="98"/>
      <c r="J168" s="96" t="s">
        <v>144</v>
      </c>
    </row>
    <row r="169" spans="1:10" ht="15.95" customHeight="1" x14ac:dyDescent="0.3">
      <c r="A169" s="91">
        <f t="shared" si="8"/>
        <v>20338</v>
      </c>
      <c r="B169" s="9" t="s">
        <v>51</v>
      </c>
      <c r="C169" s="91"/>
      <c r="D169" s="91"/>
      <c r="E169" s="16" t="s">
        <v>58</v>
      </c>
      <c r="F169" s="16">
        <v>3</v>
      </c>
      <c r="G169" s="16">
        <f t="shared" si="7"/>
        <v>2</v>
      </c>
      <c r="H169" s="91">
        <v>1</v>
      </c>
      <c r="I169" s="98"/>
    </row>
    <row r="170" spans="1:10" ht="15.95" customHeight="1" x14ac:dyDescent="0.3">
      <c r="A170" s="91">
        <f t="shared" si="8"/>
        <v>20340</v>
      </c>
      <c r="B170" s="9" t="s">
        <v>52</v>
      </c>
      <c r="C170" s="91"/>
      <c r="D170" s="91"/>
      <c r="E170" s="16" t="s">
        <v>58</v>
      </c>
      <c r="F170" s="16">
        <v>3</v>
      </c>
      <c r="G170" s="16">
        <f t="shared" si="7"/>
        <v>2</v>
      </c>
      <c r="H170" s="91">
        <v>1</v>
      </c>
      <c r="I170" s="98"/>
    </row>
    <row r="171" spans="1:10" ht="15.95" customHeight="1" x14ac:dyDescent="0.3">
      <c r="A171" s="91">
        <f t="shared" si="8"/>
        <v>20342</v>
      </c>
      <c r="B171" s="9" t="s">
        <v>53</v>
      </c>
      <c r="C171" s="91"/>
      <c r="D171" s="91"/>
      <c r="E171" s="16" t="s">
        <v>58</v>
      </c>
      <c r="F171" s="16">
        <v>3</v>
      </c>
      <c r="G171" s="16">
        <f t="shared" si="7"/>
        <v>2</v>
      </c>
      <c r="H171" s="91">
        <v>1</v>
      </c>
      <c r="I171" s="98"/>
    </row>
    <row r="172" spans="1:10" ht="15.95" customHeight="1" x14ac:dyDescent="0.3">
      <c r="A172" s="91">
        <f t="shared" si="8"/>
        <v>20344</v>
      </c>
      <c r="B172" s="9" t="s">
        <v>54</v>
      </c>
      <c r="C172" s="91"/>
      <c r="D172" s="91"/>
      <c r="E172" s="16" t="s">
        <v>58</v>
      </c>
      <c r="F172" s="16">
        <v>3</v>
      </c>
      <c r="G172" s="16">
        <f t="shared" si="7"/>
        <v>2</v>
      </c>
      <c r="H172" s="91">
        <v>1</v>
      </c>
      <c r="I172" s="98"/>
    </row>
    <row r="173" spans="1:10" ht="15.95" customHeight="1" x14ac:dyDescent="0.3">
      <c r="A173" s="91">
        <f t="shared" si="8"/>
        <v>20346</v>
      </c>
      <c r="B173" s="9" t="s">
        <v>55</v>
      </c>
      <c r="C173" s="91"/>
      <c r="D173" s="91"/>
      <c r="E173" s="16" t="s">
        <v>58</v>
      </c>
      <c r="F173" s="16">
        <v>3</v>
      </c>
      <c r="G173" s="16">
        <f t="shared" si="7"/>
        <v>2</v>
      </c>
      <c r="H173" s="91">
        <v>1</v>
      </c>
      <c r="I173" s="98"/>
    </row>
    <row r="174" spans="1:10" ht="15.95" customHeight="1" x14ac:dyDescent="0.3">
      <c r="A174" s="91">
        <f t="shared" si="8"/>
        <v>20348</v>
      </c>
      <c r="B174" s="9" t="s">
        <v>56</v>
      </c>
      <c r="C174" s="91"/>
      <c r="D174" s="91"/>
      <c r="E174" s="16" t="s">
        <v>58</v>
      </c>
      <c r="F174" s="16">
        <v>3</v>
      </c>
      <c r="G174" s="16">
        <f t="shared" si="7"/>
        <v>2</v>
      </c>
      <c r="H174" s="91">
        <v>1</v>
      </c>
      <c r="I174" s="98"/>
    </row>
    <row r="175" spans="1:10" ht="15.95" customHeight="1" x14ac:dyDescent="0.3">
      <c r="A175" s="91">
        <f t="shared" si="8"/>
        <v>20350</v>
      </c>
      <c r="B175" s="9" t="s">
        <v>260</v>
      </c>
      <c r="C175" s="91"/>
      <c r="D175" s="91"/>
      <c r="E175" s="16" t="s">
        <v>58</v>
      </c>
      <c r="F175" s="16">
        <v>3</v>
      </c>
      <c r="G175" s="16">
        <f t="shared" si="7"/>
        <v>2</v>
      </c>
      <c r="H175" s="91">
        <v>1</v>
      </c>
      <c r="I175" s="98"/>
    </row>
    <row r="176" spans="1:10" ht="15.95" customHeight="1" x14ac:dyDescent="0.3">
      <c r="A176" s="91">
        <f t="shared" si="8"/>
        <v>20352</v>
      </c>
      <c r="B176" s="9" t="s">
        <v>261</v>
      </c>
      <c r="C176" s="91"/>
      <c r="D176" s="91"/>
      <c r="E176" s="16" t="s">
        <v>58</v>
      </c>
      <c r="F176" s="16">
        <v>3</v>
      </c>
      <c r="G176" s="16">
        <f t="shared" si="7"/>
        <v>2</v>
      </c>
      <c r="H176" s="91">
        <v>1</v>
      </c>
      <c r="I176" s="98"/>
    </row>
    <row r="177" spans="1:9" ht="15.95" customHeight="1" x14ac:dyDescent="0.3">
      <c r="A177" s="91">
        <f t="shared" si="8"/>
        <v>20354</v>
      </c>
      <c r="B177" s="9" t="s">
        <v>262</v>
      </c>
      <c r="C177" s="91"/>
      <c r="D177" s="91"/>
      <c r="E177" s="16" t="s">
        <v>58</v>
      </c>
      <c r="F177" s="16">
        <v>3</v>
      </c>
      <c r="G177" s="16">
        <f t="shared" si="7"/>
        <v>2</v>
      </c>
      <c r="H177" s="91">
        <v>1</v>
      </c>
      <c r="I177" s="98"/>
    </row>
    <row r="178" spans="1:9" ht="15.95" customHeight="1" x14ac:dyDescent="0.3">
      <c r="A178" s="91">
        <f t="shared" si="8"/>
        <v>20356</v>
      </c>
      <c r="B178" s="9" t="s">
        <v>263</v>
      </c>
      <c r="C178" s="91"/>
      <c r="D178" s="91"/>
      <c r="E178" s="16" t="s">
        <v>58</v>
      </c>
      <c r="F178" s="16">
        <v>3</v>
      </c>
      <c r="G178" s="16">
        <f t="shared" si="7"/>
        <v>2</v>
      </c>
      <c r="H178" s="91">
        <v>1</v>
      </c>
      <c r="I178" s="98"/>
    </row>
    <row r="179" spans="1:9" ht="15.95" customHeight="1" x14ac:dyDescent="0.3">
      <c r="A179" s="91">
        <f t="shared" si="8"/>
        <v>20358</v>
      </c>
      <c r="B179" s="9" t="s">
        <v>264</v>
      </c>
      <c r="C179" s="91"/>
      <c r="D179" s="91"/>
      <c r="E179" s="16" t="s">
        <v>58</v>
      </c>
      <c r="F179" s="16">
        <v>3</v>
      </c>
      <c r="G179" s="16">
        <f t="shared" si="7"/>
        <v>2</v>
      </c>
      <c r="H179" s="91">
        <v>1</v>
      </c>
      <c r="I179" s="98"/>
    </row>
    <row r="180" spans="1:9" ht="15.95" customHeight="1" x14ac:dyDescent="0.3">
      <c r="A180" s="91">
        <f t="shared" si="8"/>
        <v>20360</v>
      </c>
      <c r="B180" s="9" t="s">
        <v>93</v>
      </c>
      <c r="C180" s="91"/>
      <c r="D180" s="91"/>
      <c r="E180" s="16" t="s">
        <v>58</v>
      </c>
      <c r="F180" s="16">
        <v>3</v>
      </c>
      <c r="G180" s="16">
        <f t="shared" si="7"/>
        <v>2</v>
      </c>
      <c r="H180" s="91">
        <v>1</v>
      </c>
      <c r="I180" s="98"/>
    </row>
    <row r="181" spans="1:9" ht="15.95" customHeight="1" x14ac:dyDescent="0.3">
      <c r="A181" s="91">
        <f t="shared" si="8"/>
        <v>20362</v>
      </c>
      <c r="B181" s="9" t="s">
        <v>266</v>
      </c>
      <c r="C181" s="91"/>
      <c r="D181" s="91"/>
      <c r="E181" s="16" t="s">
        <v>58</v>
      </c>
      <c r="F181" s="16">
        <v>3</v>
      </c>
      <c r="G181" s="16">
        <f t="shared" si="7"/>
        <v>2</v>
      </c>
      <c r="H181" s="91">
        <v>1</v>
      </c>
      <c r="I181" s="98"/>
    </row>
    <row r="182" spans="1:9" ht="15.95" customHeight="1" x14ac:dyDescent="0.3">
      <c r="A182" s="91">
        <f t="shared" si="8"/>
        <v>20364</v>
      </c>
      <c r="B182" s="9"/>
      <c r="C182" s="91"/>
      <c r="D182" s="91"/>
      <c r="E182" s="16" t="s">
        <v>58</v>
      </c>
      <c r="F182" s="16">
        <v>3</v>
      </c>
      <c r="G182" s="16">
        <f t="shared" si="7"/>
        <v>2</v>
      </c>
      <c r="H182" s="91">
        <v>1</v>
      </c>
      <c r="I182" s="98"/>
    </row>
    <row r="183" spans="1:9" ht="15.95" customHeight="1" x14ac:dyDescent="0.3">
      <c r="A183" s="91">
        <f t="shared" si="8"/>
        <v>20366</v>
      </c>
      <c r="B183" s="9"/>
      <c r="C183" s="91"/>
      <c r="D183" s="91"/>
      <c r="E183" s="16" t="s">
        <v>58</v>
      </c>
      <c r="F183" s="16">
        <v>3</v>
      </c>
      <c r="G183" s="16">
        <f t="shared" si="7"/>
        <v>2</v>
      </c>
      <c r="H183" s="91">
        <v>1</v>
      </c>
      <c r="I183" s="98"/>
    </row>
    <row r="184" spans="1:9" ht="15.95" customHeight="1" x14ac:dyDescent="0.3">
      <c r="A184" s="91">
        <f t="shared" si="8"/>
        <v>20368</v>
      </c>
      <c r="B184" s="9" t="s">
        <v>570</v>
      </c>
      <c r="C184" s="91"/>
      <c r="D184" s="91"/>
      <c r="E184" s="16" t="s">
        <v>145</v>
      </c>
      <c r="F184" s="16">
        <v>3</v>
      </c>
      <c r="G184" s="16">
        <f t="shared" si="7"/>
        <v>2</v>
      </c>
      <c r="H184" s="91">
        <v>1</v>
      </c>
      <c r="I184" s="98"/>
    </row>
    <row r="185" spans="1:9" ht="15.95" customHeight="1" x14ac:dyDescent="0.3">
      <c r="A185" s="91">
        <f t="shared" si="8"/>
        <v>20370</v>
      </c>
      <c r="B185" s="9" t="s">
        <v>265</v>
      </c>
      <c r="C185" s="91"/>
      <c r="D185" s="91"/>
      <c r="E185" s="16" t="s">
        <v>58</v>
      </c>
      <c r="F185" s="16">
        <v>3</v>
      </c>
      <c r="G185" s="16">
        <f t="shared" si="7"/>
        <v>2</v>
      </c>
      <c r="H185" s="91">
        <v>96</v>
      </c>
      <c r="I185" s="98"/>
    </row>
    <row r="186" spans="1:9" ht="15.95" customHeight="1" x14ac:dyDescent="0.3">
      <c r="A186" s="91">
        <f t="shared" si="8"/>
        <v>20562</v>
      </c>
      <c r="B186" s="9"/>
      <c r="C186" s="91"/>
      <c r="D186" s="91"/>
      <c r="E186" s="16" t="s">
        <v>58</v>
      </c>
      <c r="F186" s="16">
        <v>3</v>
      </c>
      <c r="G186" s="16">
        <f t="shared" si="7"/>
        <v>2</v>
      </c>
      <c r="H186" s="91">
        <v>19</v>
      </c>
      <c r="I186" s="98"/>
    </row>
    <row r="187" spans="1:9" ht="15.95" customHeight="1" x14ac:dyDescent="0.3">
      <c r="A187" s="122" t="s">
        <v>543</v>
      </c>
      <c r="B187" s="122"/>
      <c r="C187" s="122"/>
      <c r="D187" s="122"/>
      <c r="E187" s="122"/>
      <c r="F187" s="122"/>
      <c r="G187" s="122"/>
      <c r="H187" s="122"/>
      <c r="I187" s="104"/>
    </row>
    <row r="188" spans="1:9" ht="15.95" customHeight="1" x14ac:dyDescent="0.3">
      <c r="A188" s="91">
        <f>A186+(G186*H186)</f>
        <v>20600</v>
      </c>
      <c r="B188" s="9" t="s">
        <v>981</v>
      </c>
      <c r="C188" s="35"/>
      <c r="D188" s="91" t="s">
        <v>982</v>
      </c>
      <c r="E188" s="16" t="s">
        <v>437</v>
      </c>
      <c r="F188" s="16">
        <v>3</v>
      </c>
      <c r="G188" s="16">
        <v>2</v>
      </c>
      <c r="H188" s="91">
        <v>1</v>
      </c>
      <c r="I188" s="98"/>
    </row>
    <row r="189" spans="1:9" ht="15.95" customHeight="1" x14ac:dyDescent="0.3">
      <c r="A189" s="91">
        <f t="shared" ref="A189:A215" si="9">A188+(G188*H188)</f>
        <v>20602</v>
      </c>
      <c r="B189" s="9" t="s">
        <v>983</v>
      </c>
      <c r="C189" s="35"/>
      <c r="D189" s="91" t="s">
        <v>982</v>
      </c>
      <c r="E189" s="16" t="s">
        <v>437</v>
      </c>
      <c r="F189" s="16">
        <v>3</v>
      </c>
      <c r="G189" s="16">
        <v>2</v>
      </c>
      <c r="H189" s="91">
        <v>1</v>
      </c>
      <c r="I189" s="98"/>
    </row>
    <row r="190" spans="1:9" ht="15.95" customHeight="1" x14ac:dyDescent="0.3">
      <c r="A190" s="91">
        <f t="shared" si="9"/>
        <v>20604</v>
      </c>
      <c r="B190" s="9" t="s">
        <v>984</v>
      </c>
      <c r="C190" s="35"/>
      <c r="D190" s="91" t="s">
        <v>982</v>
      </c>
      <c r="E190" s="16" t="s">
        <v>437</v>
      </c>
      <c r="F190" s="16">
        <v>3</v>
      </c>
      <c r="G190" s="16">
        <v>2</v>
      </c>
      <c r="H190" s="91">
        <v>1</v>
      </c>
      <c r="I190" s="98"/>
    </row>
    <row r="191" spans="1:9" ht="15.95" customHeight="1" x14ac:dyDescent="0.3">
      <c r="A191" s="91">
        <f t="shared" si="9"/>
        <v>20606</v>
      </c>
      <c r="B191" s="9" t="s">
        <v>985</v>
      </c>
      <c r="C191" s="35"/>
      <c r="D191" s="91" t="s">
        <v>986</v>
      </c>
      <c r="E191" s="16" t="s">
        <v>437</v>
      </c>
      <c r="F191" s="16">
        <v>3</v>
      </c>
      <c r="G191" s="16">
        <v>2</v>
      </c>
      <c r="H191" s="91">
        <v>1</v>
      </c>
      <c r="I191" s="98"/>
    </row>
    <row r="192" spans="1:9" ht="15.95" customHeight="1" x14ac:dyDescent="0.3">
      <c r="A192" s="91">
        <f t="shared" si="9"/>
        <v>20608</v>
      </c>
      <c r="B192" s="9" t="s">
        <v>987</v>
      </c>
      <c r="C192" s="35"/>
      <c r="D192" s="91" t="s">
        <v>986</v>
      </c>
      <c r="E192" s="16" t="s">
        <v>437</v>
      </c>
      <c r="F192" s="16">
        <v>3</v>
      </c>
      <c r="G192" s="16">
        <v>2</v>
      </c>
      <c r="H192" s="91">
        <v>1</v>
      </c>
      <c r="I192" s="98"/>
    </row>
    <row r="193" spans="1:10" ht="15.95" customHeight="1" x14ac:dyDescent="0.3">
      <c r="A193" s="91">
        <f t="shared" si="9"/>
        <v>20610</v>
      </c>
      <c r="B193" s="9" t="s">
        <v>988</v>
      </c>
      <c r="C193" s="35"/>
      <c r="D193" s="91" t="s">
        <v>986</v>
      </c>
      <c r="E193" s="16" t="s">
        <v>437</v>
      </c>
      <c r="F193" s="16">
        <v>3</v>
      </c>
      <c r="G193" s="16">
        <v>2</v>
      </c>
      <c r="H193" s="91">
        <v>1</v>
      </c>
      <c r="I193" s="98"/>
    </row>
    <row r="194" spans="1:10" ht="15.95" customHeight="1" x14ac:dyDescent="0.3">
      <c r="A194" s="91">
        <f t="shared" si="9"/>
        <v>20612</v>
      </c>
      <c r="B194" s="9" t="s">
        <v>989</v>
      </c>
      <c r="C194" s="35"/>
      <c r="D194" s="91" t="s">
        <v>982</v>
      </c>
      <c r="E194" s="16" t="s">
        <v>437</v>
      </c>
      <c r="F194" s="16">
        <v>3</v>
      </c>
      <c r="G194" s="16">
        <v>2</v>
      </c>
      <c r="H194" s="91">
        <v>1</v>
      </c>
      <c r="I194" s="98"/>
    </row>
    <row r="195" spans="1:10" ht="15.95" customHeight="1" x14ac:dyDescent="0.3">
      <c r="A195" s="91">
        <f t="shared" si="9"/>
        <v>20614</v>
      </c>
      <c r="B195" s="9" t="s">
        <v>990</v>
      </c>
      <c r="C195" s="35"/>
      <c r="D195" s="91" t="s">
        <v>982</v>
      </c>
      <c r="E195" s="16" t="s">
        <v>437</v>
      </c>
      <c r="F195" s="16">
        <v>3</v>
      </c>
      <c r="G195" s="16">
        <v>2</v>
      </c>
      <c r="H195" s="91">
        <v>1</v>
      </c>
      <c r="I195" s="98"/>
    </row>
    <row r="196" spans="1:10" ht="15.95" customHeight="1" x14ac:dyDescent="0.3">
      <c r="A196" s="91">
        <f t="shared" si="9"/>
        <v>20616</v>
      </c>
      <c r="B196" s="9" t="s">
        <v>991</v>
      </c>
      <c r="C196" s="35"/>
      <c r="D196" s="91" t="s">
        <v>982</v>
      </c>
      <c r="E196" s="16" t="s">
        <v>437</v>
      </c>
      <c r="F196" s="16">
        <v>3</v>
      </c>
      <c r="G196" s="16">
        <v>2</v>
      </c>
      <c r="H196" s="91">
        <v>1</v>
      </c>
      <c r="I196" s="98"/>
    </row>
    <row r="197" spans="1:10" ht="15.95" customHeight="1" x14ac:dyDescent="0.3">
      <c r="A197" s="91">
        <f t="shared" si="9"/>
        <v>20618</v>
      </c>
      <c r="B197" s="9" t="s">
        <v>992</v>
      </c>
      <c r="C197" s="35"/>
      <c r="D197" s="91" t="s">
        <v>986</v>
      </c>
      <c r="E197" s="16" t="s">
        <v>437</v>
      </c>
      <c r="F197" s="16">
        <v>3</v>
      </c>
      <c r="G197" s="16">
        <v>2</v>
      </c>
      <c r="H197" s="91">
        <v>1</v>
      </c>
      <c r="I197" s="98"/>
    </row>
    <row r="198" spans="1:10" ht="15.95" customHeight="1" x14ac:dyDescent="0.3">
      <c r="A198" s="91">
        <f t="shared" si="9"/>
        <v>20620</v>
      </c>
      <c r="B198" s="9" t="s">
        <v>993</v>
      </c>
      <c r="C198" s="35"/>
      <c r="D198" s="91" t="s">
        <v>986</v>
      </c>
      <c r="E198" s="16" t="s">
        <v>437</v>
      </c>
      <c r="F198" s="16">
        <v>3</v>
      </c>
      <c r="G198" s="16">
        <v>2</v>
      </c>
      <c r="H198" s="91">
        <v>1</v>
      </c>
      <c r="I198" s="98"/>
    </row>
    <row r="199" spans="1:10" ht="15.95" customHeight="1" x14ac:dyDescent="0.3">
      <c r="A199" s="91">
        <f t="shared" si="9"/>
        <v>20622</v>
      </c>
      <c r="B199" s="9" t="s">
        <v>994</v>
      </c>
      <c r="C199" s="35"/>
      <c r="D199" s="91" t="s">
        <v>986</v>
      </c>
      <c r="E199" s="16" t="s">
        <v>437</v>
      </c>
      <c r="F199" s="16">
        <v>3</v>
      </c>
      <c r="G199" s="16">
        <v>2</v>
      </c>
      <c r="H199" s="91">
        <v>1</v>
      </c>
      <c r="I199" s="98"/>
    </row>
    <row r="200" spans="1:10" ht="15.95" customHeight="1" x14ac:dyDescent="0.3">
      <c r="A200" s="91">
        <f t="shared" si="9"/>
        <v>20624</v>
      </c>
      <c r="B200" s="9" t="s">
        <v>995</v>
      </c>
      <c r="C200" s="35" t="s">
        <v>996</v>
      </c>
      <c r="D200" s="91"/>
      <c r="E200" s="16" t="s">
        <v>437</v>
      </c>
      <c r="F200" s="16">
        <v>3</v>
      </c>
      <c r="G200" s="16">
        <v>2</v>
      </c>
      <c r="H200" s="91">
        <v>1</v>
      </c>
      <c r="I200" s="98"/>
    </row>
    <row r="201" spans="1:10" ht="15.95" customHeight="1" x14ac:dyDescent="0.3">
      <c r="A201" s="91">
        <f t="shared" si="9"/>
        <v>20626</v>
      </c>
      <c r="B201" s="9" t="s">
        <v>997</v>
      </c>
      <c r="C201" s="35"/>
      <c r="D201" s="91"/>
      <c r="E201" s="16" t="s">
        <v>437</v>
      </c>
      <c r="F201" s="16">
        <v>3</v>
      </c>
      <c r="G201" s="16">
        <v>2</v>
      </c>
      <c r="H201" s="91">
        <v>1</v>
      </c>
      <c r="I201" s="98"/>
    </row>
    <row r="202" spans="1:10" ht="15.95" customHeight="1" x14ac:dyDescent="0.3">
      <c r="A202" s="91">
        <f t="shared" si="9"/>
        <v>20628</v>
      </c>
      <c r="B202" s="9" t="s">
        <v>998</v>
      </c>
      <c r="C202" s="35"/>
      <c r="D202" s="91"/>
      <c r="E202" s="16" t="s">
        <v>437</v>
      </c>
      <c r="F202" s="16">
        <v>3</v>
      </c>
      <c r="G202" s="16">
        <v>2</v>
      </c>
      <c r="H202" s="91">
        <v>1</v>
      </c>
      <c r="I202" s="98"/>
    </row>
    <row r="203" spans="1:10" ht="15.95" customHeight="1" x14ac:dyDescent="0.3">
      <c r="A203" s="91">
        <f t="shared" si="9"/>
        <v>20630</v>
      </c>
      <c r="B203" s="9" t="s">
        <v>999</v>
      </c>
      <c r="C203" s="35" t="s">
        <v>1000</v>
      </c>
      <c r="D203" s="91"/>
      <c r="E203" s="16" t="s">
        <v>437</v>
      </c>
      <c r="F203" s="16">
        <v>3</v>
      </c>
      <c r="G203" s="16">
        <v>2</v>
      </c>
      <c r="H203" s="91">
        <v>1</v>
      </c>
      <c r="I203" s="98"/>
    </row>
    <row r="204" spans="1:10" ht="15.95" customHeight="1" x14ac:dyDescent="0.3">
      <c r="A204" s="91">
        <f t="shared" si="9"/>
        <v>20632</v>
      </c>
      <c r="B204" s="9" t="s">
        <v>1001</v>
      </c>
      <c r="C204" s="91"/>
      <c r="D204" s="91"/>
      <c r="E204" s="16" t="s">
        <v>437</v>
      </c>
      <c r="F204" s="16">
        <v>3</v>
      </c>
      <c r="G204" s="16">
        <v>2</v>
      </c>
      <c r="H204" s="91">
        <v>1</v>
      </c>
      <c r="I204" s="98"/>
    </row>
    <row r="205" spans="1:10" ht="15.95" customHeight="1" x14ac:dyDescent="0.3">
      <c r="A205" s="91">
        <f t="shared" si="9"/>
        <v>20634</v>
      </c>
      <c r="B205" s="9" t="s">
        <v>1002</v>
      </c>
      <c r="C205" s="91"/>
      <c r="D205" s="91"/>
      <c r="E205" s="16" t="s">
        <v>437</v>
      </c>
      <c r="F205" s="16">
        <v>3</v>
      </c>
      <c r="G205" s="16">
        <v>2</v>
      </c>
      <c r="H205" s="91">
        <v>1</v>
      </c>
      <c r="I205" s="98"/>
    </row>
    <row r="206" spans="1:10" ht="15.95" customHeight="1" x14ac:dyDescent="0.3">
      <c r="A206" s="91">
        <f t="shared" si="9"/>
        <v>20636</v>
      </c>
      <c r="B206" s="9" t="s">
        <v>1003</v>
      </c>
      <c r="C206" s="91" t="s">
        <v>1004</v>
      </c>
      <c r="D206" s="91"/>
      <c r="E206" s="16" t="s">
        <v>437</v>
      </c>
      <c r="F206" s="16">
        <v>3</v>
      </c>
      <c r="G206" s="16">
        <v>2</v>
      </c>
      <c r="H206" s="91">
        <v>1</v>
      </c>
      <c r="I206" s="98"/>
      <c r="J206" s="96" t="s">
        <v>144</v>
      </c>
    </row>
    <row r="207" spans="1:10" ht="15.95" customHeight="1" x14ac:dyDescent="0.3">
      <c r="A207" s="91">
        <f t="shared" si="9"/>
        <v>20638</v>
      </c>
      <c r="B207" s="9" t="s">
        <v>1005</v>
      </c>
      <c r="C207" s="91"/>
      <c r="D207" s="91"/>
      <c r="E207" s="16" t="s">
        <v>437</v>
      </c>
      <c r="F207" s="16">
        <v>3</v>
      </c>
      <c r="G207" s="16">
        <v>2</v>
      </c>
      <c r="H207" s="91">
        <v>1</v>
      </c>
      <c r="I207" s="98"/>
    </row>
    <row r="208" spans="1:10" ht="15.95" customHeight="1" x14ac:dyDescent="0.3">
      <c r="A208" s="91">
        <f t="shared" si="9"/>
        <v>20640</v>
      </c>
      <c r="B208" s="9" t="s">
        <v>1006</v>
      </c>
      <c r="C208" s="91"/>
      <c r="D208" s="91"/>
      <c r="E208" s="16" t="s">
        <v>437</v>
      </c>
      <c r="F208" s="16">
        <v>3</v>
      </c>
      <c r="G208" s="16">
        <v>2</v>
      </c>
      <c r="H208" s="91">
        <v>1</v>
      </c>
      <c r="I208" s="98"/>
    </row>
    <row r="209" spans="1:10" ht="27" x14ac:dyDescent="0.3">
      <c r="A209" s="91">
        <f t="shared" si="9"/>
        <v>20642</v>
      </c>
      <c r="B209" s="9" t="s">
        <v>1007</v>
      </c>
      <c r="C209" s="91" t="s">
        <v>1008</v>
      </c>
      <c r="D209" s="91"/>
      <c r="E209" s="16" t="s">
        <v>437</v>
      </c>
      <c r="F209" s="16">
        <v>3</v>
      </c>
      <c r="G209" s="16">
        <v>2</v>
      </c>
      <c r="H209" s="91">
        <v>1</v>
      </c>
      <c r="I209" s="98"/>
    </row>
    <row r="210" spans="1:10" ht="15.95" customHeight="1" x14ac:dyDescent="0.3">
      <c r="A210" s="91">
        <f t="shared" si="9"/>
        <v>20644</v>
      </c>
      <c r="B210" s="9" t="s">
        <v>1009</v>
      </c>
      <c r="C210" s="91"/>
      <c r="D210" s="91"/>
      <c r="E210" s="16" t="s">
        <v>437</v>
      </c>
      <c r="F210" s="16">
        <v>3</v>
      </c>
      <c r="G210" s="16">
        <v>2</v>
      </c>
      <c r="H210" s="91">
        <v>1</v>
      </c>
      <c r="I210" s="98"/>
    </row>
    <row r="211" spans="1:10" ht="15.95" customHeight="1" x14ac:dyDescent="0.3">
      <c r="A211" s="91">
        <f t="shared" si="9"/>
        <v>20646</v>
      </c>
      <c r="B211" s="9" t="s">
        <v>1010</v>
      </c>
      <c r="C211" s="91"/>
      <c r="D211" s="91"/>
      <c r="E211" s="16" t="s">
        <v>437</v>
      </c>
      <c r="F211" s="16">
        <v>3</v>
      </c>
      <c r="G211" s="16">
        <v>2</v>
      </c>
      <c r="H211" s="91">
        <v>1</v>
      </c>
      <c r="I211" s="98"/>
    </row>
    <row r="212" spans="1:10" ht="40.5" x14ac:dyDescent="0.3">
      <c r="A212" s="91">
        <f t="shared" si="9"/>
        <v>20648</v>
      </c>
      <c r="B212" s="9" t="s">
        <v>1011</v>
      </c>
      <c r="C212" s="91" t="s">
        <v>1012</v>
      </c>
      <c r="D212" s="91"/>
      <c r="E212" s="16" t="s">
        <v>437</v>
      </c>
      <c r="F212" s="16">
        <v>3</v>
      </c>
      <c r="G212" s="16">
        <v>2</v>
      </c>
      <c r="H212" s="91">
        <v>1</v>
      </c>
      <c r="I212" s="98"/>
    </row>
    <row r="213" spans="1:10" ht="15.95" customHeight="1" x14ac:dyDescent="0.3">
      <c r="A213" s="91">
        <f t="shared" si="9"/>
        <v>20650</v>
      </c>
      <c r="B213" s="9" t="s">
        <v>1013</v>
      </c>
      <c r="C213" s="91"/>
      <c r="D213" s="91"/>
      <c r="E213" s="16" t="s">
        <v>437</v>
      </c>
      <c r="F213" s="16">
        <v>3</v>
      </c>
      <c r="G213" s="16">
        <v>2</v>
      </c>
      <c r="H213" s="91">
        <v>1</v>
      </c>
      <c r="I213" s="98"/>
    </row>
    <row r="214" spans="1:10" ht="15.95" customHeight="1" x14ac:dyDescent="0.3">
      <c r="A214" s="91">
        <f t="shared" si="9"/>
        <v>20652</v>
      </c>
      <c r="B214" s="9" t="s">
        <v>1014</v>
      </c>
      <c r="C214" s="91"/>
      <c r="D214" s="91"/>
      <c r="E214" s="16" t="s">
        <v>437</v>
      </c>
      <c r="F214" s="16">
        <v>3</v>
      </c>
      <c r="G214" s="16">
        <v>2</v>
      </c>
      <c r="H214" s="91">
        <v>1</v>
      </c>
      <c r="I214" s="98"/>
    </row>
    <row r="215" spans="1:10" ht="15.95" customHeight="1" x14ac:dyDescent="0.3">
      <c r="A215" s="91">
        <f t="shared" si="9"/>
        <v>20654</v>
      </c>
      <c r="B215" s="9"/>
      <c r="C215" s="91"/>
      <c r="D215" s="91"/>
      <c r="E215" s="16" t="s">
        <v>437</v>
      </c>
      <c r="F215" s="16">
        <v>3</v>
      </c>
      <c r="G215" s="16">
        <v>2</v>
      </c>
      <c r="H215" s="91">
        <v>23</v>
      </c>
      <c r="I215" s="98"/>
    </row>
    <row r="216" spans="1:10" ht="15.95" customHeight="1" x14ac:dyDescent="0.3">
      <c r="A216" s="122" t="s">
        <v>697</v>
      </c>
      <c r="B216" s="122"/>
      <c r="C216" s="122"/>
      <c r="D216" s="122"/>
      <c r="E216" s="122"/>
      <c r="F216" s="122"/>
      <c r="G216" s="122"/>
      <c r="H216" s="122"/>
      <c r="I216" s="104"/>
    </row>
    <row r="217" spans="1:10" ht="15.95" customHeight="1" x14ac:dyDescent="0.3">
      <c r="A217" s="91">
        <f>A215+(G215*H215)</f>
        <v>20700</v>
      </c>
      <c r="B217" s="9" t="s">
        <v>762</v>
      </c>
      <c r="C217" s="91"/>
      <c r="D217" s="91"/>
      <c r="E217" s="16" t="s">
        <v>91</v>
      </c>
      <c r="F217" s="16">
        <v>3</v>
      </c>
      <c r="G217" s="16">
        <f>IF(OR(D217="U16", D217="S16"),1,IF(D217="TS",6,2))</f>
        <v>2</v>
      </c>
      <c r="H217" s="91">
        <v>1</v>
      </c>
      <c r="I217" s="98"/>
    </row>
    <row r="218" spans="1:10" ht="15.95" customHeight="1" x14ac:dyDescent="0.3">
      <c r="A218" s="91">
        <f t="shared" ref="A218:A235" si="10">A217+(G217*H217)</f>
        <v>20702</v>
      </c>
      <c r="B218" s="9" t="s">
        <v>763</v>
      </c>
      <c r="C218" s="91"/>
      <c r="D218" s="91"/>
      <c r="E218" s="16" t="s">
        <v>91</v>
      </c>
      <c r="F218" s="16">
        <v>3</v>
      </c>
      <c r="G218" s="16">
        <f>IF(OR(D218="U16", D218="S16"),1,IF(D218="TS",6,2))</f>
        <v>2</v>
      </c>
      <c r="H218" s="91">
        <v>1</v>
      </c>
      <c r="I218" s="98"/>
    </row>
    <row r="219" spans="1:10" ht="405" x14ac:dyDescent="0.3">
      <c r="A219" s="91">
        <f t="shared" si="10"/>
        <v>20704</v>
      </c>
      <c r="B219" s="9" t="s">
        <v>764</v>
      </c>
      <c r="C219" s="35" t="s">
        <v>1110</v>
      </c>
      <c r="D219" s="35"/>
      <c r="E219" s="16" t="s">
        <v>145</v>
      </c>
      <c r="F219" s="16">
        <v>3</v>
      </c>
      <c r="G219" s="16">
        <f>IF(OR(D219="U16", D219="S16"),1,IF(D219="TS",6,2))</f>
        <v>2</v>
      </c>
      <c r="H219" s="91">
        <v>1</v>
      </c>
      <c r="I219" s="98"/>
    </row>
    <row r="220" spans="1:10" ht="15.95" customHeight="1" x14ac:dyDescent="0.3">
      <c r="A220" s="91">
        <f t="shared" si="10"/>
        <v>20706</v>
      </c>
      <c r="B220" s="9" t="s">
        <v>765</v>
      </c>
      <c r="C220" s="91">
        <v>0</v>
      </c>
      <c r="D220" s="91"/>
      <c r="E220" s="16" t="s">
        <v>123</v>
      </c>
      <c r="F220" s="16">
        <v>3</v>
      </c>
      <c r="G220" s="16">
        <v>1</v>
      </c>
      <c r="H220" s="91">
        <v>1</v>
      </c>
      <c r="I220" s="98"/>
      <c r="J220" s="96" t="s">
        <v>125</v>
      </c>
    </row>
    <row r="221" spans="1:10" ht="15.95" customHeight="1" x14ac:dyDescent="0.3">
      <c r="A221" s="91">
        <f t="shared" si="10"/>
        <v>20707</v>
      </c>
      <c r="B221" s="9" t="s">
        <v>766</v>
      </c>
      <c r="C221" s="91">
        <v>1</v>
      </c>
      <c r="D221" s="91"/>
      <c r="E221" s="16" t="s">
        <v>123</v>
      </c>
      <c r="F221" s="16">
        <v>3</v>
      </c>
      <c r="G221" s="16">
        <v>1</v>
      </c>
      <c r="H221" s="91">
        <v>1</v>
      </c>
      <c r="I221" s="98"/>
      <c r="J221" s="96" t="s">
        <v>126</v>
      </c>
    </row>
    <row r="222" spans="1:10" ht="15.95" customHeight="1" x14ac:dyDescent="0.3">
      <c r="A222" s="91">
        <f t="shared" si="10"/>
        <v>20708</v>
      </c>
      <c r="B222" s="9" t="s">
        <v>767</v>
      </c>
      <c r="C222" s="123">
        <v>2</v>
      </c>
      <c r="D222" s="91"/>
      <c r="E222" s="16" t="s">
        <v>123</v>
      </c>
      <c r="F222" s="16">
        <v>3</v>
      </c>
      <c r="G222" s="16">
        <v>1</v>
      </c>
      <c r="H222" s="91">
        <v>1</v>
      </c>
      <c r="I222" s="98"/>
    </row>
    <row r="223" spans="1:10" ht="15.95" customHeight="1" x14ac:dyDescent="0.3">
      <c r="A223" s="91">
        <f t="shared" si="10"/>
        <v>20709</v>
      </c>
      <c r="B223" s="9" t="s">
        <v>768</v>
      </c>
      <c r="C223" s="123"/>
      <c r="D223" s="91"/>
      <c r="E223" s="16" t="s">
        <v>123</v>
      </c>
      <c r="F223" s="16">
        <v>3</v>
      </c>
      <c r="G223" s="16">
        <v>1</v>
      </c>
      <c r="H223" s="91">
        <v>1</v>
      </c>
      <c r="I223" s="98"/>
    </row>
    <row r="224" spans="1:10" ht="15.95" customHeight="1" x14ac:dyDescent="0.3">
      <c r="A224" s="91">
        <f t="shared" si="10"/>
        <v>20710</v>
      </c>
      <c r="B224" s="9" t="s">
        <v>769</v>
      </c>
      <c r="C224" s="123"/>
      <c r="D224" s="91"/>
      <c r="E224" s="16" t="s">
        <v>123</v>
      </c>
      <c r="F224" s="16">
        <v>3</v>
      </c>
      <c r="G224" s="16">
        <v>1</v>
      </c>
      <c r="H224" s="91">
        <v>1</v>
      </c>
      <c r="I224" s="98"/>
      <c r="J224" s="96" t="s">
        <v>125</v>
      </c>
    </row>
    <row r="225" spans="1:10" ht="15.95" customHeight="1" x14ac:dyDescent="0.3">
      <c r="A225" s="91">
        <f t="shared" si="10"/>
        <v>20711</v>
      </c>
      <c r="B225" s="9" t="s">
        <v>770</v>
      </c>
      <c r="C225" s="123">
        <v>3</v>
      </c>
      <c r="D225" s="91"/>
      <c r="E225" s="16" t="s">
        <v>123</v>
      </c>
      <c r="F225" s="16">
        <v>3</v>
      </c>
      <c r="G225" s="16">
        <v>1</v>
      </c>
      <c r="H225" s="91">
        <v>1</v>
      </c>
      <c r="I225" s="98"/>
    </row>
    <row r="226" spans="1:10" ht="15.95" customHeight="1" x14ac:dyDescent="0.3">
      <c r="A226" s="91">
        <f t="shared" si="10"/>
        <v>20712</v>
      </c>
      <c r="B226" s="9" t="s">
        <v>771</v>
      </c>
      <c r="C226" s="123"/>
      <c r="D226" s="91"/>
      <c r="E226" s="16" t="s">
        <v>123</v>
      </c>
      <c r="F226" s="16">
        <v>3</v>
      </c>
      <c r="G226" s="16">
        <v>1</v>
      </c>
      <c r="H226" s="91">
        <v>1</v>
      </c>
      <c r="I226" s="98"/>
    </row>
    <row r="227" spans="1:10" ht="15.95" customHeight="1" x14ac:dyDescent="0.3">
      <c r="A227" s="91">
        <f t="shared" si="10"/>
        <v>20713</v>
      </c>
      <c r="B227" s="9" t="s">
        <v>772</v>
      </c>
      <c r="C227" s="123"/>
      <c r="D227" s="91"/>
      <c r="E227" s="16" t="s">
        <v>123</v>
      </c>
      <c r="F227" s="16">
        <v>3</v>
      </c>
      <c r="G227" s="16">
        <v>1</v>
      </c>
      <c r="H227" s="91">
        <v>1</v>
      </c>
      <c r="I227" s="98"/>
      <c r="J227" s="96" t="s">
        <v>126</v>
      </c>
    </row>
    <row r="228" spans="1:10" ht="15.95" customHeight="1" x14ac:dyDescent="0.3">
      <c r="A228" s="91">
        <f t="shared" si="10"/>
        <v>20714</v>
      </c>
      <c r="B228" s="9" t="s">
        <v>773</v>
      </c>
      <c r="C228" s="91">
        <v>4</v>
      </c>
      <c r="D228" s="91"/>
      <c r="E228" s="16" t="s">
        <v>123</v>
      </c>
      <c r="F228" s="16">
        <v>3</v>
      </c>
      <c r="G228" s="16">
        <v>1</v>
      </c>
      <c r="H228" s="91">
        <v>1</v>
      </c>
      <c r="I228" s="98"/>
    </row>
    <row r="229" spans="1:10" ht="15.95" customHeight="1" x14ac:dyDescent="0.3">
      <c r="A229" s="16">
        <f t="shared" si="10"/>
        <v>20715</v>
      </c>
      <c r="B229" s="9" t="s">
        <v>774</v>
      </c>
      <c r="C229" s="123">
        <v>5</v>
      </c>
      <c r="D229" s="91"/>
      <c r="E229" s="16" t="s">
        <v>123</v>
      </c>
      <c r="F229" s="16">
        <v>3</v>
      </c>
      <c r="G229" s="16">
        <v>1</v>
      </c>
      <c r="H229" s="91">
        <v>1</v>
      </c>
      <c r="I229" s="98"/>
    </row>
    <row r="230" spans="1:10" ht="15.95" customHeight="1" x14ac:dyDescent="0.3">
      <c r="A230" s="16">
        <f t="shared" si="10"/>
        <v>20716</v>
      </c>
      <c r="B230" s="9" t="s">
        <v>775</v>
      </c>
      <c r="C230" s="123"/>
      <c r="D230" s="91"/>
      <c r="E230" s="16" t="s">
        <v>123</v>
      </c>
      <c r="F230" s="16">
        <v>3</v>
      </c>
      <c r="G230" s="16">
        <v>1</v>
      </c>
      <c r="H230" s="91">
        <v>1</v>
      </c>
      <c r="I230" s="98"/>
      <c r="J230" s="96" t="s">
        <v>126</v>
      </c>
    </row>
    <row r="231" spans="1:10" ht="15.95" customHeight="1" x14ac:dyDescent="0.3">
      <c r="A231" s="16">
        <f t="shared" si="10"/>
        <v>20717</v>
      </c>
      <c r="B231" s="9" t="s">
        <v>776</v>
      </c>
      <c r="C231" s="123"/>
      <c r="D231" s="91"/>
      <c r="E231" s="16" t="s">
        <v>123</v>
      </c>
      <c r="F231" s="16">
        <v>3</v>
      </c>
      <c r="G231" s="16">
        <v>1</v>
      </c>
      <c r="H231" s="91">
        <v>1</v>
      </c>
      <c r="I231" s="98"/>
    </row>
    <row r="232" spans="1:10" ht="15.95" customHeight="1" x14ac:dyDescent="0.3">
      <c r="A232" s="16">
        <f t="shared" si="10"/>
        <v>20718</v>
      </c>
      <c r="B232" s="9" t="s">
        <v>777</v>
      </c>
      <c r="C232" s="123">
        <v>6</v>
      </c>
      <c r="D232" s="91"/>
      <c r="E232" s="16" t="s">
        <v>123</v>
      </c>
      <c r="F232" s="16">
        <v>3</v>
      </c>
      <c r="G232" s="16">
        <v>1</v>
      </c>
      <c r="H232" s="91">
        <v>1</v>
      </c>
      <c r="I232" s="98"/>
    </row>
    <row r="233" spans="1:10" ht="15.95" customHeight="1" x14ac:dyDescent="0.3">
      <c r="A233" s="16">
        <f t="shared" si="10"/>
        <v>20719</v>
      </c>
      <c r="B233" s="9" t="s">
        <v>778</v>
      </c>
      <c r="C233" s="123"/>
      <c r="D233" s="91"/>
      <c r="E233" s="16" t="s">
        <v>123</v>
      </c>
      <c r="F233" s="16">
        <v>3</v>
      </c>
      <c r="G233" s="16">
        <v>1</v>
      </c>
      <c r="H233" s="91">
        <v>1</v>
      </c>
      <c r="I233" s="98"/>
      <c r="J233" s="96" t="s">
        <v>126</v>
      </c>
    </row>
    <row r="234" spans="1:10" ht="15.95" customHeight="1" x14ac:dyDescent="0.3">
      <c r="A234" s="16">
        <f t="shared" si="10"/>
        <v>20720</v>
      </c>
      <c r="B234" s="9" t="s">
        <v>779</v>
      </c>
      <c r="C234" s="123"/>
      <c r="D234" s="91"/>
      <c r="E234" s="16" t="s">
        <v>123</v>
      </c>
      <c r="F234" s="16">
        <v>3</v>
      </c>
      <c r="G234" s="16">
        <v>1</v>
      </c>
      <c r="H234" s="91">
        <v>1</v>
      </c>
      <c r="I234" s="98"/>
    </row>
    <row r="235" spans="1:10" ht="15.95" customHeight="1" x14ac:dyDescent="0.3">
      <c r="A235" s="91">
        <f t="shared" si="10"/>
        <v>20721</v>
      </c>
      <c r="B235" s="12" t="s">
        <v>780</v>
      </c>
      <c r="C235" s="139">
        <v>7</v>
      </c>
      <c r="D235" s="97"/>
      <c r="E235" s="97" t="s">
        <v>123</v>
      </c>
      <c r="F235" s="16">
        <v>3</v>
      </c>
      <c r="G235" s="16">
        <v>1</v>
      </c>
      <c r="H235" s="97">
        <v>1</v>
      </c>
      <c r="I235" s="107"/>
    </row>
    <row r="236" spans="1:10" ht="15.95" customHeight="1" x14ac:dyDescent="0.3">
      <c r="A236" s="91">
        <f>A235+(G235*H235)</f>
        <v>20722</v>
      </c>
      <c r="B236" s="12" t="s">
        <v>781</v>
      </c>
      <c r="C236" s="139"/>
      <c r="D236" s="97"/>
      <c r="E236" s="97" t="s">
        <v>123</v>
      </c>
      <c r="F236" s="16">
        <v>3</v>
      </c>
      <c r="G236" s="16">
        <v>1</v>
      </c>
      <c r="H236" s="97">
        <v>1</v>
      </c>
      <c r="I236" s="107"/>
      <c r="J236" s="96" t="s">
        <v>126</v>
      </c>
    </row>
    <row r="237" spans="1:10" ht="15.95" customHeight="1" x14ac:dyDescent="0.3">
      <c r="A237" s="91">
        <f>A236+(G236*H236)</f>
        <v>20723</v>
      </c>
      <c r="B237" s="12" t="s">
        <v>782</v>
      </c>
      <c r="C237" s="139"/>
      <c r="D237" s="97"/>
      <c r="E237" s="97" t="s">
        <v>123</v>
      </c>
      <c r="F237" s="16">
        <v>3</v>
      </c>
      <c r="G237" s="16">
        <v>1</v>
      </c>
      <c r="H237" s="97">
        <v>1</v>
      </c>
      <c r="I237" s="107"/>
    </row>
    <row r="238" spans="1:10" ht="15.95" customHeight="1" x14ac:dyDescent="0.3">
      <c r="A238" s="91">
        <f>A237+(G237*H237)</f>
        <v>20724</v>
      </c>
      <c r="B238" s="12" t="s">
        <v>783</v>
      </c>
      <c r="C238" s="139">
        <v>8</v>
      </c>
      <c r="D238" s="97"/>
      <c r="E238" s="97" t="s">
        <v>123</v>
      </c>
      <c r="F238" s="16">
        <v>3</v>
      </c>
      <c r="G238" s="16">
        <v>1</v>
      </c>
      <c r="H238" s="97">
        <v>1</v>
      </c>
      <c r="I238" s="107"/>
    </row>
    <row r="239" spans="1:10" ht="15.95" customHeight="1" x14ac:dyDescent="0.3">
      <c r="A239" s="91">
        <f>A238+(G238*H238)</f>
        <v>20725</v>
      </c>
      <c r="B239" s="12" t="s">
        <v>784</v>
      </c>
      <c r="C239" s="139"/>
      <c r="D239" s="97"/>
      <c r="E239" s="97" t="s">
        <v>123</v>
      </c>
      <c r="F239" s="16">
        <v>3</v>
      </c>
      <c r="G239" s="16">
        <v>1</v>
      </c>
      <c r="H239" s="97">
        <v>1</v>
      </c>
      <c r="I239" s="107"/>
      <c r="J239" s="96" t="s">
        <v>125</v>
      </c>
    </row>
    <row r="240" spans="1:10" ht="15.95" customHeight="1" x14ac:dyDescent="0.3">
      <c r="A240" s="91">
        <f>A239+(G239*H239)</f>
        <v>20726</v>
      </c>
      <c r="B240" s="12" t="s">
        <v>785</v>
      </c>
      <c r="C240" s="139"/>
      <c r="D240" s="97"/>
      <c r="E240" s="97" t="s">
        <v>123</v>
      </c>
      <c r="F240" s="16">
        <v>3</v>
      </c>
      <c r="G240" s="16">
        <v>1</v>
      </c>
      <c r="H240" s="97">
        <v>1</v>
      </c>
      <c r="I240" s="107"/>
    </row>
    <row r="241" spans="1:10" ht="15.95" customHeight="1" x14ac:dyDescent="0.3">
      <c r="A241" s="91">
        <f t="shared" ref="A241:A263" si="11">A240+(G240*H240)</f>
        <v>20727</v>
      </c>
      <c r="B241" s="12" t="s">
        <v>786</v>
      </c>
      <c r="C241" s="139">
        <v>9</v>
      </c>
      <c r="D241" s="97"/>
      <c r="E241" s="97" t="s">
        <v>123</v>
      </c>
      <c r="F241" s="16">
        <v>3</v>
      </c>
      <c r="G241" s="16">
        <v>1</v>
      </c>
      <c r="H241" s="97">
        <v>1</v>
      </c>
      <c r="I241" s="107"/>
    </row>
    <row r="242" spans="1:10" ht="15.95" customHeight="1" x14ac:dyDescent="0.3">
      <c r="A242" s="91">
        <f t="shared" si="11"/>
        <v>20728</v>
      </c>
      <c r="B242" s="12" t="s">
        <v>787</v>
      </c>
      <c r="C242" s="139"/>
      <c r="D242" s="97"/>
      <c r="E242" s="97" t="s">
        <v>123</v>
      </c>
      <c r="F242" s="16">
        <v>3</v>
      </c>
      <c r="G242" s="16">
        <v>1</v>
      </c>
      <c r="H242" s="97">
        <v>1</v>
      </c>
      <c r="I242" s="107"/>
      <c r="J242" s="96" t="s">
        <v>125</v>
      </c>
    </row>
    <row r="243" spans="1:10" ht="15.95" customHeight="1" x14ac:dyDescent="0.3">
      <c r="A243" s="91">
        <f t="shared" si="11"/>
        <v>20729</v>
      </c>
      <c r="B243" s="12" t="s">
        <v>788</v>
      </c>
      <c r="C243" s="139"/>
      <c r="D243" s="97"/>
      <c r="E243" s="97" t="s">
        <v>123</v>
      </c>
      <c r="F243" s="16">
        <v>3</v>
      </c>
      <c r="G243" s="16">
        <v>1</v>
      </c>
      <c r="H243" s="97">
        <v>1</v>
      </c>
      <c r="I243" s="107"/>
    </row>
    <row r="244" spans="1:10" ht="15.95" customHeight="1" x14ac:dyDescent="0.3">
      <c r="A244" s="91">
        <f t="shared" si="11"/>
        <v>20730</v>
      </c>
      <c r="B244" s="9" t="s">
        <v>789</v>
      </c>
      <c r="C244" s="123"/>
      <c r="D244" s="91"/>
      <c r="E244" s="16" t="s">
        <v>123</v>
      </c>
      <c r="F244" s="16">
        <v>3</v>
      </c>
      <c r="G244" s="16">
        <v>1</v>
      </c>
      <c r="H244" s="91">
        <v>1</v>
      </c>
      <c r="I244" s="98"/>
    </row>
    <row r="245" spans="1:10" ht="15.95" customHeight="1" x14ac:dyDescent="0.3">
      <c r="A245" s="91">
        <f t="shared" si="11"/>
        <v>20731</v>
      </c>
      <c r="B245" s="9" t="s">
        <v>790</v>
      </c>
      <c r="C245" s="123"/>
      <c r="D245" s="91"/>
      <c r="E245" s="16" t="s">
        <v>123</v>
      </c>
      <c r="F245" s="16">
        <v>3</v>
      </c>
      <c r="G245" s="16">
        <v>1</v>
      </c>
      <c r="H245" s="91">
        <v>1</v>
      </c>
      <c r="I245" s="98"/>
      <c r="J245" s="96" t="s">
        <v>127</v>
      </c>
    </row>
    <row r="246" spans="1:10" ht="15.95" customHeight="1" x14ac:dyDescent="0.3">
      <c r="A246" s="91">
        <f t="shared" si="11"/>
        <v>20732</v>
      </c>
      <c r="B246" s="9" t="s">
        <v>791</v>
      </c>
      <c r="C246" s="123"/>
      <c r="D246" s="91"/>
      <c r="E246" s="16" t="s">
        <v>123</v>
      </c>
      <c r="F246" s="16">
        <v>3</v>
      </c>
      <c r="G246" s="16">
        <v>1</v>
      </c>
      <c r="H246" s="91">
        <v>1</v>
      </c>
      <c r="I246" s="98"/>
    </row>
    <row r="247" spans="1:10" ht="15.95" customHeight="1" x14ac:dyDescent="0.3">
      <c r="A247" s="91">
        <f t="shared" si="11"/>
        <v>20733</v>
      </c>
      <c r="B247" s="9" t="s">
        <v>792</v>
      </c>
      <c r="C247" s="123"/>
      <c r="D247" s="91"/>
      <c r="E247" s="16" t="s">
        <v>123</v>
      </c>
      <c r="F247" s="16">
        <v>3</v>
      </c>
      <c r="G247" s="16">
        <v>1</v>
      </c>
      <c r="H247" s="91">
        <v>1</v>
      </c>
      <c r="I247" s="98"/>
    </row>
    <row r="248" spans="1:10" ht="15.95" customHeight="1" x14ac:dyDescent="0.3">
      <c r="A248" s="91">
        <f t="shared" si="11"/>
        <v>20734</v>
      </c>
      <c r="B248" s="9" t="s">
        <v>793</v>
      </c>
      <c r="C248" s="123"/>
      <c r="D248" s="91"/>
      <c r="E248" s="16" t="s">
        <v>123</v>
      </c>
      <c r="F248" s="16">
        <v>3</v>
      </c>
      <c r="G248" s="16">
        <v>1</v>
      </c>
      <c r="H248" s="91">
        <v>1</v>
      </c>
      <c r="I248" s="98"/>
    </row>
    <row r="249" spans="1:10" ht="15.95" customHeight="1" x14ac:dyDescent="0.3">
      <c r="A249" s="91">
        <f t="shared" si="11"/>
        <v>20735</v>
      </c>
      <c r="B249" s="9" t="s">
        <v>794</v>
      </c>
      <c r="C249" s="123"/>
      <c r="D249" s="91"/>
      <c r="E249" s="16" t="s">
        <v>123</v>
      </c>
      <c r="F249" s="16">
        <v>3</v>
      </c>
      <c r="G249" s="16">
        <v>1</v>
      </c>
      <c r="H249" s="91">
        <v>1</v>
      </c>
      <c r="I249" s="98"/>
    </row>
    <row r="250" spans="1:10" ht="15.95" customHeight="1" x14ac:dyDescent="0.3">
      <c r="A250" s="91">
        <f t="shared" si="11"/>
        <v>20736</v>
      </c>
      <c r="B250" s="9" t="s">
        <v>795</v>
      </c>
      <c r="C250" s="123"/>
      <c r="D250" s="91"/>
      <c r="E250" s="16" t="s">
        <v>123</v>
      </c>
      <c r="F250" s="16">
        <v>3</v>
      </c>
      <c r="G250" s="16">
        <v>1</v>
      </c>
      <c r="H250" s="91">
        <v>1</v>
      </c>
      <c r="I250" s="98"/>
    </row>
    <row r="251" spans="1:10" ht="15.95" customHeight="1" x14ac:dyDescent="0.3">
      <c r="A251" s="91">
        <f t="shared" si="11"/>
        <v>20737</v>
      </c>
      <c r="B251" s="9" t="s">
        <v>796</v>
      </c>
      <c r="C251" s="123"/>
      <c r="D251" s="91"/>
      <c r="E251" s="16" t="s">
        <v>123</v>
      </c>
      <c r="F251" s="16">
        <v>3</v>
      </c>
      <c r="G251" s="16">
        <v>1</v>
      </c>
      <c r="H251" s="91">
        <v>1</v>
      </c>
      <c r="I251" s="98"/>
    </row>
    <row r="252" spans="1:10" ht="15.95" customHeight="1" x14ac:dyDescent="0.3">
      <c r="A252" s="91">
        <f t="shared" si="11"/>
        <v>20738</v>
      </c>
      <c r="B252" s="9" t="s">
        <v>797</v>
      </c>
      <c r="C252" s="123"/>
      <c r="D252" s="91"/>
      <c r="E252" s="16" t="s">
        <v>123</v>
      </c>
      <c r="F252" s="16">
        <v>3</v>
      </c>
      <c r="G252" s="16">
        <v>1</v>
      </c>
      <c r="H252" s="91">
        <v>1</v>
      </c>
      <c r="I252" s="98"/>
    </row>
    <row r="253" spans="1:10" ht="15.95" customHeight="1" x14ac:dyDescent="0.3">
      <c r="A253" s="91">
        <f t="shared" si="11"/>
        <v>20739</v>
      </c>
      <c r="B253" s="9" t="s">
        <v>798</v>
      </c>
      <c r="C253" s="123"/>
      <c r="D253" s="91"/>
      <c r="E253" s="16" t="s">
        <v>123</v>
      </c>
      <c r="F253" s="16">
        <v>3</v>
      </c>
      <c r="G253" s="16">
        <v>1</v>
      </c>
      <c r="H253" s="91">
        <v>1</v>
      </c>
      <c r="I253" s="98"/>
    </row>
    <row r="254" spans="1:10" ht="15.95" customHeight="1" x14ac:dyDescent="0.3">
      <c r="A254" s="91">
        <f t="shared" si="11"/>
        <v>20740</v>
      </c>
      <c r="B254" s="9" t="s">
        <v>799</v>
      </c>
      <c r="C254" s="123"/>
      <c r="D254" s="91"/>
      <c r="E254" s="16" t="s">
        <v>123</v>
      </c>
      <c r="F254" s="16">
        <v>3</v>
      </c>
      <c r="G254" s="16">
        <v>1</v>
      </c>
      <c r="H254" s="91">
        <v>1</v>
      </c>
      <c r="I254" s="98"/>
    </row>
    <row r="255" spans="1:10" ht="15.95" customHeight="1" x14ac:dyDescent="0.3">
      <c r="A255" s="91">
        <f t="shared" si="11"/>
        <v>20741</v>
      </c>
      <c r="B255" s="9" t="s">
        <v>800</v>
      </c>
      <c r="C255" s="123"/>
      <c r="D255" s="91"/>
      <c r="E255" s="16" t="s">
        <v>123</v>
      </c>
      <c r="F255" s="16">
        <v>3</v>
      </c>
      <c r="G255" s="16">
        <v>1</v>
      </c>
      <c r="H255" s="91">
        <v>1</v>
      </c>
      <c r="I255" s="98"/>
    </row>
    <row r="256" spans="1:10" ht="15.95" customHeight="1" x14ac:dyDescent="0.3">
      <c r="A256" s="91">
        <f t="shared" si="11"/>
        <v>20742</v>
      </c>
      <c r="B256" s="9" t="s">
        <v>801</v>
      </c>
      <c r="C256" s="123"/>
      <c r="D256" s="91"/>
      <c r="E256" s="16" t="s">
        <v>123</v>
      </c>
      <c r="F256" s="16">
        <v>3</v>
      </c>
      <c r="G256" s="16">
        <v>1</v>
      </c>
      <c r="H256" s="91">
        <v>1</v>
      </c>
      <c r="I256" s="98"/>
    </row>
    <row r="257" spans="1:9" ht="15.95" customHeight="1" x14ac:dyDescent="0.3">
      <c r="A257" s="91">
        <f t="shared" si="11"/>
        <v>20743</v>
      </c>
      <c r="B257" s="9" t="s">
        <v>802</v>
      </c>
      <c r="C257" s="123"/>
      <c r="D257" s="91"/>
      <c r="E257" s="16" t="s">
        <v>123</v>
      </c>
      <c r="F257" s="16">
        <v>3</v>
      </c>
      <c r="G257" s="16">
        <v>1</v>
      </c>
      <c r="H257" s="91">
        <v>1</v>
      </c>
      <c r="I257" s="98"/>
    </row>
    <row r="258" spans="1:9" ht="15.95" customHeight="1" x14ac:dyDescent="0.3">
      <c r="A258" s="91">
        <f t="shared" si="11"/>
        <v>20744</v>
      </c>
      <c r="B258" s="9" t="s">
        <v>803</v>
      </c>
      <c r="C258" s="123"/>
      <c r="D258" s="91"/>
      <c r="E258" s="16" t="s">
        <v>123</v>
      </c>
      <c r="F258" s="16">
        <v>3</v>
      </c>
      <c r="G258" s="16">
        <v>1</v>
      </c>
      <c r="H258" s="91">
        <v>1</v>
      </c>
      <c r="I258" s="98"/>
    </row>
    <row r="259" spans="1:9" ht="15.95" customHeight="1" x14ac:dyDescent="0.3">
      <c r="A259" s="91">
        <f t="shared" si="11"/>
        <v>20745</v>
      </c>
      <c r="B259" s="9" t="s">
        <v>804</v>
      </c>
      <c r="C259" s="123"/>
      <c r="D259" s="91"/>
      <c r="E259" s="16" t="s">
        <v>123</v>
      </c>
      <c r="F259" s="16">
        <v>3</v>
      </c>
      <c r="G259" s="16">
        <v>1</v>
      </c>
      <c r="H259" s="91">
        <v>1</v>
      </c>
      <c r="I259" s="98"/>
    </row>
    <row r="260" spans="1:9" ht="15.95" customHeight="1" x14ac:dyDescent="0.3">
      <c r="A260" s="91">
        <f t="shared" si="11"/>
        <v>20746</v>
      </c>
      <c r="B260" s="12" t="s">
        <v>805</v>
      </c>
      <c r="C260" s="123"/>
      <c r="D260" s="91"/>
      <c r="E260" s="97" t="s">
        <v>123</v>
      </c>
      <c r="F260" s="16">
        <v>3</v>
      </c>
      <c r="G260" s="16">
        <v>1</v>
      </c>
      <c r="H260" s="97">
        <v>1</v>
      </c>
      <c r="I260" s="107"/>
    </row>
    <row r="261" spans="1:9" ht="15.95" customHeight="1" x14ac:dyDescent="0.3">
      <c r="A261" s="91">
        <f t="shared" si="11"/>
        <v>20747</v>
      </c>
      <c r="B261" s="12" t="s">
        <v>806</v>
      </c>
      <c r="C261" s="123"/>
      <c r="D261" s="91"/>
      <c r="E261" s="97" t="s">
        <v>123</v>
      </c>
      <c r="F261" s="16">
        <v>3</v>
      </c>
      <c r="G261" s="16">
        <v>1</v>
      </c>
      <c r="H261" s="97">
        <v>1</v>
      </c>
      <c r="I261" s="107"/>
    </row>
    <row r="262" spans="1:9" ht="15.95" customHeight="1" x14ac:dyDescent="0.3">
      <c r="A262" s="91">
        <f t="shared" si="11"/>
        <v>20748</v>
      </c>
      <c r="B262" s="12" t="s">
        <v>807</v>
      </c>
      <c r="C262" s="123"/>
      <c r="D262" s="91"/>
      <c r="E262" s="97" t="s">
        <v>123</v>
      </c>
      <c r="F262" s="16">
        <v>3</v>
      </c>
      <c r="G262" s="16">
        <v>1</v>
      </c>
      <c r="H262" s="97">
        <v>1</v>
      </c>
      <c r="I262" s="107"/>
    </row>
    <row r="263" spans="1:9" ht="15.95" customHeight="1" x14ac:dyDescent="0.3">
      <c r="A263" s="91">
        <f t="shared" si="11"/>
        <v>20749</v>
      </c>
      <c r="B263" s="12" t="s">
        <v>808</v>
      </c>
      <c r="C263" s="123"/>
      <c r="D263" s="91"/>
      <c r="E263" s="97" t="s">
        <v>123</v>
      </c>
      <c r="F263" s="16">
        <v>3</v>
      </c>
      <c r="G263" s="16">
        <v>1</v>
      </c>
      <c r="H263" s="97">
        <v>1</v>
      </c>
      <c r="I263" s="107"/>
    </row>
    <row r="264" spans="1:9" ht="15.95" customHeight="1" x14ac:dyDescent="0.3">
      <c r="A264" s="122" t="s">
        <v>143</v>
      </c>
      <c r="B264" s="122"/>
      <c r="C264" s="122"/>
      <c r="D264" s="122"/>
      <c r="E264" s="122"/>
      <c r="F264" s="122"/>
      <c r="G264" s="122"/>
      <c r="H264" s="122"/>
      <c r="I264" s="104"/>
    </row>
    <row r="265" spans="1:9" ht="15.95" customHeight="1" x14ac:dyDescent="0.3">
      <c r="A265" s="91">
        <f>A263+G263*H263</f>
        <v>20750</v>
      </c>
      <c r="B265" s="9" t="s">
        <v>762</v>
      </c>
      <c r="C265" s="91"/>
      <c r="D265" s="91"/>
      <c r="E265" s="16" t="s">
        <v>91</v>
      </c>
      <c r="F265" s="16">
        <v>3</v>
      </c>
      <c r="G265" s="16">
        <f t="shared" ref="G265:G312" si="12">IF(OR(E265="U16", E265="S16"),1,IF(E265="TS",6,2))</f>
        <v>2</v>
      </c>
      <c r="H265" s="91">
        <v>1</v>
      </c>
      <c r="I265" s="98"/>
    </row>
    <row r="266" spans="1:9" ht="15.95" customHeight="1" x14ac:dyDescent="0.3">
      <c r="A266" s="91">
        <f t="shared" ref="A266:A312" si="13">A265+(G265*H265)</f>
        <v>20752</v>
      </c>
      <c r="B266" s="9" t="s">
        <v>763</v>
      </c>
      <c r="C266" s="91"/>
      <c r="D266" s="91"/>
      <c r="E266" s="16" t="s">
        <v>91</v>
      </c>
      <c r="F266" s="16">
        <v>3</v>
      </c>
      <c r="G266" s="16">
        <f t="shared" si="12"/>
        <v>2</v>
      </c>
      <c r="H266" s="91">
        <v>1</v>
      </c>
      <c r="I266" s="98"/>
    </row>
    <row r="267" spans="1:9" ht="15.95" customHeight="1" x14ac:dyDescent="0.3">
      <c r="A267" s="91">
        <f t="shared" si="13"/>
        <v>20754</v>
      </c>
      <c r="B267" s="9" t="s">
        <v>809</v>
      </c>
      <c r="C267" s="91"/>
      <c r="D267" s="91"/>
      <c r="E267" s="16" t="s">
        <v>123</v>
      </c>
      <c r="F267" s="16">
        <v>3</v>
      </c>
      <c r="G267" s="16">
        <f t="shared" si="12"/>
        <v>1</v>
      </c>
      <c r="H267" s="91">
        <v>1</v>
      </c>
      <c r="I267" s="98"/>
    </row>
    <row r="268" spans="1:9" ht="15.95" customHeight="1" x14ac:dyDescent="0.3">
      <c r="A268" s="91">
        <f t="shared" si="13"/>
        <v>20755</v>
      </c>
      <c r="B268" s="9" t="s">
        <v>810</v>
      </c>
      <c r="C268" s="91"/>
      <c r="D268" s="91"/>
      <c r="E268" s="16" t="s">
        <v>123</v>
      </c>
      <c r="F268" s="16">
        <v>3</v>
      </c>
      <c r="G268" s="16">
        <f t="shared" si="12"/>
        <v>1</v>
      </c>
      <c r="H268" s="91">
        <v>1</v>
      </c>
      <c r="I268" s="98"/>
    </row>
    <row r="269" spans="1:9" ht="15.95" customHeight="1" x14ac:dyDescent="0.3">
      <c r="A269" s="91">
        <f t="shared" si="13"/>
        <v>20756</v>
      </c>
      <c r="B269" s="9" t="s">
        <v>765</v>
      </c>
      <c r="C269" s="91">
        <v>0</v>
      </c>
      <c r="D269" s="91"/>
      <c r="E269" s="16" t="s">
        <v>123</v>
      </c>
      <c r="F269" s="16">
        <v>3</v>
      </c>
      <c r="G269" s="16">
        <f t="shared" si="12"/>
        <v>1</v>
      </c>
      <c r="H269" s="91">
        <v>1</v>
      </c>
      <c r="I269" s="98"/>
    </row>
    <row r="270" spans="1:9" ht="15.95" customHeight="1" x14ac:dyDescent="0.3">
      <c r="A270" s="91">
        <f t="shared" si="13"/>
        <v>20757</v>
      </c>
      <c r="B270" s="9" t="s">
        <v>766</v>
      </c>
      <c r="C270" s="91">
        <v>1</v>
      </c>
      <c r="D270" s="91"/>
      <c r="E270" s="16" t="s">
        <v>123</v>
      </c>
      <c r="F270" s="16">
        <v>3</v>
      </c>
      <c r="G270" s="16">
        <f t="shared" si="12"/>
        <v>1</v>
      </c>
      <c r="H270" s="91">
        <v>1</v>
      </c>
      <c r="I270" s="98"/>
    </row>
    <row r="271" spans="1:9" ht="15.95" customHeight="1" x14ac:dyDescent="0.3">
      <c r="A271" s="91">
        <f t="shared" si="13"/>
        <v>20758</v>
      </c>
      <c r="B271" s="9" t="s">
        <v>767</v>
      </c>
      <c r="C271" s="123">
        <v>2</v>
      </c>
      <c r="D271" s="91"/>
      <c r="E271" s="16" t="s">
        <v>123</v>
      </c>
      <c r="F271" s="16">
        <v>3</v>
      </c>
      <c r="G271" s="16">
        <f t="shared" si="12"/>
        <v>1</v>
      </c>
      <c r="H271" s="91">
        <v>1</v>
      </c>
      <c r="I271" s="98"/>
    </row>
    <row r="272" spans="1:9" ht="15.95" customHeight="1" x14ac:dyDescent="0.3">
      <c r="A272" s="91">
        <f t="shared" si="13"/>
        <v>20759</v>
      </c>
      <c r="B272" s="9" t="s">
        <v>768</v>
      </c>
      <c r="C272" s="123"/>
      <c r="D272" s="91"/>
      <c r="E272" s="16" t="s">
        <v>123</v>
      </c>
      <c r="F272" s="16">
        <v>3</v>
      </c>
      <c r="G272" s="16">
        <f t="shared" si="12"/>
        <v>1</v>
      </c>
      <c r="H272" s="91">
        <v>1</v>
      </c>
      <c r="I272" s="98"/>
    </row>
    <row r="273" spans="1:9" ht="15.95" customHeight="1" x14ac:dyDescent="0.3">
      <c r="A273" s="91">
        <f t="shared" si="13"/>
        <v>20760</v>
      </c>
      <c r="B273" s="9" t="s">
        <v>769</v>
      </c>
      <c r="C273" s="123"/>
      <c r="D273" s="91"/>
      <c r="E273" s="16" t="s">
        <v>123</v>
      </c>
      <c r="F273" s="16">
        <v>3</v>
      </c>
      <c r="G273" s="16">
        <f t="shared" si="12"/>
        <v>1</v>
      </c>
      <c r="H273" s="91">
        <v>1</v>
      </c>
      <c r="I273" s="98"/>
    </row>
    <row r="274" spans="1:9" ht="15.95" customHeight="1" x14ac:dyDescent="0.3">
      <c r="A274" s="91">
        <f t="shared" si="13"/>
        <v>20761</v>
      </c>
      <c r="B274" s="9" t="s">
        <v>770</v>
      </c>
      <c r="C274" s="123">
        <v>3</v>
      </c>
      <c r="D274" s="91"/>
      <c r="E274" s="16" t="s">
        <v>123</v>
      </c>
      <c r="F274" s="16">
        <v>3</v>
      </c>
      <c r="G274" s="16">
        <f t="shared" si="12"/>
        <v>1</v>
      </c>
      <c r="H274" s="91">
        <v>1</v>
      </c>
      <c r="I274" s="98"/>
    </row>
    <row r="275" spans="1:9" ht="15.95" customHeight="1" x14ac:dyDescent="0.3">
      <c r="A275" s="91">
        <f t="shared" si="13"/>
        <v>20762</v>
      </c>
      <c r="B275" s="9" t="s">
        <v>771</v>
      </c>
      <c r="C275" s="123"/>
      <c r="D275" s="91"/>
      <c r="E275" s="16" t="s">
        <v>123</v>
      </c>
      <c r="F275" s="16">
        <v>3</v>
      </c>
      <c r="G275" s="16">
        <f t="shared" si="12"/>
        <v>1</v>
      </c>
      <c r="H275" s="91">
        <v>1</v>
      </c>
      <c r="I275" s="98"/>
    </row>
    <row r="276" spans="1:9" ht="15.95" customHeight="1" x14ac:dyDescent="0.3">
      <c r="A276" s="91">
        <f t="shared" si="13"/>
        <v>20763</v>
      </c>
      <c r="B276" s="9" t="s">
        <v>772</v>
      </c>
      <c r="C276" s="123"/>
      <c r="D276" s="91"/>
      <c r="E276" s="16" t="s">
        <v>123</v>
      </c>
      <c r="F276" s="16">
        <v>3</v>
      </c>
      <c r="G276" s="16">
        <f t="shared" si="12"/>
        <v>1</v>
      </c>
      <c r="H276" s="91">
        <v>1</v>
      </c>
      <c r="I276" s="98"/>
    </row>
    <row r="277" spans="1:9" ht="15.95" customHeight="1" x14ac:dyDescent="0.3">
      <c r="A277" s="91">
        <f t="shared" si="13"/>
        <v>20764</v>
      </c>
      <c r="B277" s="9" t="s">
        <v>773</v>
      </c>
      <c r="C277" s="91">
        <v>4</v>
      </c>
      <c r="D277" s="91"/>
      <c r="E277" s="16" t="s">
        <v>123</v>
      </c>
      <c r="F277" s="16">
        <v>3</v>
      </c>
      <c r="G277" s="16">
        <f t="shared" si="12"/>
        <v>1</v>
      </c>
      <c r="H277" s="91">
        <v>1</v>
      </c>
      <c r="I277" s="98"/>
    </row>
    <row r="278" spans="1:9" ht="15.95" customHeight="1" x14ac:dyDescent="0.3">
      <c r="A278" s="91">
        <f t="shared" si="13"/>
        <v>20765</v>
      </c>
      <c r="B278" s="9" t="s">
        <v>774</v>
      </c>
      <c r="C278" s="123">
        <v>5</v>
      </c>
      <c r="D278" s="91"/>
      <c r="E278" s="16" t="s">
        <v>123</v>
      </c>
      <c r="F278" s="16">
        <v>3</v>
      </c>
      <c r="G278" s="16">
        <f t="shared" si="12"/>
        <v>1</v>
      </c>
      <c r="H278" s="91">
        <v>1</v>
      </c>
      <c r="I278" s="98"/>
    </row>
    <row r="279" spans="1:9" ht="15.95" customHeight="1" x14ac:dyDescent="0.3">
      <c r="A279" s="91">
        <f t="shared" si="13"/>
        <v>20766</v>
      </c>
      <c r="B279" s="9" t="s">
        <v>775</v>
      </c>
      <c r="C279" s="123"/>
      <c r="D279" s="91"/>
      <c r="E279" s="16" t="s">
        <v>123</v>
      </c>
      <c r="F279" s="16">
        <v>3</v>
      </c>
      <c r="G279" s="16">
        <f t="shared" si="12"/>
        <v>1</v>
      </c>
      <c r="H279" s="91">
        <v>1</v>
      </c>
      <c r="I279" s="98"/>
    </row>
    <row r="280" spans="1:9" ht="15.95" customHeight="1" x14ac:dyDescent="0.3">
      <c r="A280" s="91">
        <f t="shared" si="13"/>
        <v>20767</v>
      </c>
      <c r="B280" s="9" t="s">
        <v>776</v>
      </c>
      <c r="C280" s="123"/>
      <c r="D280" s="91"/>
      <c r="E280" s="16" t="s">
        <v>123</v>
      </c>
      <c r="F280" s="16">
        <v>3</v>
      </c>
      <c r="G280" s="16">
        <f t="shared" si="12"/>
        <v>1</v>
      </c>
      <c r="H280" s="91">
        <v>1</v>
      </c>
      <c r="I280" s="98"/>
    </row>
    <row r="281" spans="1:9" ht="15.95" customHeight="1" x14ac:dyDescent="0.3">
      <c r="A281" s="91">
        <f t="shared" si="13"/>
        <v>20768</v>
      </c>
      <c r="B281" s="9" t="s">
        <v>777</v>
      </c>
      <c r="C281" s="123">
        <v>6</v>
      </c>
      <c r="D281" s="91"/>
      <c r="E281" s="16" t="s">
        <v>123</v>
      </c>
      <c r="F281" s="16">
        <v>3</v>
      </c>
      <c r="G281" s="16">
        <f t="shared" si="12"/>
        <v>1</v>
      </c>
      <c r="H281" s="91">
        <v>1</v>
      </c>
      <c r="I281" s="98"/>
    </row>
    <row r="282" spans="1:9" ht="15.95" customHeight="1" x14ac:dyDescent="0.3">
      <c r="A282" s="91">
        <f t="shared" si="13"/>
        <v>20769</v>
      </c>
      <c r="B282" s="9" t="s">
        <v>778</v>
      </c>
      <c r="C282" s="123"/>
      <c r="D282" s="91"/>
      <c r="E282" s="16" t="s">
        <v>123</v>
      </c>
      <c r="F282" s="16">
        <v>3</v>
      </c>
      <c r="G282" s="16">
        <f t="shared" si="12"/>
        <v>1</v>
      </c>
      <c r="H282" s="91">
        <v>1</v>
      </c>
      <c r="I282" s="98"/>
    </row>
    <row r="283" spans="1:9" ht="15.95" customHeight="1" x14ac:dyDescent="0.3">
      <c r="A283" s="91">
        <f t="shared" si="13"/>
        <v>20770</v>
      </c>
      <c r="B283" s="9" t="s">
        <v>779</v>
      </c>
      <c r="C283" s="123"/>
      <c r="D283" s="91"/>
      <c r="E283" s="16" t="s">
        <v>123</v>
      </c>
      <c r="F283" s="16">
        <v>3</v>
      </c>
      <c r="G283" s="16">
        <f t="shared" si="12"/>
        <v>1</v>
      </c>
      <c r="H283" s="91">
        <v>1</v>
      </c>
      <c r="I283" s="98"/>
    </row>
    <row r="284" spans="1:9" ht="15.95" customHeight="1" x14ac:dyDescent="0.3">
      <c r="A284" s="91">
        <f t="shared" si="13"/>
        <v>20771</v>
      </c>
      <c r="B284" s="12" t="s">
        <v>780</v>
      </c>
      <c r="C284" s="139">
        <v>7</v>
      </c>
      <c r="D284" s="97"/>
      <c r="E284" s="97" t="s">
        <v>123</v>
      </c>
      <c r="F284" s="16">
        <v>3</v>
      </c>
      <c r="G284" s="97">
        <f t="shared" si="12"/>
        <v>1</v>
      </c>
      <c r="H284" s="97">
        <v>1</v>
      </c>
      <c r="I284" s="107"/>
    </row>
    <row r="285" spans="1:9" ht="15.95" customHeight="1" x14ac:dyDescent="0.3">
      <c r="A285" s="91">
        <f t="shared" si="13"/>
        <v>20772</v>
      </c>
      <c r="B285" s="12" t="s">
        <v>781</v>
      </c>
      <c r="C285" s="139"/>
      <c r="D285" s="97"/>
      <c r="E285" s="97" t="s">
        <v>123</v>
      </c>
      <c r="F285" s="16">
        <v>3</v>
      </c>
      <c r="G285" s="97">
        <f t="shared" si="12"/>
        <v>1</v>
      </c>
      <c r="H285" s="97">
        <v>1</v>
      </c>
      <c r="I285" s="107"/>
    </row>
    <row r="286" spans="1:9" ht="15.95" customHeight="1" x14ac:dyDescent="0.3">
      <c r="A286" s="91">
        <f t="shared" si="13"/>
        <v>20773</v>
      </c>
      <c r="B286" s="12" t="s">
        <v>782</v>
      </c>
      <c r="C286" s="139"/>
      <c r="D286" s="97"/>
      <c r="E286" s="97" t="s">
        <v>123</v>
      </c>
      <c r="F286" s="16">
        <v>3</v>
      </c>
      <c r="G286" s="97">
        <f t="shared" si="12"/>
        <v>1</v>
      </c>
      <c r="H286" s="97">
        <v>1</v>
      </c>
      <c r="I286" s="107"/>
    </row>
    <row r="287" spans="1:9" ht="15.95" customHeight="1" x14ac:dyDescent="0.3">
      <c r="A287" s="91">
        <f t="shared" si="13"/>
        <v>20774</v>
      </c>
      <c r="B287" s="12" t="s">
        <v>783</v>
      </c>
      <c r="C287" s="139">
        <v>8</v>
      </c>
      <c r="D287" s="97"/>
      <c r="E287" s="97" t="s">
        <v>123</v>
      </c>
      <c r="F287" s="16">
        <v>3</v>
      </c>
      <c r="G287" s="97">
        <f t="shared" si="12"/>
        <v>1</v>
      </c>
      <c r="H287" s="97">
        <v>1</v>
      </c>
      <c r="I287" s="107"/>
    </row>
    <row r="288" spans="1:9" ht="15.95" customHeight="1" x14ac:dyDescent="0.3">
      <c r="A288" s="91">
        <f t="shared" si="13"/>
        <v>20775</v>
      </c>
      <c r="B288" s="12" t="s">
        <v>784</v>
      </c>
      <c r="C288" s="139"/>
      <c r="D288" s="97"/>
      <c r="E288" s="97" t="s">
        <v>123</v>
      </c>
      <c r="F288" s="16">
        <v>3</v>
      </c>
      <c r="G288" s="97">
        <f t="shared" si="12"/>
        <v>1</v>
      </c>
      <c r="H288" s="97">
        <v>1</v>
      </c>
      <c r="I288" s="107"/>
    </row>
    <row r="289" spans="1:9" ht="15.95" customHeight="1" x14ac:dyDescent="0.3">
      <c r="A289" s="91">
        <f t="shared" si="13"/>
        <v>20776</v>
      </c>
      <c r="B289" s="12" t="s">
        <v>785</v>
      </c>
      <c r="C289" s="139"/>
      <c r="D289" s="97"/>
      <c r="E289" s="97" t="s">
        <v>123</v>
      </c>
      <c r="F289" s="16">
        <v>3</v>
      </c>
      <c r="G289" s="97">
        <f t="shared" si="12"/>
        <v>1</v>
      </c>
      <c r="H289" s="97">
        <v>1</v>
      </c>
      <c r="I289" s="107"/>
    </row>
    <row r="290" spans="1:9" ht="15.95" customHeight="1" x14ac:dyDescent="0.3">
      <c r="A290" s="91">
        <f t="shared" si="13"/>
        <v>20777</v>
      </c>
      <c r="B290" s="12" t="s">
        <v>786</v>
      </c>
      <c r="C290" s="139">
        <v>9</v>
      </c>
      <c r="D290" s="97"/>
      <c r="E290" s="97" t="s">
        <v>123</v>
      </c>
      <c r="F290" s="16">
        <v>3</v>
      </c>
      <c r="G290" s="97">
        <f t="shared" si="12"/>
        <v>1</v>
      </c>
      <c r="H290" s="97">
        <v>1</v>
      </c>
      <c r="I290" s="107"/>
    </row>
    <row r="291" spans="1:9" ht="15.95" customHeight="1" x14ac:dyDescent="0.3">
      <c r="A291" s="91">
        <f t="shared" si="13"/>
        <v>20778</v>
      </c>
      <c r="B291" s="12" t="s">
        <v>787</v>
      </c>
      <c r="C291" s="139"/>
      <c r="D291" s="97"/>
      <c r="E291" s="97" t="s">
        <v>123</v>
      </c>
      <c r="F291" s="16">
        <v>3</v>
      </c>
      <c r="G291" s="97">
        <f t="shared" si="12"/>
        <v>1</v>
      </c>
      <c r="H291" s="97">
        <v>1</v>
      </c>
      <c r="I291" s="107"/>
    </row>
    <row r="292" spans="1:9" ht="15.95" customHeight="1" x14ac:dyDescent="0.3">
      <c r="A292" s="91">
        <f t="shared" si="13"/>
        <v>20779</v>
      </c>
      <c r="B292" s="12" t="s">
        <v>788</v>
      </c>
      <c r="C292" s="139"/>
      <c r="D292" s="97"/>
      <c r="E292" s="97" t="s">
        <v>123</v>
      </c>
      <c r="F292" s="16">
        <v>3</v>
      </c>
      <c r="G292" s="97">
        <f t="shared" si="12"/>
        <v>1</v>
      </c>
      <c r="H292" s="97">
        <v>1</v>
      </c>
      <c r="I292" s="107"/>
    </row>
    <row r="293" spans="1:9" ht="15.95" customHeight="1" x14ac:dyDescent="0.3">
      <c r="A293" s="91">
        <f t="shared" si="13"/>
        <v>20780</v>
      </c>
      <c r="B293" s="9" t="s">
        <v>789</v>
      </c>
      <c r="C293" s="123"/>
      <c r="D293" s="91"/>
      <c r="E293" s="16" t="s">
        <v>123</v>
      </c>
      <c r="F293" s="16">
        <v>3</v>
      </c>
      <c r="G293" s="16">
        <f t="shared" si="12"/>
        <v>1</v>
      </c>
      <c r="H293" s="91">
        <v>1</v>
      </c>
      <c r="I293" s="98"/>
    </row>
    <row r="294" spans="1:9" ht="15.95" customHeight="1" x14ac:dyDescent="0.3">
      <c r="A294" s="91">
        <f t="shared" si="13"/>
        <v>20781</v>
      </c>
      <c r="B294" s="9" t="s">
        <v>790</v>
      </c>
      <c r="C294" s="123"/>
      <c r="D294" s="91"/>
      <c r="E294" s="16" t="s">
        <v>123</v>
      </c>
      <c r="F294" s="16">
        <v>3</v>
      </c>
      <c r="G294" s="16">
        <f t="shared" si="12"/>
        <v>1</v>
      </c>
      <c r="H294" s="91">
        <v>1</v>
      </c>
      <c r="I294" s="98"/>
    </row>
    <row r="295" spans="1:9" ht="15.95" customHeight="1" x14ac:dyDescent="0.3">
      <c r="A295" s="91">
        <f t="shared" si="13"/>
        <v>20782</v>
      </c>
      <c r="B295" s="9" t="s">
        <v>791</v>
      </c>
      <c r="C295" s="123"/>
      <c r="D295" s="91"/>
      <c r="E295" s="16" t="s">
        <v>123</v>
      </c>
      <c r="F295" s="16">
        <v>3</v>
      </c>
      <c r="G295" s="16">
        <f t="shared" si="12"/>
        <v>1</v>
      </c>
      <c r="H295" s="91">
        <v>1</v>
      </c>
      <c r="I295" s="98"/>
    </row>
    <row r="296" spans="1:9" ht="15.95" customHeight="1" x14ac:dyDescent="0.3">
      <c r="A296" s="91">
        <f t="shared" si="13"/>
        <v>20783</v>
      </c>
      <c r="B296" s="9" t="s">
        <v>792</v>
      </c>
      <c r="C296" s="123"/>
      <c r="D296" s="91"/>
      <c r="E296" s="16" t="s">
        <v>123</v>
      </c>
      <c r="F296" s="16">
        <v>3</v>
      </c>
      <c r="G296" s="16">
        <f t="shared" si="12"/>
        <v>1</v>
      </c>
      <c r="H296" s="91">
        <v>1</v>
      </c>
      <c r="I296" s="98"/>
    </row>
    <row r="297" spans="1:9" ht="15.95" customHeight="1" x14ac:dyDescent="0.3">
      <c r="A297" s="91">
        <f t="shared" si="13"/>
        <v>20784</v>
      </c>
      <c r="B297" s="9" t="s">
        <v>793</v>
      </c>
      <c r="C297" s="123"/>
      <c r="D297" s="91"/>
      <c r="E297" s="16" t="s">
        <v>123</v>
      </c>
      <c r="F297" s="16">
        <v>3</v>
      </c>
      <c r="G297" s="16">
        <f t="shared" si="12"/>
        <v>1</v>
      </c>
      <c r="H297" s="91">
        <v>1</v>
      </c>
      <c r="I297" s="98"/>
    </row>
    <row r="298" spans="1:9" ht="15.95" customHeight="1" x14ac:dyDescent="0.3">
      <c r="A298" s="91">
        <f t="shared" si="13"/>
        <v>20785</v>
      </c>
      <c r="B298" s="9" t="s">
        <v>794</v>
      </c>
      <c r="C298" s="123"/>
      <c r="D298" s="91"/>
      <c r="E298" s="16" t="s">
        <v>123</v>
      </c>
      <c r="F298" s="16">
        <v>3</v>
      </c>
      <c r="G298" s="16">
        <f t="shared" si="12"/>
        <v>1</v>
      </c>
      <c r="H298" s="91">
        <v>1</v>
      </c>
      <c r="I298" s="98"/>
    </row>
    <row r="299" spans="1:9" ht="15.95" customHeight="1" x14ac:dyDescent="0.3">
      <c r="A299" s="91">
        <f t="shared" si="13"/>
        <v>20786</v>
      </c>
      <c r="B299" s="9" t="s">
        <v>795</v>
      </c>
      <c r="C299" s="123"/>
      <c r="D299" s="91"/>
      <c r="E299" s="16" t="s">
        <v>123</v>
      </c>
      <c r="F299" s="16">
        <v>3</v>
      </c>
      <c r="G299" s="16">
        <f t="shared" si="12"/>
        <v>1</v>
      </c>
      <c r="H299" s="91">
        <v>1</v>
      </c>
      <c r="I299" s="98"/>
    </row>
    <row r="300" spans="1:9" ht="15.95" customHeight="1" x14ac:dyDescent="0.3">
      <c r="A300" s="91">
        <f t="shared" si="13"/>
        <v>20787</v>
      </c>
      <c r="B300" s="9" t="s">
        <v>796</v>
      </c>
      <c r="C300" s="123"/>
      <c r="D300" s="91"/>
      <c r="E300" s="16" t="s">
        <v>123</v>
      </c>
      <c r="F300" s="16">
        <v>3</v>
      </c>
      <c r="G300" s="16">
        <f t="shared" si="12"/>
        <v>1</v>
      </c>
      <c r="H300" s="91">
        <v>1</v>
      </c>
      <c r="I300" s="98"/>
    </row>
    <row r="301" spans="1:9" ht="15.95" customHeight="1" x14ac:dyDescent="0.3">
      <c r="A301" s="91">
        <f t="shared" si="13"/>
        <v>20788</v>
      </c>
      <c r="B301" s="9" t="s">
        <v>797</v>
      </c>
      <c r="C301" s="123"/>
      <c r="D301" s="91"/>
      <c r="E301" s="16" t="s">
        <v>123</v>
      </c>
      <c r="F301" s="16">
        <v>3</v>
      </c>
      <c r="G301" s="16">
        <f t="shared" si="12"/>
        <v>1</v>
      </c>
      <c r="H301" s="91">
        <v>1</v>
      </c>
      <c r="I301" s="98"/>
    </row>
    <row r="302" spans="1:9" ht="15.95" customHeight="1" x14ac:dyDescent="0.3">
      <c r="A302" s="91">
        <f t="shared" si="13"/>
        <v>20789</v>
      </c>
      <c r="B302" s="9" t="s">
        <v>798</v>
      </c>
      <c r="C302" s="123"/>
      <c r="D302" s="91"/>
      <c r="E302" s="16" t="s">
        <v>123</v>
      </c>
      <c r="F302" s="16">
        <v>3</v>
      </c>
      <c r="G302" s="16">
        <f t="shared" si="12"/>
        <v>1</v>
      </c>
      <c r="H302" s="91">
        <v>1</v>
      </c>
      <c r="I302" s="98"/>
    </row>
    <row r="303" spans="1:9" ht="15.95" customHeight="1" x14ac:dyDescent="0.3">
      <c r="A303" s="91">
        <f t="shared" si="13"/>
        <v>20790</v>
      </c>
      <c r="B303" s="9" t="s">
        <v>799</v>
      </c>
      <c r="C303" s="123"/>
      <c r="D303" s="91"/>
      <c r="E303" s="16" t="s">
        <v>123</v>
      </c>
      <c r="F303" s="16">
        <v>3</v>
      </c>
      <c r="G303" s="16">
        <f t="shared" si="12"/>
        <v>1</v>
      </c>
      <c r="H303" s="91">
        <v>1</v>
      </c>
      <c r="I303" s="98"/>
    </row>
    <row r="304" spans="1:9" ht="15.95" customHeight="1" x14ac:dyDescent="0.3">
      <c r="A304" s="91">
        <f t="shared" si="13"/>
        <v>20791</v>
      </c>
      <c r="B304" s="9" t="s">
        <v>800</v>
      </c>
      <c r="C304" s="123"/>
      <c r="D304" s="91"/>
      <c r="E304" s="16" t="s">
        <v>123</v>
      </c>
      <c r="F304" s="16">
        <v>3</v>
      </c>
      <c r="G304" s="16">
        <f t="shared" si="12"/>
        <v>1</v>
      </c>
      <c r="H304" s="91">
        <v>1</v>
      </c>
      <c r="I304" s="98"/>
    </row>
    <row r="305" spans="1:9" ht="15.95" customHeight="1" x14ac:dyDescent="0.3">
      <c r="A305" s="91">
        <f t="shared" si="13"/>
        <v>20792</v>
      </c>
      <c r="B305" s="9" t="s">
        <v>801</v>
      </c>
      <c r="C305" s="123"/>
      <c r="D305" s="91"/>
      <c r="E305" s="16" t="s">
        <v>123</v>
      </c>
      <c r="F305" s="16">
        <v>3</v>
      </c>
      <c r="G305" s="16">
        <f t="shared" si="12"/>
        <v>1</v>
      </c>
      <c r="H305" s="91">
        <v>1</v>
      </c>
      <c r="I305" s="98"/>
    </row>
    <row r="306" spans="1:9" ht="15.95" customHeight="1" x14ac:dyDescent="0.3">
      <c r="A306" s="91">
        <f t="shared" si="13"/>
        <v>20793</v>
      </c>
      <c r="B306" s="9" t="s">
        <v>802</v>
      </c>
      <c r="C306" s="123"/>
      <c r="D306" s="91"/>
      <c r="E306" s="16" t="s">
        <v>123</v>
      </c>
      <c r="F306" s="16">
        <v>3</v>
      </c>
      <c r="G306" s="16">
        <f t="shared" si="12"/>
        <v>1</v>
      </c>
      <c r="H306" s="91">
        <v>1</v>
      </c>
      <c r="I306" s="98"/>
    </row>
    <row r="307" spans="1:9" ht="15.95" customHeight="1" x14ac:dyDescent="0.3">
      <c r="A307" s="91">
        <f t="shared" si="13"/>
        <v>20794</v>
      </c>
      <c r="B307" s="9" t="s">
        <v>803</v>
      </c>
      <c r="C307" s="123"/>
      <c r="D307" s="91"/>
      <c r="E307" s="16" t="s">
        <v>123</v>
      </c>
      <c r="F307" s="16">
        <v>3</v>
      </c>
      <c r="G307" s="16">
        <f t="shared" si="12"/>
        <v>1</v>
      </c>
      <c r="H307" s="91">
        <v>1</v>
      </c>
      <c r="I307" s="98"/>
    </row>
    <row r="308" spans="1:9" ht="15.95" customHeight="1" x14ac:dyDescent="0.3">
      <c r="A308" s="91">
        <f t="shared" si="13"/>
        <v>20795</v>
      </c>
      <c r="B308" s="9" t="s">
        <v>804</v>
      </c>
      <c r="C308" s="123"/>
      <c r="D308" s="91"/>
      <c r="E308" s="16" t="s">
        <v>123</v>
      </c>
      <c r="F308" s="16">
        <v>3</v>
      </c>
      <c r="G308" s="16">
        <f t="shared" si="12"/>
        <v>1</v>
      </c>
      <c r="H308" s="91">
        <v>1</v>
      </c>
      <c r="I308" s="98"/>
    </row>
    <row r="309" spans="1:9" ht="15.95" customHeight="1" x14ac:dyDescent="0.3">
      <c r="A309" s="91">
        <f t="shared" si="13"/>
        <v>20796</v>
      </c>
      <c r="B309" s="12" t="s">
        <v>805</v>
      </c>
      <c r="C309" s="123"/>
      <c r="D309" s="91"/>
      <c r="E309" s="97" t="s">
        <v>123</v>
      </c>
      <c r="F309" s="16">
        <v>3</v>
      </c>
      <c r="G309" s="97">
        <f t="shared" si="12"/>
        <v>1</v>
      </c>
      <c r="H309" s="97">
        <v>1</v>
      </c>
      <c r="I309" s="107"/>
    </row>
    <row r="310" spans="1:9" ht="15.95" customHeight="1" x14ac:dyDescent="0.3">
      <c r="A310" s="91">
        <f t="shared" si="13"/>
        <v>20797</v>
      </c>
      <c r="B310" s="12" t="s">
        <v>806</v>
      </c>
      <c r="C310" s="123"/>
      <c r="D310" s="91"/>
      <c r="E310" s="97" t="s">
        <v>123</v>
      </c>
      <c r="F310" s="16">
        <v>3</v>
      </c>
      <c r="G310" s="97">
        <f t="shared" si="12"/>
        <v>1</v>
      </c>
      <c r="H310" s="97">
        <v>1</v>
      </c>
      <c r="I310" s="107"/>
    </row>
    <row r="311" spans="1:9" ht="15.95" customHeight="1" x14ac:dyDescent="0.3">
      <c r="A311" s="91">
        <f t="shared" si="13"/>
        <v>20798</v>
      </c>
      <c r="B311" s="12" t="s">
        <v>807</v>
      </c>
      <c r="C311" s="123"/>
      <c r="D311" s="91"/>
      <c r="E311" s="97" t="s">
        <v>123</v>
      </c>
      <c r="F311" s="16">
        <v>3</v>
      </c>
      <c r="G311" s="97">
        <f t="shared" si="12"/>
        <v>1</v>
      </c>
      <c r="H311" s="97">
        <v>1</v>
      </c>
      <c r="I311" s="107"/>
    </row>
    <row r="312" spans="1:9" ht="15.95" customHeight="1" x14ac:dyDescent="0.3">
      <c r="A312" s="91">
        <f t="shared" si="13"/>
        <v>20799</v>
      </c>
      <c r="B312" s="12" t="s">
        <v>808</v>
      </c>
      <c r="C312" s="123"/>
      <c r="D312" s="91"/>
      <c r="E312" s="97" t="s">
        <v>123</v>
      </c>
      <c r="F312" s="16">
        <v>3</v>
      </c>
      <c r="G312" s="97">
        <f t="shared" si="12"/>
        <v>1</v>
      </c>
      <c r="H312" s="97">
        <v>1</v>
      </c>
      <c r="I312" s="107"/>
    </row>
    <row r="313" spans="1:9" ht="15.95" customHeight="1" x14ac:dyDescent="0.3">
      <c r="A313" s="122" t="s">
        <v>103</v>
      </c>
      <c r="B313" s="122"/>
      <c r="C313" s="122"/>
      <c r="D313" s="122"/>
      <c r="E313" s="122"/>
      <c r="F313" s="122"/>
      <c r="G313" s="122"/>
      <c r="H313" s="122"/>
      <c r="I313" s="104"/>
    </row>
    <row r="314" spans="1:9" ht="15.95" customHeight="1" x14ac:dyDescent="0.3">
      <c r="A314" s="91">
        <f>A312+G312*H312</f>
        <v>20800</v>
      </c>
      <c r="B314" s="9" t="s">
        <v>94</v>
      </c>
      <c r="C314" s="91"/>
      <c r="D314" s="91"/>
      <c r="E314" s="16" t="s">
        <v>114</v>
      </c>
      <c r="F314" s="16">
        <v>3</v>
      </c>
      <c r="G314" s="16">
        <f t="shared" ref="G314:G323" si="14">IF(OR(E314="U16", E314="S16"),1,IF(E314="TS",6,2))</f>
        <v>1</v>
      </c>
      <c r="H314" s="91">
        <v>64</v>
      </c>
      <c r="I314" s="98"/>
    </row>
    <row r="315" spans="1:9" ht="15.95" customHeight="1" x14ac:dyDescent="0.3">
      <c r="A315" s="91">
        <f t="shared" ref="A315:A323" si="15">A314+(G314*H314)</f>
        <v>20864</v>
      </c>
      <c r="B315" s="9" t="s">
        <v>95</v>
      </c>
      <c r="C315" s="91"/>
      <c r="D315" s="91"/>
      <c r="E315" s="16" t="s">
        <v>114</v>
      </c>
      <c r="F315" s="16">
        <v>3</v>
      </c>
      <c r="G315" s="16">
        <f t="shared" si="14"/>
        <v>1</v>
      </c>
      <c r="H315" s="91">
        <v>64</v>
      </c>
      <c r="I315" s="98"/>
    </row>
    <row r="316" spans="1:9" ht="15.95" customHeight="1" x14ac:dyDescent="0.3">
      <c r="A316" s="91">
        <f t="shared" si="15"/>
        <v>20928</v>
      </c>
      <c r="B316" s="9" t="s">
        <v>96</v>
      </c>
      <c r="C316" s="91"/>
      <c r="D316" s="91"/>
      <c r="E316" s="16" t="s">
        <v>114</v>
      </c>
      <c r="F316" s="16">
        <v>3</v>
      </c>
      <c r="G316" s="16">
        <f t="shared" si="14"/>
        <v>1</v>
      </c>
      <c r="H316" s="91">
        <v>64</v>
      </c>
      <c r="I316" s="98"/>
    </row>
    <row r="317" spans="1:9" ht="15.95" customHeight="1" x14ac:dyDescent="0.3">
      <c r="A317" s="91">
        <f t="shared" si="15"/>
        <v>20992</v>
      </c>
      <c r="B317" s="9" t="s">
        <v>97</v>
      </c>
      <c r="C317" s="91"/>
      <c r="D317" s="91"/>
      <c r="E317" s="16" t="s">
        <v>114</v>
      </c>
      <c r="F317" s="16">
        <v>3</v>
      </c>
      <c r="G317" s="16">
        <f t="shared" si="14"/>
        <v>1</v>
      </c>
      <c r="H317" s="91">
        <v>64</v>
      </c>
      <c r="I317" s="98"/>
    </row>
    <row r="318" spans="1:9" ht="15.95" customHeight="1" x14ac:dyDescent="0.3">
      <c r="A318" s="91">
        <f t="shared" si="15"/>
        <v>21056</v>
      </c>
      <c r="B318" s="9" t="s">
        <v>98</v>
      </c>
      <c r="C318" s="91"/>
      <c r="D318" s="91"/>
      <c r="E318" s="16" t="s">
        <v>114</v>
      </c>
      <c r="F318" s="16">
        <v>3</v>
      </c>
      <c r="G318" s="16">
        <f t="shared" si="14"/>
        <v>1</v>
      </c>
      <c r="H318" s="91">
        <v>64</v>
      </c>
      <c r="I318" s="98"/>
    </row>
    <row r="319" spans="1:9" ht="15.95" customHeight="1" x14ac:dyDescent="0.3">
      <c r="A319" s="91">
        <f t="shared" si="15"/>
        <v>21120</v>
      </c>
      <c r="B319" s="9" t="s">
        <v>99</v>
      </c>
      <c r="C319" s="91"/>
      <c r="D319" s="91"/>
      <c r="E319" s="16" t="s">
        <v>114</v>
      </c>
      <c r="F319" s="16">
        <v>3</v>
      </c>
      <c r="G319" s="16">
        <f t="shared" si="14"/>
        <v>1</v>
      </c>
      <c r="H319" s="91">
        <v>64</v>
      </c>
      <c r="I319" s="98"/>
    </row>
    <row r="320" spans="1:9" ht="15.95" customHeight="1" x14ac:dyDescent="0.3">
      <c r="A320" s="91">
        <f t="shared" si="15"/>
        <v>21184</v>
      </c>
      <c r="B320" s="9" t="s">
        <v>100</v>
      </c>
      <c r="C320" s="91"/>
      <c r="D320" s="91"/>
      <c r="E320" s="16" t="s">
        <v>114</v>
      </c>
      <c r="F320" s="16">
        <v>3</v>
      </c>
      <c r="G320" s="16">
        <f t="shared" si="14"/>
        <v>1</v>
      </c>
      <c r="H320" s="91">
        <v>64</v>
      </c>
      <c r="I320" s="98"/>
    </row>
    <row r="321" spans="1:9" ht="15.95" customHeight="1" x14ac:dyDescent="0.3">
      <c r="A321" s="91">
        <f t="shared" si="15"/>
        <v>21248</v>
      </c>
      <c r="B321" s="9" t="s">
        <v>101</v>
      </c>
      <c r="C321" s="91"/>
      <c r="D321" s="91"/>
      <c r="E321" s="16" t="s">
        <v>114</v>
      </c>
      <c r="F321" s="16">
        <v>3</v>
      </c>
      <c r="G321" s="16">
        <f t="shared" si="14"/>
        <v>1</v>
      </c>
      <c r="H321" s="91">
        <v>64</v>
      </c>
      <c r="I321" s="98"/>
    </row>
    <row r="322" spans="1:9" ht="15.95" customHeight="1" x14ac:dyDescent="0.3">
      <c r="A322" s="91">
        <f t="shared" si="15"/>
        <v>21312</v>
      </c>
      <c r="B322" s="9" t="s">
        <v>102</v>
      </c>
      <c r="C322" s="91"/>
      <c r="D322" s="91"/>
      <c r="E322" s="16" t="s">
        <v>114</v>
      </c>
      <c r="F322" s="16">
        <v>3</v>
      </c>
      <c r="G322" s="16">
        <f t="shared" si="14"/>
        <v>1</v>
      </c>
      <c r="H322" s="91">
        <v>64</v>
      </c>
      <c r="I322" s="98"/>
    </row>
    <row r="323" spans="1:9" ht="15.95" customHeight="1" x14ac:dyDescent="0.3">
      <c r="A323" s="91">
        <f t="shared" si="15"/>
        <v>21376</v>
      </c>
      <c r="B323" s="9" t="s">
        <v>41</v>
      </c>
      <c r="C323" s="91"/>
      <c r="D323" s="91"/>
      <c r="E323" s="16" t="s">
        <v>114</v>
      </c>
      <c r="F323" s="16">
        <v>3</v>
      </c>
      <c r="G323" s="16">
        <f t="shared" si="14"/>
        <v>1</v>
      </c>
      <c r="H323" s="91">
        <v>24</v>
      </c>
      <c r="I323" s="98"/>
    </row>
    <row r="324" spans="1:9" ht="15.95" customHeight="1" x14ac:dyDescent="0.3">
      <c r="A324" s="122" t="s">
        <v>128</v>
      </c>
      <c r="B324" s="122"/>
      <c r="C324" s="122"/>
      <c r="D324" s="122"/>
      <c r="E324" s="122"/>
      <c r="F324" s="122"/>
      <c r="G324" s="122"/>
      <c r="H324" s="122"/>
      <c r="I324" s="104"/>
    </row>
    <row r="325" spans="1:9" ht="15.95" customHeight="1" x14ac:dyDescent="0.3">
      <c r="A325" s="91">
        <f>A323+(G323*H323)</f>
        <v>21400</v>
      </c>
      <c r="B325" s="9" t="s">
        <v>94</v>
      </c>
      <c r="C325" s="91"/>
      <c r="D325" s="91"/>
      <c r="E325" s="16" t="s">
        <v>114</v>
      </c>
      <c r="F325" s="16">
        <v>3</v>
      </c>
      <c r="G325" s="16">
        <f t="shared" ref="G325:G334" si="16">IF(OR(E325="U16", E325="S16"),1,IF(E325="TS",6,2))</f>
        <v>1</v>
      </c>
      <c r="H325" s="91">
        <v>64</v>
      </c>
      <c r="I325" s="98"/>
    </row>
    <row r="326" spans="1:9" ht="15.95" customHeight="1" x14ac:dyDescent="0.3">
      <c r="A326" s="91">
        <f t="shared" ref="A326:A334" si="17">A325+(G325*H325)</f>
        <v>21464</v>
      </c>
      <c r="B326" s="9" t="s">
        <v>95</v>
      </c>
      <c r="C326" s="91"/>
      <c r="D326" s="91"/>
      <c r="E326" s="16" t="s">
        <v>114</v>
      </c>
      <c r="F326" s="16">
        <v>3</v>
      </c>
      <c r="G326" s="16">
        <f t="shared" si="16"/>
        <v>1</v>
      </c>
      <c r="H326" s="91">
        <v>64</v>
      </c>
      <c r="I326" s="98"/>
    </row>
    <row r="327" spans="1:9" ht="15.95" customHeight="1" x14ac:dyDescent="0.3">
      <c r="A327" s="91">
        <f t="shared" si="17"/>
        <v>21528</v>
      </c>
      <c r="B327" s="9" t="s">
        <v>96</v>
      </c>
      <c r="C327" s="91"/>
      <c r="D327" s="91"/>
      <c r="E327" s="16" t="s">
        <v>114</v>
      </c>
      <c r="F327" s="16">
        <v>3</v>
      </c>
      <c r="G327" s="16">
        <f t="shared" si="16"/>
        <v>1</v>
      </c>
      <c r="H327" s="91">
        <v>64</v>
      </c>
      <c r="I327" s="98"/>
    </row>
    <row r="328" spans="1:9" ht="15.95" customHeight="1" x14ac:dyDescent="0.3">
      <c r="A328" s="91">
        <f t="shared" si="17"/>
        <v>21592</v>
      </c>
      <c r="B328" s="9" t="s">
        <v>97</v>
      </c>
      <c r="C328" s="91"/>
      <c r="D328" s="91"/>
      <c r="E328" s="16" t="s">
        <v>114</v>
      </c>
      <c r="F328" s="16">
        <v>3</v>
      </c>
      <c r="G328" s="16">
        <f t="shared" si="16"/>
        <v>1</v>
      </c>
      <c r="H328" s="91">
        <v>64</v>
      </c>
      <c r="I328" s="98"/>
    </row>
    <row r="329" spans="1:9" ht="15.95" customHeight="1" x14ac:dyDescent="0.3">
      <c r="A329" s="91">
        <f t="shared" si="17"/>
        <v>21656</v>
      </c>
      <c r="B329" s="9" t="s">
        <v>98</v>
      </c>
      <c r="C329" s="91"/>
      <c r="D329" s="91"/>
      <c r="E329" s="16" t="s">
        <v>114</v>
      </c>
      <c r="F329" s="16">
        <v>3</v>
      </c>
      <c r="G329" s="16">
        <f t="shared" si="16"/>
        <v>1</v>
      </c>
      <c r="H329" s="91">
        <v>64</v>
      </c>
      <c r="I329" s="98"/>
    </row>
    <row r="330" spans="1:9" ht="15.95" customHeight="1" x14ac:dyDescent="0.3">
      <c r="A330" s="91">
        <f t="shared" si="17"/>
        <v>21720</v>
      </c>
      <c r="B330" s="9" t="s">
        <v>99</v>
      </c>
      <c r="C330" s="91"/>
      <c r="D330" s="91"/>
      <c r="E330" s="16" t="s">
        <v>114</v>
      </c>
      <c r="F330" s="16">
        <v>3</v>
      </c>
      <c r="G330" s="16">
        <f t="shared" si="16"/>
        <v>1</v>
      </c>
      <c r="H330" s="91">
        <v>64</v>
      </c>
      <c r="I330" s="98"/>
    </row>
    <row r="331" spans="1:9" ht="15.95" customHeight="1" x14ac:dyDescent="0.3">
      <c r="A331" s="91">
        <f t="shared" si="17"/>
        <v>21784</v>
      </c>
      <c r="B331" s="9" t="s">
        <v>100</v>
      </c>
      <c r="C331" s="91"/>
      <c r="D331" s="91"/>
      <c r="E331" s="16" t="s">
        <v>114</v>
      </c>
      <c r="F331" s="16">
        <v>3</v>
      </c>
      <c r="G331" s="16">
        <f t="shared" si="16"/>
        <v>1</v>
      </c>
      <c r="H331" s="91">
        <v>64</v>
      </c>
      <c r="I331" s="98"/>
    </row>
    <row r="332" spans="1:9" ht="15.95" customHeight="1" x14ac:dyDescent="0.3">
      <c r="A332" s="91">
        <f t="shared" si="17"/>
        <v>21848</v>
      </c>
      <c r="B332" s="9" t="s">
        <v>101</v>
      </c>
      <c r="C332" s="91"/>
      <c r="D332" s="91"/>
      <c r="E332" s="16" t="s">
        <v>114</v>
      </c>
      <c r="F332" s="16">
        <v>3</v>
      </c>
      <c r="G332" s="16">
        <f t="shared" si="16"/>
        <v>1</v>
      </c>
      <c r="H332" s="91">
        <v>64</v>
      </c>
      <c r="I332" s="98"/>
    </row>
    <row r="333" spans="1:9" ht="15.95" customHeight="1" x14ac:dyDescent="0.3">
      <c r="A333" s="91">
        <f t="shared" si="17"/>
        <v>21912</v>
      </c>
      <c r="B333" s="9" t="s">
        <v>102</v>
      </c>
      <c r="C333" s="91"/>
      <c r="D333" s="91"/>
      <c r="E333" s="16" t="s">
        <v>114</v>
      </c>
      <c r="F333" s="16">
        <v>3</v>
      </c>
      <c r="G333" s="16">
        <f t="shared" si="16"/>
        <v>1</v>
      </c>
      <c r="H333" s="91">
        <v>64</v>
      </c>
      <c r="I333" s="98"/>
    </row>
    <row r="334" spans="1:9" ht="15.95" customHeight="1" x14ac:dyDescent="0.3">
      <c r="A334" s="91">
        <f t="shared" si="17"/>
        <v>21976</v>
      </c>
      <c r="B334" s="9"/>
      <c r="C334" s="91"/>
      <c r="D334" s="91"/>
      <c r="E334" s="16" t="s">
        <v>114</v>
      </c>
      <c r="F334" s="16">
        <v>3</v>
      </c>
      <c r="G334" s="16">
        <f t="shared" si="16"/>
        <v>1</v>
      </c>
      <c r="H334" s="91">
        <v>24</v>
      </c>
      <c r="I334" s="98"/>
    </row>
    <row r="335" spans="1:9" ht="15.95" customHeight="1" x14ac:dyDescent="0.3">
      <c r="A335" s="122" t="s">
        <v>116</v>
      </c>
      <c r="B335" s="122"/>
      <c r="C335" s="122"/>
      <c r="D335" s="122"/>
      <c r="E335" s="122"/>
      <c r="F335" s="122"/>
      <c r="G335" s="122"/>
      <c r="H335" s="122"/>
      <c r="I335" s="104"/>
    </row>
    <row r="336" spans="1:9" ht="15.95" customHeight="1" x14ac:dyDescent="0.3">
      <c r="A336" s="91">
        <f>A334+(G334*H334)</f>
        <v>22000</v>
      </c>
      <c r="B336" s="9" t="s">
        <v>400</v>
      </c>
      <c r="C336" s="91"/>
      <c r="D336" s="91"/>
      <c r="E336" s="16" t="s">
        <v>123</v>
      </c>
      <c r="F336" s="16">
        <v>3</v>
      </c>
      <c r="G336" s="16">
        <f t="shared" ref="G336:G382" si="18">IF(OR(E336="U16", E336="S16"),1,IF(E336="TS",6,2))</f>
        <v>1</v>
      </c>
      <c r="H336" s="91">
        <v>1</v>
      </c>
      <c r="I336" s="98"/>
    </row>
    <row r="337" spans="1:10" ht="15.95" customHeight="1" x14ac:dyDescent="0.3">
      <c r="A337" s="91">
        <f t="shared" ref="A337:A384" si="19">A336+(G336*H336)</f>
        <v>22001</v>
      </c>
      <c r="B337" s="9" t="s">
        <v>401</v>
      </c>
      <c r="C337" s="91"/>
      <c r="D337" s="91"/>
      <c r="E337" s="16" t="s">
        <v>123</v>
      </c>
      <c r="F337" s="16">
        <v>3</v>
      </c>
      <c r="G337" s="16">
        <f t="shared" si="18"/>
        <v>1</v>
      </c>
      <c r="H337" s="91">
        <v>1</v>
      </c>
      <c r="I337" s="98"/>
    </row>
    <row r="338" spans="1:10" ht="15.95" customHeight="1" x14ac:dyDescent="0.3">
      <c r="A338" s="91">
        <f t="shared" si="19"/>
        <v>22002</v>
      </c>
      <c r="B338" s="9" t="s">
        <v>117</v>
      </c>
      <c r="C338" s="91"/>
      <c r="D338" s="91"/>
      <c r="E338" s="16" t="s">
        <v>91</v>
      </c>
      <c r="F338" s="16">
        <v>3</v>
      </c>
      <c r="G338" s="16">
        <f t="shared" si="18"/>
        <v>2</v>
      </c>
      <c r="H338" s="91">
        <v>1</v>
      </c>
      <c r="I338" s="98"/>
    </row>
    <row r="339" spans="1:10" ht="15.95" customHeight="1" x14ac:dyDescent="0.3">
      <c r="A339" s="91">
        <f t="shared" si="19"/>
        <v>22004</v>
      </c>
      <c r="B339" s="9" t="s">
        <v>30</v>
      </c>
      <c r="C339" s="91"/>
      <c r="D339" s="91"/>
      <c r="E339" s="16" t="s">
        <v>58</v>
      </c>
      <c r="F339" s="16">
        <v>3</v>
      </c>
      <c r="G339" s="16">
        <f t="shared" si="18"/>
        <v>2</v>
      </c>
      <c r="H339" s="91">
        <v>4</v>
      </c>
      <c r="I339" s="98"/>
    </row>
    <row r="340" spans="1:10" ht="15.95" customHeight="1" x14ac:dyDescent="0.3">
      <c r="A340" s="91">
        <f t="shared" si="19"/>
        <v>22012</v>
      </c>
      <c r="B340" s="9" t="s">
        <v>198</v>
      </c>
      <c r="C340" s="91"/>
      <c r="D340" s="91"/>
      <c r="E340" s="16" t="s">
        <v>58</v>
      </c>
      <c r="F340" s="16">
        <v>3</v>
      </c>
      <c r="G340" s="16">
        <f t="shared" si="18"/>
        <v>2</v>
      </c>
      <c r="H340" s="91">
        <v>4</v>
      </c>
      <c r="I340" s="98"/>
    </row>
    <row r="341" spans="1:10" ht="15.95" customHeight="1" x14ac:dyDescent="0.3">
      <c r="A341" s="91">
        <f t="shared" si="19"/>
        <v>22020</v>
      </c>
      <c r="B341" s="9" t="s">
        <v>154</v>
      </c>
      <c r="C341" s="91"/>
      <c r="D341" s="91"/>
      <c r="E341" s="16" t="s">
        <v>58</v>
      </c>
      <c r="F341" s="16">
        <v>3</v>
      </c>
      <c r="G341" s="16">
        <f t="shared" si="18"/>
        <v>2</v>
      </c>
      <c r="H341" s="91">
        <v>4</v>
      </c>
      <c r="I341" s="98"/>
    </row>
    <row r="342" spans="1:10" ht="15.95" customHeight="1" x14ac:dyDescent="0.3">
      <c r="A342" s="91">
        <f t="shared" si="19"/>
        <v>22028</v>
      </c>
      <c r="B342" s="9" t="s">
        <v>155</v>
      </c>
      <c r="C342" s="91"/>
      <c r="D342" s="91"/>
      <c r="E342" s="16" t="s">
        <v>58</v>
      </c>
      <c r="F342" s="16">
        <v>3</v>
      </c>
      <c r="G342" s="16">
        <f t="shared" si="18"/>
        <v>2</v>
      </c>
      <c r="H342" s="91">
        <v>4</v>
      </c>
      <c r="I342" s="98"/>
    </row>
    <row r="343" spans="1:10" ht="15.95" customHeight="1" x14ac:dyDescent="0.3">
      <c r="A343" s="91">
        <f t="shared" si="19"/>
        <v>22036</v>
      </c>
      <c r="B343" s="9" t="s">
        <v>156</v>
      </c>
      <c r="C343" s="91"/>
      <c r="D343" s="91"/>
      <c r="E343" s="16" t="s">
        <v>58</v>
      </c>
      <c r="F343" s="16">
        <v>3</v>
      </c>
      <c r="G343" s="16">
        <f t="shared" si="18"/>
        <v>2</v>
      </c>
      <c r="H343" s="91">
        <v>4</v>
      </c>
      <c r="I343" s="98"/>
      <c r="J343" s="96" t="s">
        <v>124</v>
      </c>
    </row>
    <row r="344" spans="1:10" ht="15.95" customHeight="1" x14ac:dyDescent="0.3">
      <c r="A344" s="91">
        <f t="shared" si="19"/>
        <v>22044</v>
      </c>
      <c r="B344" s="9" t="s">
        <v>157</v>
      </c>
      <c r="C344" s="91"/>
      <c r="D344" s="91"/>
      <c r="E344" s="16" t="s">
        <v>58</v>
      </c>
      <c r="F344" s="16">
        <v>3</v>
      </c>
      <c r="G344" s="16">
        <f t="shared" si="18"/>
        <v>2</v>
      </c>
      <c r="H344" s="91">
        <v>4</v>
      </c>
      <c r="I344" s="98"/>
    </row>
    <row r="345" spans="1:10" ht="15.95" customHeight="1" x14ac:dyDescent="0.3">
      <c r="A345" s="91">
        <f t="shared" si="19"/>
        <v>22052</v>
      </c>
      <c r="B345" s="9" t="s">
        <v>158</v>
      </c>
      <c r="C345" s="91"/>
      <c r="D345" s="91"/>
      <c r="E345" s="16" t="s">
        <v>58</v>
      </c>
      <c r="F345" s="16">
        <v>3</v>
      </c>
      <c r="G345" s="16">
        <f t="shared" si="18"/>
        <v>2</v>
      </c>
      <c r="H345" s="91">
        <v>4</v>
      </c>
      <c r="I345" s="98"/>
    </row>
    <row r="346" spans="1:10" ht="15.95" customHeight="1" x14ac:dyDescent="0.3">
      <c r="A346" s="91">
        <f t="shared" si="19"/>
        <v>22060</v>
      </c>
      <c r="B346" s="9" t="s">
        <v>159</v>
      </c>
      <c r="C346" s="91"/>
      <c r="D346" s="91"/>
      <c r="E346" s="16" t="s">
        <v>58</v>
      </c>
      <c r="F346" s="16">
        <v>3</v>
      </c>
      <c r="G346" s="16">
        <f t="shared" si="18"/>
        <v>2</v>
      </c>
      <c r="H346" s="91">
        <v>4</v>
      </c>
      <c r="I346" s="98"/>
    </row>
    <row r="347" spans="1:10" ht="15.95" customHeight="1" x14ac:dyDescent="0.3">
      <c r="A347" s="91">
        <f t="shared" si="19"/>
        <v>22068</v>
      </c>
      <c r="B347" s="9" t="s">
        <v>160</v>
      </c>
      <c r="C347" s="91"/>
      <c r="D347" s="91"/>
      <c r="E347" s="16" t="s">
        <v>58</v>
      </c>
      <c r="F347" s="16">
        <v>3</v>
      </c>
      <c r="G347" s="16">
        <f t="shared" si="18"/>
        <v>2</v>
      </c>
      <c r="H347" s="91">
        <v>4</v>
      </c>
      <c r="I347" s="98"/>
    </row>
    <row r="348" spans="1:10" ht="15.95" customHeight="1" x14ac:dyDescent="0.3">
      <c r="A348" s="91">
        <f t="shared" si="19"/>
        <v>22076</v>
      </c>
      <c r="B348" s="9" t="s">
        <v>161</v>
      </c>
      <c r="C348" s="91"/>
      <c r="D348" s="91"/>
      <c r="E348" s="16" t="s">
        <v>58</v>
      </c>
      <c r="F348" s="16">
        <v>3</v>
      </c>
      <c r="G348" s="16">
        <f t="shared" si="18"/>
        <v>2</v>
      </c>
      <c r="H348" s="91">
        <v>4</v>
      </c>
      <c r="I348" s="98"/>
    </row>
    <row r="349" spans="1:10" ht="15.95" customHeight="1" x14ac:dyDescent="0.3">
      <c r="A349" s="91">
        <f t="shared" si="19"/>
        <v>22084</v>
      </c>
      <c r="B349" s="9" t="s">
        <v>0</v>
      </c>
      <c r="C349" s="91"/>
      <c r="D349" s="91"/>
      <c r="E349" s="16" t="s">
        <v>58</v>
      </c>
      <c r="F349" s="16">
        <v>3</v>
      </c>
      <c r="G349" s="16">
        <f t="shared" si="18"/>
        <v>2</v>
      </c>
      <c r="H349" s="91">
        <v>4</v>
      </c>
      <c r="I349" s="98"/>
    </row>
    <row r="350" spans="1:10" ht="15.95" customHeight="1" x14ac:dyDescent="0.3">
      <c r="A350" s="91">
        <f t="shared" si="19"/>
        <v>22092</v>
      </c>
      <c r="B350" s="9" t="s">
        <v>119</v>
      </c>
      <c r="C350" s="91"/>
      <c r="D350" s="91"/>
      <c r="E350" s="16" t="s">
        <v>58</v>
      </c>
      <c r="F350" s="16">
        <v>3</v>
      </c>
      <c r="G350" s="16">
        <f t="shared" si="18"/>
        <v>2</v>
      </c>
      <c r="H350" s="91">
        <v>4</v>
      </c>
      <c r="I350" s="98"/>
    </row>
    <row r="351" spans="1:10" ht="15.95" customHeight="1" x14ac:dyDescent="0.3">
      <c r="A351" s="91">
        <f t="shared" si="19"/>
        <v>22100</v>
      </c>
      <c r="B351" s="9" t="s">
        <v>120</v>
      </c>
      <c r="C351" s="91"/>
      <c r="D351" s="91"/>
      <c r="E351" s="16" t="s">
        <v>58</v>
      </c>
      <c r="F351" s="16">
        <v>3</v>
      </c>
      <c r="G351" s="16">
        <f t="shared" si="18"/>
        <v>2</v>
      </c>
      <c r="H351" s="91">
        <v>4</v>
      </c>
      <c r="I351" s="98"/>
    </row>
    <row r="352" spans="1:10" ht="15.95" customHeight="1" x14ac:dyDescent="0.3">
      <c r="A352" s="91">
        <f t="shared" si="19"/>
        <v>22108</v>
      </c>
      <c r="B352" s="9" t="s">
        <v>129</v>
      </c>
      <c r="C352" s="91"/>
      <c r="D352" s="91"/>
      <c r="E352" s="16" t="s">
        <v>58</v>
      </c>
      <c r="F352" s="16">
        <v>3</v>
      </c>
      <c r="G352" s="16">
        <f t="shared" si="18"/>
        <v>2</v>
      </c>
      <c r="H352" s="91">
        <v>4</v>
      </c>
      <c r="I352" s="98"/>
    </row>
    <row r="353" spans="1:9" ht="15.95" customHeight="1" x14ac:dyDescent="0.3">
      <c r="A353" s="91">
        <f t="shared" si="19"/>
        <v>22116</v>
      </c>
      <c r="B353" s="9" t="s">
        <v>131</v>
      </c>
      <c r="C353" s="91"/>
      <c r="D353" s="91"/>
      <c r="E353" s="16" t="s">
        <v>58</v>
      </c>
      <c r="F353" s="16">
        <v>3</v>
      </c>
      <c r="G353" s="16">
        <f t="shared" si="18"/>
        <v>2</v>
      </c>
      <c r="H353" s="91">
        <v>4</v>
      </c>
      <c r="I353" s="98"/>
    </row>
    <row r="354" spans="1:9" ht="15.95" customHeight="1" x14ac:dyDescent="0.3">
      <c r="A354" s="91">
        <f t="shared" si="19"/>
        <v>22124</v>
      </c>
      <c r="B354" s="9" t="s">
        <v>122</v>
      </c>
      <c r="C354" s="91"/>
      <c r="D354" s="91"/>
      <c r="E354" s="16" t="s">
        <v>58</v>
      </c>
      <c r="F354" s="16">
        <v>3</v>
      </c>
      <c r="G354" s="16">
        <f t="shared" si="18"/>
        <v>2</v>
      </c>
      <c r="H354" s="91">
        <v>4</v>
      </c>
      <c r="I354" s="98"/>
    </row>
    <row r="355" spans="1:9" ht="15.95" customHeight="1" x14ac:dyDescent="0.3">
      <c r="A355" s="91">
        <f t="shared" si="19"/>
        <v>22132</v>
      </c>
      <c r="B355" s="9" t="s">
        <v>130</v>
      </c>
      <c r="C355" s="91"/>
      <c r="D355" s="91"/>
      <c r="E355" s="16" t="s">
        <v>58</v>
      </c>
      <c r="F355" s="16">
        <v>3</v>
      </c>
      <c r="G355" s="16">
        <f t="shared" si="18"/>
        <v>2</v>
      </c>
      <c r="H355" s="91">
        <v>4</v>
      </c>
      <c r="I355" s="98"/>
    </row>
    <row r="356" spans="1:9" ht="15.95" customHeight="1" x14ac:dyDescent="0.3">
      <c r="A356" s="91">
        <f t="shared" si="19"/>
        <v>22140</v>
      </c>
      <c r="B356" s="9" t="s">
        <v>60</v>
      </c>
      <c r="C356" s="91"/>
      <c r="D356" s="91"/>
      <c r="E356" s="16" t="s">
        <v>58</v>
      </c>
      <c r="F356" s="16">
        <v>3</v>
      </c>
      <c r="G356" s="16">
        <f t="shared" si="18"/>
        <v>2</v>
      </c>
      <c r="H356" s="91">
        <v>4</v>
      </c>
      <c r="I356" s="98"/>
    </row>
    <row r="357" spans="1:9" ht="15.95" customHeight="1" x14ac:dyDescent="0.3">
      <c r="A357" s="91">
        <f t="shared" si="19"/>
        <v>22148</v>
      </c>
      <c r="B357" s="9" t="s">
        <v>3</v>
      </c>
      <c r="C357" s="91"/>
      <c r="D357" s="91"/>
      <c r="E357" s="16" t="s">
        <v>58</v>
      </c>
      <c r="F357" s="16">
        <v>3</v>
      </c>
      <c r="G357" s="16">
        <f t="shared" si="18"/>
        <v>2</v>
      </c>
      <c r="H357" s="91">
        <v>4</v>
      </c>
      <c r="I357" s="98"/>
    </row>
    <row r="358" spans="1:9" ht="15.95" customHeight="1" x14ac:dyDescent="0.3">
      <c r="A358" s="91">
        <f t="shared" si="19"/>
        <v>22156</v>
      </c>
      <c r="B358" s="9" t="s">
        <v>4</v>
      </c>
      <c r="C358" s="91"/>
      <c r="D358" s="91"/>
      <c r="E358" s="16" t="s">
        <v>58</v>
      </c>
      <c r="F358" s="16">
        <v>3</v>
      </c>
      <c r="G358" s="16">
        <f>IF(OR(E358="U16", E358="S16"),1,IF(E358="TS",6,2))</f>
        <v>2</v>
      </c>
      <c r="H358" s="91">
        <v>4</v>
      </c>
      <c r="I358" s="98"/>
    </row>
    <row r="359" spans="1:9" ht="15.95" customHeight="1" x14ac:dyDescent="0.3">
      <c r="A359" s="91">
        <f t="shared" si="19"/>
        <v>22164</v>
      </c>
      <c r="B359" s="9" t="s">
        <v>61</v>
      </c>
      <c r="C359" s="91"/>
      <c r="D359" s="91"/>
      <c r="E359" s="16" t="s">
        <v>58</v>
      </c>
      <c r="F359" s="16">
        <v>3</v>
      </c>
      <c r="G359" s="16">
        <f>IF(OR(E359="U16", E359="S16"),1,IF(E359="TS",6,2))</f>
        <v>2</v>
      </c>
      <c r="H359" s="91">
        <v>4</v>
      </c>
      <c r="I359" s="98"/>
    </row>
    <row r="360" spans="1:9" ht="15.95" customHeight="1" x14ac:dyDescent="0.3">
      <c r="A360" s="91">
        <f t="shared" si="19"/>
        <v>22172</v>
      </c>
      <c r="B360" s="9" t="s">
        <v>62</v>
      </c>
      <c r="C360" s="91"/>
      <c r="D360" s="91"/>
      <c r="E360" s="16" t="s">
        <v>58</v>
      </c>
      <c r="F360" s="16">
        <v>3</v>
      </c>
      <c r="G360" s="16">
        <f>IF(OR(E360="U16", E360="S16"),1,IF(E360="TS",6,2))</f>
        <v>2</v>
      </c>
      <c r="H360" s="91">
        <v>4</v>
      </c>
      <c r="I360" s="98"/>
    </row>
    <row r="361" spans="1:9" ht="15.95" customHeight="1" x14ac:dyDescent="0.3">
      <c r="A361" s="91">
        <f t="shared" si="19"/>
        <v>22180</v>
      </c>
      <c r="B361" s="9" t="s">
        <v>63</v>
      </c>
      <c r="C361" s="91"/>
      <c r="D361" s="91"/>
      <c r="E361" s="16" t="s">
        <v>58</v>
      </c>
      <c r="F361" s="16">
        <v>3</v>
      </c>
      <c r="G361" s="16">
        <f>IF(OR(E361="U16", E361="S16"),1,IF(E361="TS",6,2))</f>
        <v>2</v>
      </c>
      <c r="H361" s="91">
        <v>4</v>
      </c>
      <c r="I361" s="98"/>
    </row>
    <row r="362" spans="1:9" ht="15.95" customHeight="1" x14ac:dyDescent="0.3">
      <c r="A362" s="91">
        <f t="shared" si="19"/>
        <v>22188</v>
      </c>
      <c r="B362" s="9" t="s">
        <v>64</v>
      </c>
      <c r="C362" s="91"/>
      <c r="D362" s="91"/>
      <c r="E362" s="16" t="s">
        <v>58</v>
      </c>
      <c r="F362" s="16">
        <v>3</v>
      </c>
      <c r="G362" s="16">
        <f t="shared" si="18"/>
        <v>2</v>
      </c>
      <c r="H362" s="91">
        <v>4</v>
      </c>
      <c r="I362" s="98"/>
    </row>
    <row r="363" spans="1:9" ht="15.95" customHeight="1" x14ac:dyDescent="0.3">
      <c r="A363" s="91">
        <f t="shared" si="19"/>
        <v>22196</v>
      </c>
      <c r="B363" s="9" t="s">
        <v>65</v>
      </c>
      <c r="C363" s="91"/>
      <c r="D363" s="91"/>
      <c r="E363" s="16" t="s">
        <v>58</v>
      </c>
      <c r="F363" s="16">
        <v>3</v>
      </c>
      <c r="G363" s="16">
        <f t="shared" si="18"/>
        <v>2</v>
      </c>
      <c r="H363" s="91">
        <v>4</v>
      </c>
      <c r="I363" s="98"/>
    </row>
    <row r="364" spans="1:9" ht="15.95" customHeight="1" x14ac:dyDescent="0.3">
      <c r="A364" s="91">
        <f t="shared" si="19"/>
        <v>22204</v>
      </c>
      <c r="B364" s="9" t="s">
        <v>66</v>
      </c>
      <c r="C364" s="91"/>
      <c r="D364" s="91"/>
      <c r="E364" s="16" t="s">
        <v>58</v>
      </c>
      <c r="F364" s="16">
        <v>3</v>
      </c>
      <c r="G364" s="16">
        <f t="shared" si="18"/>
        <v>2</v>
      </c>
      <c r="H364" s="91">
        <v>4</v>
      </c>
      <c r="I364" s="98"/>
    </row>
    <row r="365" spans="1:9" ht="15.95" customHeight="1" x14ac:dyDescent="0.3">
      <c r="A365" s="91">
        <f t="shared" si="19"/>
        <v>22212</v>
      </c>
      <c r="B365" s="9" t="s">
        <v>6</v>
      </c>
      <c r="C365" s="91"/>
      <c r="D365" s="91"/>
      <c r="E365" s="16" t="s">
        <v>58</v>
      </c>
      <c r="F365" s="16">
        <v>3</v>
      </c>
      <c r="G365" s="16">
        <f t="shared" si="18"/>
        <v>2</v>
      </c>
      <c r="H365" s="91">
        <v>4</v>
      </c>
      <c r="I365" s="98"/>
    </row>
    <row r="366" spans="1:9" ht="15.95" customHeight="1" x14ac:dyDescent="0.3">
      <c r="A366" s="91">
        <f t="shared" si="19"/>
        <v>22220</v>
      </c>
      <c r="B366" s="9" t="s">
        <v>7</v>
      </c>
      <c r="C366" s="91"/>
      <c r="D366" s="91"/>
      <c r="E366" s="16" t="s">
        <v>58</v>
      </c>
      <c r="F366" s="16">
        <v>3</v>
      </c>
      <c r="G366" s="16">
        <f t="shared" si="18"/>
        <v>2</v>
      </c>
      <c r="H366" s="91">
        <v>4</v>
      </c>
      <c r="I366" s="98"/>
    </row>
    <row r="367" spans="1:9" ht="15.95" customHeight="1" x14ac:dyDescent="0.3">
      <c r="A367" s="91">
        <f t="shared" si="19"/>
        <v>22228</v>
      </c>
      <c r="B367" s="9" t="s">
        <v>67</v>
      </c>
      <c r="C367" s="91"/>
      <c r="D367" s="91"/>
      <c r="E367" s="16" t="s">
        <v>58</v>
      </c>
      <c r="F367" s="16">
        <v>3</v>
      </c>
      <c r="G367" s="16">
        <f t="shared" si="18"/>
        <v>2</v>
      </c>
      <c r="H367" s="91">
        <v>4</v>
      </c>
      <c r="I367" s="98"/>
    </row>
    <row r="368" spans="1:9" ht="15.95" customHeight="1" x14ac:dyDescent="0.3">
      <c r="A368" s="91">
        <f t="shared" si="19"/>
        <v>22236</v>
      </c>
      <c r="B368" s="9" t="s">
        <v>135</v>
      </c>
      <c r="C368" s="91"/>
      <c r="D368" s="91"/>
      <c r="E368" s="16" t="s">
        <v>58</v>
      </c>
      <c r="F368" s="16">
        <v>3</v>
      </c>
      <c r="G368" s="16">
        <f t="shared" si="18"/>
        <v>2</v>
      </c>
      <c r="H368" s="91">
        <v>4</v>
      </c>
      <c r="I368" s="98"/>
    </row>
    <row r="369" spans="1:9" ht="15.95" customHeight="1" x14ac:dyDescent="0.3">
      <c r="A369" s="91">
        <f t="shared" si="19"/>
        <v>22244</v>
      </c>
      <c r="B369" s="9" t="s">
        <v>136</v>
      </c>
      <c r="C369" s="91"/>
      <c r="D369" s="91"/>
      <c r="E369" s="16" t="s">
        <v>58</v>
      </c>
      <c r="F369" s="16">
        <v>3</v>
      </c>
      <c r="G369" s="16">
        <f t="shared" si="18"/>
        <v>2</v>
      </c>
      <c r="H369" s="91">
        <v>4</v>
      </c>
      <c r="I369" s="98"/>
    </row>
    <row r="370" spans="1:9" ht="15.95" customHeight="1" x14ac:dyDescent="0.3">
      <c r="A370" s="91">
        <f t="shared" si="19"/>
        <v>22252</v>
      </c>
      <c r="B370" s="9" t="s">
        <v>137</v>
      </c>
      <c r="C370" s="91"/>
      <c r="D370" s="91"/>
      <c r="E370" s="16" t="s">
        <v>58</v>
      </c>
      <c r="F370" s="16">
        <v>3</v>
      </c>
      <c r="G370" s="16">
        <f t="shared" si="18"/>
        <v>2</v>
      </c>
      <c r="H370" s="91">
        <v>4</v>
      </c>
      <c r="I370" s="98"/>
    </row>
    <row r="371" spans="1:9" ht="15.95" customHeight="1" x14ac:dyDescent="0.3">
      <c r="A371" s="91">
        <f t="shared" si="19"/>
        <v>22260</v>
      </c>
      <c r="B371" s="9" t="s">
        <v>81</v>
      </c>
      <c r="C371" s="91"/>
      <c r="D371" s="91"/>
      <c r="E371" s="16" t="s">
        <v>58</v>
      </c>
      <c r="F371" s="16">
        <v>3</v>
      </c>
      <c r="G371" s="16">
        <f t="shared" si="18"/>
        <v>2</v>
      </c>
      <c r="H371" s="91">
        <v>4</v>
      </c>
      <c r="I371" s="98"/>
    </row>
    <row r="372" spans="1:9" ht="15.95" customHeight="1" x14ac:dyDescent="0.3">
      <c r="A372" s="91">
        <f t="shared" si="19"/>
        <v>22268</v>
      </c>
      <c r="B372" s="9" t="s">
        <v>237</v>
      </c>
      <c r="C372" s="91"/>
      <c r="D372" s="91"/>
      <c r="E372" s="16" t="s">
        <v>58</v>
      </c>
      <c r="F372" s="16">
        <v>3</v>
      </c>
      <c r="G372" s="16">
        <f t="shared" si="18"/>
        <v>2</v>
      </c>
      <c r="H372" s="91">
        <v>4</v>
      </c>
      <c r="I372" s="98"/>
    </row>
    <row r="373" spans="1:9" ht="15.95" customHeight="1" x14ac:dyDescent="0.3">
      <c r="A373" s="91">
        <f t="shared" si="19"/>
        <v>22276</v>
      </c>
      <c r="B373" s="9" t="s">
        <v>238</v>
      </c>
      <c r="C373" s="91"/>
      <c r="D373" s="91"/>
      <c r="E373" s="16" t="s">
        <v>58</v>
      </c>
      <c r="F373" s="16">
        <v>3</v>
      </c>
      <c r="G373" s="16">
        <f t="shared" si="18"/>
        <v>2</v>
      </c>
      <c r="H373" s="91">
        <v>4</v>
      </c>
      <c r="I373" s="98"/>
    </row>
    <row r="374" spans="1:9" ht="15.95" customHeight="1" x14ac:dyDescent="0.3">
      <c r="A374" s="91">
        <f t="shared" si="19"/>
        <v>22284</v>
      </c>
      <c r="B374" s="9" t="s">
        <v>239</v>
      </c>
      <c r="C374" s="91"/>
      <c r="D374" s="91"/>
      <c r="E374" s="16" t="s">
        <v>58</v>
      </c>
      <c r="F374" s="16">
        <v>3</v>
      </c>
      <c r="G374" s="16">
        <f t="shared" si="18"/>
        <v>2</v>
      </c>
      <c r="H374" s="91">
        <v>4</v>
      </c>
      <c r="I374" s="98"/>
    </row>
    <row r="375" spans="1:9" ht="15.95" customHeight="1" x14ac:dyDescent="0.3">
      <c r="A375" s="91">
        <f t="shared" si="19"/>
        <v>22292</v>
      </c>
      <c r="B375" s="9" t="s">
        <v>240</v>
      </c>
      <c r="C375" s="91"/>
      <c r="D375" s="91"/>
      <c r="E375" s="16" t="s">
        <v>58</v>
      </c>
      <c r="F375" s="16">
        <v>3</v>
      </c>
      <c r="G375" s="16">
        <f t="shared" si="18"/>
        <v>2</v>
      </c>
      <c r="H375" s="91">
        <v>4</v>
      </c>
      <c r="I375" s="98"/>
    </row>
    <row r="376" spans="1:9" ht="15.95" customHeight="1" x14ac:dyDescent="0.3">
      <c r="A376" s="91">
        <f t="shared" si="19"/>
        <v>22300</v>
      </c>
      <c r="B376" s="9" t="s">
        <v>241</v>
      </c>
      <c r="C376" s="91"/>
      <c r="D376" s="91"/>
      <c r="E376" s="16" t="s">
        <v>58</v>
      </c>
      <c r="F376" s="16">
        <v>3</v>
      </c>
      <c r="G376" s="16">
        <f t="shared" si="18"/>
        <v>2</v>
      </c>
      <c r="H376" s="91">
        <v>4</v>
      </c>
      <c r="I376" s="98"/>
    </row>
    <row r="377" spans="1:9" ht="15.95" customHeight="1" x14ac:dyDescent="0.3">
      <c r="A377" s="91">
        <f t="shared" si="19"/>
        <v>22308</v>
      </c>
      <c r="B377" s="9" t="s">
        <v>242</v>
      </c>
      <c r="C377" s="91"/>
      <c r="D377" s="91"/>
      <c r="E377" s="16" t="s">
        <v>58</v>
      </c>
      <c r="F377" s="16">
        <v>3</v>
      </c>
      <c r="G377" s="16">
        <f t="shared" si="18"/>
        <v>2</v>
      </c>
      <c r="H377" s="91">
        <v>4</v>
      </c>
      <c r="I377" s="98"/>
    </row>
    <row r="378" spans="1:9" ht="15.95" customHeight="1" x14ac:dyDescent="0.3">
      <c r="A378" s="91">
        <f t="shared" si="19"/>
        <v>22316</v>
      </c>
      <c r="B378" s="9" t="s">
        <v>243</v>
      </c>
      <c r="C378" s="91"/>
      <c r="D378" s="91"/>
      <c r="E378" s="16" t="s">
        <v>58</v>
      </c>
      <c r="F378" s="16">
        <v>3</v>
      </c>
      <c r="G378" s="16">
        <f t="shared" si="18"/>
        <v>2</v>
      </c>
      <c r="H378" s="91">
        <v>4</v>
      </c>
      <c r="I378" s="98"/>
    </row>
    <row r="379" spans="1:9" ht="15.95" customHeight="1" x14ac:dyDescent="0.3">
      <c r="A379" s="91">
        <f t="shared" si="19"/>
        <v>22324</v>
      </c>
      <c r="B379" s="9" t="s">
        <v>25</v>
      </c>
      <c r="C379" s="91"/>
      <c r="D379" s="91"/>
      <c r="E379" s="16" t="s">
        <v>58</v>
      </c>
      <c r="F379" s="16">
        <v>3</v>
      </c>
      <c r="G379" s="16">
        <f t="shared" si="18"/>
        <v>2</v>
      </c>
      <c r="H379" s="91">
        <v>4</v>
      </c>
      <c r="I379" s="98"/>
    </row>
    <row r="380" spans="1:9" ht="15.95" customHeight="1" x14ac:dyDescent="0.3">
      <c r="A380" s="91">
        <f t="shared" si="19"/>
        <v>22332</v>
      </c>
      <c r="B380" s="9" t="s">
        <v>26</v>
      </c>
      <c r="C380" s="91"/>
      <c r="D380" s="91"/>
      <c r="E380" s="16" t="s">
        <v>58</v>
      </c>
      <c r="F380" s="16">
        <v>3</v>
      </c>
      <c r="G380" s="16">
        <f>IF(OR(E380="U16", E380="S16"),1,IF(E380="TS",6,2))</f>
        <v>2</v>
      </c>
      <c r="H380" s="91">
        <v>4</v>
      </c>
      <c r="I380" s="98"/>
    </row>
    <row r="381" spans="1:9" ht="15.95" customHeight="1" x14ac:dyDescent="0.3">
      <c r="A381" s="91">
        <f t="shared" si="19"/>
        <v>22340</v>
      </c>
      <c r="B381" s="9" t="s">
        <v>402</v>
      </c>
      <c r="C381" s="91"/>
      <c r="D381" s="91"/>
      <c r="E381" s="16" t="s">
        <v>259</v>
      </c>
      <c r="F381" s="16">
        <v>3</v>
      </c>
      <c r="G381" s="16">
        <f>IF(OR(E381="U16", E381="S16"),1,IF(E381="TS",6,2))</f>
        <v>2</v>
      </c>
      <c r="H381" s="91">
        <v>1</v>
      </c>
      <c r="I381" s="98"/>
    </row>
    <row r="382" spans="1:9" ht="15.95" customHeight="1" x14ac:dyDescent="0.3">
      <c r="A382" s="91">
        <f t="shared" si="19"/>
        <v>22342</v>
      </c>
      <c r="B382" s="9" t="s">
        <v>196</v>
      </c>
      <c r="C382" s="91"/>
      <c r="D382" s="91"/>
      <c r="E382" s="16" t="s">
        <v>123</v>
      </c>
      <c r="F382" s="16">
        <v>3</v>
      </c>
      <c r="G382" s="16">
        <f t="shared" si="18"/>
        <v>1</v>
      </c>
      <c r="H382" s="91">
        <v>1</v>
      </c>
      <c r="I382" s="98"/>
    </row>
    <row r="383" spans="1:9" ht="15.95" customHeight="1" x14ac:dyDescent="0.3">
      <c r="A383" s="91">
        <f t="shared" si="19"/>
        <v>22343</v>
      </c>
      <c r="B383" s="9" t="s">
        <v>398</v>
      </c>
      <c r="C383" s="91"/>
      <c r="D383" s="91"/>
      <c r="E383" s="16" t="s">
        <v>123</v>
      </c>
      <c r="F383" s="16">
        <v>3</v>
      </c>
      <c r="G383" s="16">
        <f>IF(OR(E383="U16", E383="S16"),1,IF(E383="TS",6,2))</f>
        <v>1</v>
      </c>
      <c r="H383" s="91">
        <v>1</v>
      </c>
      <c r="I383" s="98"/>
    </row>
    <row r="384" spans="1:9" ht="15.95" customHeight="1" x14ac:dyDescent="0.3">
      <c r="A384" s="91">
        <f t="shared" si="19"/>
        <v>22344</v>
      </c>
      <c r="B384" s="9"/>
      <c r="C384" s="91"/>
      <c r="D384" s="91"/>
      <c r="E384" s="16" t="s">
        <v>123</v>
      </c>
      <c r="F384" s="16">
        <v>3</v>
      </c>
      <c r="G384" s="16">
        <f>IF(OR(E384="U16", E384="S16"),1,IF(E384="TS",6,2))</f>
        <v>1</v>
      </c>
      <c r="H384" s="91">
        <v>6</v>
      </c>
      <c r="I384" s="98"/>
    </row>
    <row r="385" spans="1:9" ht="15.95" customHeight="1" x14ac:dyDescent="0.3">
      <c r="A385" s="122" t="s">
        <v>438</v>
      </c>
      <c r="B385" s="122"/>
      <c r="C385" s="122"/>
      <c r="D385" s="122"/>
      <c r="E385" s="122"/>
      <c r="F385" s="122"/>
      <c r="G385" s="122"/>
      <c r="H385" s="122"/>
      <c r="I385" s="104"/>
    </row>
    <row r="386" spans="1:9" ht="15.95" customHeight="1" x14ac:dyDescent="0.3">
      <c r="A386" s="91">
        <f>A384+(G384*H384)</f>
        <v>22350</v>
      </c>
      <c r="B386" s="9" t="s">
        <v>400</v>
      </c>
      <c r="C386" s="91"/>
      <c r="D386" s="91"/>
      <c r="E386" s="16" t="s">
        <v>123</v>
      </c>
      <c r="F386" s="16">
        <v>3</v>
      </c>
      <c r="G386" s="16">
        <f t="shared" ref="G386:G425" si="20">IF(OR(E386="U16", E386="S16"),1,IF(E386="TS",6,2))</f>
        <v>1</v>
      </c>
      <c r="H386" s="91">
        <v>1</v>
      </c>
      <c r="I386" s="98"/>
    </row>
    <row r="387" spans="1:9" ht="15.95" customHeight="1" x14ac:dyDescent="0.3">
      <c r="A387" s="91">
        <f t="shared" ref="A387:A427" si="21">A386+(G386*H386)</f>
        <v>22351</v>
      </c>
      <c r="B387" s="9" t="s">
        <v>401</v>
      </c>
      <c r="C387" s="91"/>
      <c r="D387" s="91"/>
      <c r="E387" s="16" t="s">
        <v>123</v>
      </c>
      <c r="F387" s="16">
        <v>3</v>
      </c>
      <c r="G387" s="16">
        <f t="shared" si="20"/>
        <v>1</v>
      </c>
      <c r="H387" s="91">
        <v>1</v>
      </c>
      <c r="I387" s="98"/>
    </row>
    <row r="388" spans="1:9" ht="15.95" customHeight="1" thickBot="1" x14ac:dyDescent="0.35">
      <c r="A388" s="92">
        <f t="shared" si="21"/>
        <v>22352</v>
      </c>
      <c r="B388" s="27" t="s">
        <v>811</v>
      </c>
      <c r="C388" s="92"/>
      <c r="D388" s="92"/>
      <c r="E388" s="18" t="s">
        <v>259</v>
      </c>
      <c r="F388" s="18">
        <v>3</v>
      </c>
      <c r="G388" s="18">
        <f t="shared" si="20"/>
        <v>2</v>
      </c>
      <c r="H388" s="92">
        <v>1</v>
      </c>
      <c r="I388" s="98"/>
    </row>
    <row r="389" spans="1:9" ht="15.95" customHeight="1" x14ac:dyDescent="0.3">
      <c r="A389" s="36">
        <f t="shared" si="21"/>
        <v>22354</v>
      </c>
      <c r="B389" s="140" t="s">
        <v>812</v>
      </c>
      <c r="C389" s="63" t="s">
        <v>813</v>
      </c>
      <c r="D389" s="37"/>
      <c r="E389" s="37" t="s">
        <v>123</v>
      </c>
      <c r="F389" s="37">
        <v>3</v>
      </c>
      <c r="G389" s="37">
        <f t="shared" si="20"/>
        <v>1</v>
      </c>
      <c r="H389" s="38">
        <v>1</v>
      </c>
      <c r="I389" s="108"/>
    </row>
    <row r="390" spans="1:9" ht="15.95" customHeight="1" x14ac:dyDescent="0.3">
      <c r="A390" s="69">
        <f t="shared" si="21"/>
        <v>22355</v>
      </c>
      <c r="B390" s="141"/>
      <c r="C390" s="62" t="s">
        <v>814</v>
      </c>
      <c r="D390" s="102"/>
      <c r="E390" s="102" t="s">
        <v>123</v>
      </c>
      <c r="F390" s="102">
        <v>3</v>
      </c>
      <c r="G390" s="102">
        <f t="shared" si="20"/>
        <v>1</v>
      </c>
      <c r="H390" s="71">
        <v>1</v>
      </c>
      <c r="I390" s="108"/>
    </row>
    <row r="391" spans="1:9" ht="15.95" customHeight="1" x14ac:dyDescent="0.3">
      <c r="A391" s="69">
        <f t="shared" si="21"/>
        <v>22356</v>
      </c>
      <c r="B391" s="141"/>
      <c r="C391" s="62" t="s">
        <v>815</v>
      </c>
      <c r="D391" s="102"/>
      <c r="E391" s="102" t="s">
        <v>58</v>
      </c>
      <c r="F391" s="102">
        <v>3</v>
      </c>
      <c r="G391" s="102">
        <f t="shared" si="20"/>
        <v>2</v>
      </c>
      <c r="H391" s="71">
        <v>1</v>
      </c>
      <c r="I391" s="108"/>
    </row>
    <row r="392" spans="1:9" ht="15.95" customHeight="1" x14ac:dyDescent="0.3">
      <c r="A392" s="69">
        <f t="shared" si="21"/>
        <v>22358</v>
      </c>
      <c r="B392" s="141"/>
      <c r="C392" s="62" t="s">
        <v>816</v>
      </c>
      <c r="D392" s="102"/>
      <c r="E392" s="102" t="s">
        <v>123</v>
      </c>
      <c r="F392" s="102">
        <v>3</v>
      </c>
      <c r="G392" s="102">
        <f t="shared" si="20"/>
        <v>1</v>
      </c>
      <c r="H392" s="71">
        <v>1</v>
      </c>
      <c r="I392" s="108"/>
    </row>
    <row r="393" spans="1:9" ht="15.95" customHeight="1" thickBot="1" x14ac:dyDescent="0.35">
      <c r="A393" s="39">
        <f t="shared" si="21"/>
        <v>22359</v>
      </c>
      <c r="B393" s="142"/>
      <c r="C393" s="64" t="s">
        <v>817</v>
      </c>
      <c r="D393" s="40"/>
      <c r="E393" s="40" t="s">
        <v>123</v>
      </c>
      <c r="F393" s="40">
        <v>3</v>
      </c>
      <c r="G393" s="40">
        <f t="shared" si="20"/>
        <v>1</v>
      </c>
      <c r="H393" s="41">
        <v>1</v>
      </c>
      <c r="I393" s="108"/>
    </row>
    <row r="394" spans="1:9" ht="15.95" customHeight="1" x14ac:dyDescent="0.3">
      <c r="A394" s="93">
        <f t="shared" si="21"/>
        <v>22360</v>
      </c>
      <c r="B394" s="32" t="s">
        <v>818</v>
      </c>
      <c r="C394" s="93"/>
      <c r="D394" s="93"/>
      <c r="E394" s="34" t="s">
        <v>123</v>
      </c>
      <c r="F394" s="34">
        <v>3</v>
      </c>
      <c r="G394" s="34">
        <f t="shared" si="20"/>
        <v>1</v>
      </c>
      <c r="H394" s="93">
        <v>6</v>
      </c>
      <c r="I394" s="98"/>
    </row>
    <row r="395" spans="1:9" ht="15.95" customHeight="1" x14ac:dyDescent="0.3">
      <c r="A395" s="91">
        <f t="shared" si="21"/>
        <v>22366</v>
      </c>
      <c r="B395" s="9" t="s">
        <v>819</v>
      </c>
      <c r="C395" s="91"/>
      <c r="D395" s="91"/>
      <c r="E395" s="16" t="s">
        <v>123</v>
      </c>
      <c r="F395" s="16">
        <v>3</v>
      </c>
      <c r="G395" s="16">
        <f t="shared" si="20"/>
        <v>1</v>
      </c>
      <c r="H395" s="91">
        <v>6</v>
      </c>
      <c r="I395" s="98"/>
    </row>
    <row r="396" spans="1:9" ht="15.95" customHeight="1" x14ac:dyDescent="0.3">
      <c r="A396" s="91">
        <f t="shared" si="21"/>
        <v>22372</v>
      </c>
      <c r="B396" s="9" t="s">
        <v>820</v>
      </c>
      <c r="C396" s="91"/>
      <c r="D396" s="91"/>
      <c r="E396" s="16" t="s">
        <v>123</v>
      </c>
      <c r="F396" s="16">
        <v>3</v>
      </c>
      <c r="G396" s="16">
        <f t="shared" si="20"/>
        <v>1</v>
      </c>
      <c r="H396" s="91">
        <v>6</v>
      </c>
      <c r="I396" s="98"/>
    </row>
    <row r="397" spans="1:9" ht="15.95" customHeight="1" x14ac:dyDescent="0.3">
      <c r="A397" s="91">
        <f t="shared" si="21"/>
        <v>22378</v>
      </c>
      <c r="B397" s="9" t="s">
        <v>821</v>
      </c>
      <c r="C397" s="91"/>
      <c r="D397" s="91"/>
      <c r="E397" s="16" t="s">
        <v>123</v>
      </c>
      <c r="F397" s="16">
        <v>3</v>
      </c>
      <c r="G397" s="16">
        <f t="shared" si="20"/>
        <v>1</v>
      </c>
      <c r="H397" s="91">
        <v>6</v>
      </c>
      <c r="I397" s="98"/>
    </row>
    <row r="398" spans="1:9" ht="15.95" customHeight="1" x14ac:dyDescent="0.3">
      <c r="A398" s="91">
        <f t="shared" si="21"/>
        <v>22384</v>
      </c>
      <c r="B398" s="9" t="s">
        <v>822</v>
      </c>
      <c r="C398" s="91"/>
      <c r="D398" s="91"/>
      <c r="E398" s="16" t="s">
        <v>123</v>
      </c>
      <c r="F398" s="16">
        <v>3</v>
      </c>
      <c r="G398" s="16">
        <f t="shared" si="20"/>
        <v>1</v>
      </c>
      <c r="H398" s="91">
        <v>6</v>
      </c>
      <c r="I398" s="98"/>
    </row>
    <row r="399" spans="1:9" ht="15.95" customHeight="1" x14ac:dyDescent="0.3">
      <c r="A399" s="91">
        <f t="shared" si="21"/>
        <v>22390</v>
      </c>
      <c r="B399" s="9" t="s">
        <v>823</v>
      </c>
      <c r="C399" s="91"/>
      <c r="D399" s="91"/>
      <c r="E399" s="16" t="s">
        <v>123</v>
      </c>
      <c r="F399" s="16">
        <v>3</v>
      </c>
      <c r="G399" s="16">
        <f t="shared" si="20"/>
        <v>1</v>
      </c>
      <c r="H399" s="91">
        <v>6</v>
      </c>
      <c r="I399" s="98"/>
    </row>
    <row r="400" spans="1:9" ht="15.95" customHeight="1" x14ac:dyDescent="0.3">
      <c r="A400" s="91">
        <f t="shared" si="21"/>
        <v>22396</v>
      </c>
      <c r="B400" s="9" t="s">
        <v>824</v>
      </c>
      <c r="C400" s="91"/>
      <c r="D400" s="91"/>
      <c r="E400" s="16" t="s">
        <v>123</v>
      </c>
      <c r="F400" s="16">
        <v>3</v>
      </c>
      <c r="G400" s="16">
        <f t="shared" si="20"/>
        <v>1</v>
      </c>
      <c r="H400" s="91">
        <v>6</v>
      </c>
      <c r="I400" s="98"/>
    </row>
    <row r="401" spans="1:9" ht="15.95" customHeight="1" x14ac:dyDescent="0.3">
      <c r="A401" s="91">
        <f t="shared" si="21"/>
        <v>22402</v>
      </c>
      <c r="B401" s="9" t="s">
        <v>825</v>
      </c>
      <c r="C401" s="91"/>
      <c r="D401" s="91"/>
      <c r="E401" s="16" t="s">
        <v>123</v>
      </c>
      <c r="F401" s="16">
        <v>3</v>
      </c>
      <c r="G401" s="16">
        <f t="shared" si="20"/>
        <v>1</v>
      </c>
      <c r="H401" s="91">
        <v>6</v>
      </c>
      <c r="I401" s="98"/>
    </row>
    <row r="402" spans="1:9" ht="15.95" customHeight="1" x14ac:dyDescent="0.3">
      <c r="A402" s="91">
        <f t="shared" si="21"/>
        <v>22408</v>
      </c>
      <c r="B402" s="9" t="s">
        <v>826</v>
      </c>
      <c r="C402" s="91"/>
      <c r="D402" s="91"/>
      <c r="E402" s="16" t="s">
        <v>123</v>
      </c>
      <c r="F402" s="16">
        <v>3</v>
      </c>
      <c r="G402" s="16">
        <f t="shared" si="20"/>
        <v>1</v>
      </c>
      <c r="H402" s="91">
        <v>6</v>
      </c>
      <c r="I402" s="98"/>
    </row>
    <row r="403" spans="1:9" ht="15.95" customHeight="1" x14ac:dyDescent="0.3">
      <c r="A403" s="91">
        <f t="shared" si="21"/>
        <v>22414</v>
      </c>
      <c r="B403" s="9" t="s">
        <v>827</v>
      </c>
      <c r="C403" s="91"/>
      <c r="D403" s="91"/>
      <c r="E403" s="16" t="s">
        <v>123</v>
      </c>
      <c r="F403" s="16">
        <v>3</v>
      </c>
      <c r="G403" s="16">
        <f t="shared" si="20"/>
        <v>1</v>
      </c>
      <c r="H403" s="91">
        <v>6</v>
      </c>
      <c r="I403" s="98"/>
    </row>
    <row r="404" spans="1:9" ht="15.95" customHeight="1" x14ac:dyDescent="0.3">
      <c r="A404" s="91">
        <f t="shared" si="21"/>
        <v>22420</v>
      </c>
      <c r="B404" s="9" t="s">
        <v>828</v>
      </c>
      <c r="C404" s="91"/>
      <c r="D404" s="91"/>
      <c r="E404" s="16" t="s">
        <v>123</v>
      </c>
      <c r="F404" s="16">
        <v>3</v>
      </c>
      <c r="G404" s="16">
        <f t="shared" si="20"/>
        <v>1</v>
      </c>
      <c r="H404" s="91">
        <v>6</v>
      </c>
      <c r="I404" s="98"/>
    </row>
    <row r="405" spans="1:9" ht="15.95" customHeight="1" x14ac:dyDescent="0.3">
      <c r="A405" s="91">
        <f t="shared" si="21"/>
        <v>22426</v>
      </c>
      <c r="B405" s="9" t="s">
        <v>829</v>
      </c>
      <c r="C405" s="91"/>
      <c r="D405" s="91"/>
      <c r="E405" s="16" t="s">
        <v>123</v>
      </c>
      <c r="F405" s="16">
        <v>3</v>
      </c>
      <c r="G405" s="16">
        <f t="shared" si="20"/>
        <v>1</v>
      </c>
      <c r="H405" s="91">
        <v>6</v>
      </c>
      <c r="I405" s="98"/>
    </row>
    <row r="406" spans="1:9" ht="15.95" customHeight="1" x14ac:dyDescent="0.3">
      <c r="A406" s="91">
        <f t="shared" si="21"/>
        <v>22432</v>
      </c>
      <c r="B406" s="9" t="s">
        <v>830</v>
      </c>
      <c r="C406" s="91"/>
      <c r="D406" s="91"/>
      <c r="E406" s="16" t="s">
        <v>123</v>
      </c>
      <c r="F406" s="16">
        <v>3</v>
      </c>
      <c r="G406" s="16">
        <f t="shared" si="20"/>
        <v>1</v>
      </c>
      <c r="H406" s="91">
        <v>6</v>
      </c>
      <c r="I406" s="98"/>
    </row>
    <row r="407" spans="1:9" ht="15.95" customHeight="1" x14ac:dyDescent="0.3">
      <c r="A407" s="91">
        <f t="shared" si="21"/>
        <v>22438</v>
      </c>
      <c r="B407" s="9" t="s">
        <v>831</v>
      </c>
      <c r="C407" s="91"/>
      <c r="D407" s="91"/>
      <c r="E407" s="16" t="s">
        <v>123</v>
      </c>
      <c r="F407" s="16">
        <v>3</v>
      </c>
      <c r="G407" s="16">
        <f t="shared" si="20"/>
        <v>1</v>
      </c>
      <c r="H407" s="91">
        <v>6</v>
      </c>
      <c r="I407" s="98"/>
    </row>
    <row r="408" spans="1:9" ht="15.95" customHeight="1" x14ac:dyDescent="0.3">
      <c r="A408" s="91">
        <f t="shared" si="21"/>
        <v>22444</v>
      </c>
      <c r="B408" s="9" t="s">
        <v>832</v>
      </c>
      <c r="C408" s="91"/>
      <c r="D408" s="91"/>
      <c r="E408" s="16" t="s">
        <v>123</v>
      </c>
      <c r="F408" s="16">
        <v>3</v>
      </c>
      <c r="G408" s="16">
        <f t="shared" si="20"/>
        <v>1</v>
      </c>
      <c r="H408" s="91">
        <v>6</v>
      </c>
      <c r="I408" s="98"/>
    </row>
    <row r="409" spans="1:9" ht="15.95" customHeight="1" x14ac:dyDescent="0.3">
      <c r="A409" s="91">
        <f t="shared" si="21"/>
        <v>22450</v>
      </c>
      <c r="B409" s="9" t="s">
        <v>833</v>
      </c>
      <c r="C409" s="91"/>
      <c r="D409" s="91"/>
      <c r="E409" s="16" t="s">
        <v>123</v>
      </c>
      <c r="F409" s="16">
        <v>3</v>
      </c>
      <c r="G409" s="16">
        <f t="shared" si="20"/>
        <v>1</v>
      </c>
      <c r="H409" s="91">
        <v>6</v>
      </c>
      <c r="I409" s="98"/>
    </row>
    <row r="410" spans="1:9" ht="15.95" customHeight="1" x14ac:dyDescent="0.3">
      <c r="A410" s="91">
        <f t="shared" si="21"/>
        <v>22456</v>
      </c>
      <c r="B410" s="9" t="s">
        <v>834</v>
      </c>
      <c r="C410" s="91"/>
      <c r="D410" s="91"/>
      <c r="E410" s="16" t="s">
        <v>123</v>
      </c>
      <c r="F410" s="16">
        <v>3</v>
      </c>
      <c r="G410" s="16">
        <f t="shared" si="20"/>
        <v>1</v>
      </c>
      <c r="H410" s="91">
        <v>6</v>
      </c>
      <c r="I410" s="98"/>
    </row>
    <row r="411" spans="1:9" ht="15.95" customHeight="1" x14ac:dyDescent="0.3">
      <c r="A411" s="91">
        <f t="shared" si="21"/>
        <v>22462</v>
      </c>
      <c r="B411" s="9" t="s">
        <v>835</v>
      </c>
      <c r="C411" s="91"/>
      <c r="D411" s="91"/>
      <c r="E411" s="16" t="s">
        <v>123</v>
      </c>
      <c r="F411" s="16">
        <v>3</v>
      </c>
      <c r="G411" s="16">
        <f t="shared" si="20"/>
        <v>1</v>
      </c>
      <c r="H411" s="91">
        <v>6</v>
      </c>
      <c r="I411" s="98"/>
    </row>
    <row r="412" spans="1:9" ht="15.95" customHeight="1" x14ac:dyDescent="0.3">
      <c r="A412" s="91">
        <f t="shared" si="21"/>
        <v>22468</v>
      </c>
      <c r="B412" s="9" t="s">
        <v>836</v>
      </c>
      <c r="C412" s="91"/>
      <c r="D412" s="91"/>
      <c r="E412" s="16" t="s">
        <v>123</v>
      </c>
      <c r="F412" s="16">
        <v>3</v>
      </c>
      <c r="G412" s="16">
        <f t="shared" si="20"/>
        <v>1</v>
      </c>
      <c r="H412" s="91">
        <v>6</v>
      </c>
      <c r="I412" s="98"/>
    </row>
    <row r="413" spans="1:9" ht="15.95" customHeight="1" x14ac:dyDescent="0.3">
      <c r="A413" s="91">
        <f t="shared" si="21"/>
        <v>22474</v>
      </c>
      <c r="B413" s="9" t="s">
        <v>837</v>
      </c>
      <c r="C413" s="91"/>
      <c r="D413" s="91"/>
      <c r="E413" s="16" t="s">
        <v>123</v>
      </c>
      <c r="F413" s="16">
        <v>3</v>
      </c>
      <c r="G413" s="16">
        <f t="shared" si="20"/>
        <v>1</v>
      </c>
      <c r="H413" s="91">
        <v>6</v>
      </c>
      <c r="I413" s="98"/>
    </row>
    <row r="414" spans="1:9" ht="15.95" customHeight="1" x14ac:dyDescent="0.3">
      <c r="A414" s="91">
        <f t="shared" si="21"/>
        <v>22480</v>
      </c>
      <c r="B414" s="9" t="s">
        <v>838</v>
      </c>
      <c r="C414" s="91"/>
      <c r="D414" s="91"/>
      <c r="E414" s="16" t="s">
        <v>123</v>
      </c>
      <c r="F414" s="16">
        <v>3</v>
      </c>
      <c r="G414" s="16">
        <f t="shared" si="20"/>
        <v>1</v>
      </c>
      <c r="H414" s="91">
        <v>6</v>
      </c>
      <c r="I414" s="98"/>
    </row>
    <row r="415" spans="1:9" ht="15.95" customHeight="1" x14ac:dyDescent="0.3">
      <c r="A415" s="91">
        <f t="shared" si="21"/>
        <v>22486</v>
      </c>
      <c r="B415" s="9" t="s">
        <v>839</v>
      </c>
      <c r="C415" s="91"/>
      <c r="D415" s="91"/>
      <c r="E415" s="16" t="s">
        <v>123</v>
      </c>
      <c r="F415" s="16">
        <v>3</v>
      </c>
      <c r="G415" s="16">
        <f t="shared" si="20"/>
        <v>1</v>
      </c>
      <c r="H415" s="91">
        <v>6</v>
      </c>
      <c r="I415" s="98"/>
    </row>
    <row r="416" spans="1:9" ht="15.95" customHeight="1" x14ac:dyDescent="0.3">
      <c r="A416" s="91">
        <f t="shared" si="21"/>
        <v>22492</v>
      </c>
      <c r="B416" s="9" t="s">
        <v>840</v>
      </c>
      <c r="C416" s="91"/>
      <c r="D416" s="91"/>
      <c r="E416" s="16" t="s">
        <v>123</v>
      </c>
      <c r="F416" s="16">
        <v>3</v>
      </c>
      <c r="G416" s="16">
        <f t="shared" si="20"/>
        <v>1</v>
      </c>
      <c r="H416" s="91">
        <v>6</v>
      </c>
      <c r="I416" s="98"/>
    </row>
    <row r="417" spans="1:9" ht="15.95" customHeight="1" x14ac:dyDescent="0.3">
      <c r="A417" s="91">
        <f t="shared" si="21"/>
        <v>22498</v>
      </c>
      <c r="B417" s="9" t="s">
        <v>841</v>
      </c>
      <c r="C417" s="91"/>
      <c r="D417" s="91"/>
      <c r="E417" s="16" t="s">
        <v>123</v>
      </c>
      <c r="F417" s="16">
        <v>3</v>
      </c>
      <c r="G417" s="16">
        <f t="shared" si="20"/>
        <v>1</v>
      </c>
      <c r="H417" s="91">
        <v>6</v>
      </c>
      <c r="I417" s="98"/>
    </row>
    <row r="418" spans="1:9" ht="15.95" customHeight="1" x14ac:dyDescent="0.3">
      <c r="A418" s="91">
        <f t="shared" si="21"/>
        <v>22504</v>
      </c>
      <c r="B418" s="9" t="s">
        <v>842</v>
      </c>
      <c r="C418" s="91"/>
      <c r="D418" s="91"/>
      <c r="E418" s="16" t="s">
        <v>123</v>
      </c>
      <c r="F418" s="16">
        <v>3</v>
      </c>
      <c r="G418" s="16">
        <f t="shared" si="20"/>
        <v>1</v>
      </c>
      <c r="H418" s="91">
        <v>6</v>
      </c>
      <c r="I418" s="98"/>
    </row>
    <row r="419" spans="1:9" ht="15.95" customHeight="1" x14ac:dyDescent="0.3">
      <c r="A419" s="91">
        <f t="shared" si="21"/>
        <v>22510</v>
      </c>
      <c r="B419" s="9" t="s">
        <v>843</v>
      </c>
      <c r="C419" s="91"/>
      <c r="D419" s="91"/>
      <c r="E419" s="16" t="s">
        <v>123</v>
      </c>
      <c r="F419" s="16">
        <v>3</v>
      </c>
      <c r="G419" s="16">
        <f t="shared" si="20"/>
        <v>1</v>
      </c>
      <c r="H419" s="91">
        <v>6</v>
      </c>
      <c r="I419" s="98"/>
    </row>
    <row r="420" spans="1:9" ht="15.95" customHeight="1" x14ac:dyDescent="0.3">
      <c r="A420" s="91">
        <f t="shared" si="21"/>
        <v>22516</v>
      </c>
      <c r="B420" s="9" t="s">
        <v>844</v>
      </c>
      <c r="C420" s="91"/>
      <c r="D420" s="91"/>
      <c r="E420" s="16" t="s">
        <v>123</v>
      </c>
      <c r="F420" s="16">
        <v>3</v>
      </c>
      <c r="G420" s="16">
        <f t="shared" si="20"/>
        <v>1</v>
      </c>
      <c r="H420" s="91">
        <v>6</v>
      </c>
      <c r="I420" s="98"/>
    </row>
    <row r="421" spans="1:9" ht="15.95" customHeight="1" x14ac:dyDescent="0.3">
      <c r="A421" s="91">
        <f t="shared" si="21"/>
        <v>22522</v>
      </c>
      <c r="B421" s="9" t="s">
        <v>845</v>
      </c>
      <c r="C421" s="91"/>
      <c r="D421" s="91"/>
      <c r="E421" s="16" t="s">
        <v>123</v>
      </c>
      <c r="F421" s="16">
        <v>3</v>
      </c>
      <c r="G421" s="16">
        <f t="shared" si="20"/>
        <v>1</v>
      </c>
      <c r="H421" s="91">
        <v>6</v>
      </c>
      <c r="I421" s="98"/>
    </row>
    <row r="422" spans="1:9" ht="15.95" customHeight="1" x14ac:dyDescent="0.3">
      <c r="A422" s="91">
        <f t="shared" si="21"/>
        <v>22528</v>
      </c>
      <c r="B422" s="9" t="s">
        <v>846</v>
      </c>
      <c r="C422" s="91"/>
      <c r="D422" s="91"/>
      <c r="E422" s="16" t="s">
        <v>123</v>
      </c>
      <c r="F422" s="16">
        <v>3</v>
      </c>
      <c r="G422" s="16">
        <f t="shared" si="20"/>
        <v>1</v>
      </c>
      <c r="H422" s="91">
        <v>6</v>
      </c>
      <c r="I422" s="98"/>
    </row>
    <row r="423" spans="1:9" ht="15.95" customHeight="1" x14ac:dyDescent="0.3">
      <c r="A423" s="91">
        <f t="shared" si="21"/>
        <v>22534</v>
      </c>
      <c r="B423" s="9" t="s">
        <v>847</v>
      </c>
      <c r="C423" s="91"/>
      <c r="D423" s="91"/>
      <c r="E423" s="16" t="s">
        <v>123</v>
      </c>
      <c r="F423" s="16">
        <v>3</v>
      </c>
      <c r="G423" s="16">
        <f t="shared" si="20"/>
        <v>1</v>
      </c>
      <c r="H423" s="91">
        <v>6</v>
      </c>
      <c r="I423" s="98"/>
    </row>
    <row r="424" spans="1:9" ht="15.95" customHeight="1" x14ac:dyDescent="0.3">
      <c r="A424" s="91">
        <f t="shared" si="21"/>
        <v>22540</v>
      </c>
      <c r="B424" s="9" t="s">
        <v>848</v>
      </c>
      <c r="C424" s="91"/>
      <c r="D424" s="91"/>
      <c r="E424" s="16" t="s">
        <v>123</v>
      </c>
      <c r="F424" s="16">
        <v>3</v>
      </c>
      <c r="G424" s="16">
        <f t="shared" si="20"/>
        <v>1</v>
      </c>
      <c r="H424" s="91">
        <v>6</v>
      </c>
      <c r="I424" s="98"/>
    </row>
    <row r="425" spans="1:9" ht="15.95" customHeight="1" x14ac:dyDescent="0.3">
      <c r="A425" s="91">
        <f t="shared" si="21"/>
        <v>22546</v>
      </c>
      <c r="B425" s="9" t="s">
        <v>849</v>
      </c>
      <c r="C425" s="91"/>
      <c r="D425" s="91"/>
      <c r="E425" s="16" t="s">
        <v>209</v>
      </c>
      <c r="F425" s="16">
        <v>3</v>
      </c>
      <c r="G425" s="16">
        <f t="shared" si="20"/>
        <v>2</v>
      </c>
      <c r="H425" s="91">
        <v>1</v>
      </c>
      <c r="I425" s="98"/>
    </row>
    <row r="426" spans="1:9" ht="15.95" customHeight="1" x14ac:dyDescent="0.3">
      <c r="A426" s="91">
        <f t="shared" si="21"/>
        <v>22548</v>
      </c>
      <c r="B426" s="9" t="s">
        <v>1059</v>
      </c>
      <c r="C426" s="91" t="s">
        <v>1060</v>
      </c>
      <c r="D426" s="91"/>
      <c r="E426" s="16" t="s">
        <v>123</v>
      </c>
      <c r="F426" s="16">
        <v>3</v>
      </c>
      <c r="G426" s="16">
        <f>IF(OR(E426="U16", E426="S16"),1,IF(E426="TS",6,2))</f>
        <v>1</v>
      </c>
      <c r="H426" s="91">
        <v>1</v>
      </c>
      <c r="I426" s="98"/>
    </row>
    <row r="427" spans="1:9" ht="15.95" customHeight="1" x14ac:dyDescent="0.3">
      <c r="A427" s="91">
        <f t="shared" si="21"/>
        <v>22549</v>
      </c>
      <c r="B427" s="9"/>
      <c r="C427" s="91"/>
      <c r="D427" s="91"/>
      <c r="E427" s="16" t="s">
        <v>123</v>
      </c>
      <c r="F427" s="16">
        <v>3</v>
      </c>
      <c r="G427" s="16">
        <f>IF(OR(E427="U16", E427="S16"),1,IF(E427="TS",6,2))</f>
        <v>1</v>
      </c>
      <c r="H427" s="91">
        <v>1</v>
      </c>
      <c r="I427" s="98"/>
    </row>
    <row r="428" spans="1:9" ht="15.95" customHeight="1" x14ac:dyDescent="0.3">
      <c r="A428" s="122" t="s">
        <v>439</v>
      </c>
      <c r="B428" s="122"/>
      <c r="C428" s="122"/>
      <c r="D428" s="122"/>
      <c r="E428" s="122"/>
      <c r="F428" s="122"/>
      <c r="G428" s="122"/>
      <c r="H428" s="122"/>
      <c r="I428" s="104"/>
    </row>
    <row r="429" spans="1:9" ht="15.95" customHeight="1" x14ac:dyDescent="0.3">
      <c r="A429" s="91">
        <f>A427+(G427*H427)</f>
        <v>22550</v>
      </c>
      <c r="B429" s="9" t="s">
        <v>269</v>
      </c>
      <c r="C429" s="91" t="s">
        <v>850</v>
      </c>
      <c r="D429" s="91"/>
      <c r="E429" s="16" t="s">
        <v>123</v>
      </c>
      <c r="F429" s="16">
        <v>3</v>
      </c>
      <c r="G429" s="16">
        <f t="shared" ref="G429:G468" si="22">IF(OR(E429="U16", E429="S16"),1,IF(E429="TS",6,2))</f>
        <v>1</v>
      </c>
      <c r="H429" s="91">
        <v>1</v>
      </c>
      <c r="I429" s="98"/>
    </row>
    <row r="430" spans="1:9" ht="15.95" customHeight="1" x14ac:dyDescent="0.3">
      <c r="A430" s="91">
        <f t="shared" ref="A430:A469" si="23">A429+(G429*H429)</f>
        <v>22551</v>
      </c>
      <c r="B430" s="9" t="s">
        <v>270</v>
      </c>
      <c r="C430" s="91" t="s">
        <v>850</v>
      </c>
      <c r="D430" s="91"/>
      <c r="E430" s="16" t="s">
        <v>123</v>
      </c>
      <c r="F430" s="16">
        <v>3</v>
      </c>
      <c r="G430" s="16">
        <f t="shared" si="22"/>
        <v>1</v>
      </c>
      <c r="H430" s="91">
        <v>1</v>
      </c>
      <c r="I430" s="98"/>
    </row>
    <row r="431" spans="1:9" ht="15.95" customHeight="1" x14ac:dyDescent="0.3">
      <c r="A431" s="91">
        <f t="shared" si="23"/>
        <v>22552</v>
      </c>
      <c r="B431" s="9" t="s">
        <v>271</v>
      </c>
      <c r="C431" s="91" t="s">
        <v>851</v>
      </c>
      <c r="D431" s="91"/>
      <c r="E431" s="16" t="s">
        <v>123</v>
      </c>
      <c r="F431" s="16">
        <v>3</v>
      </c>
      <c r="G431" s="16">
        <f t="shared" si="22"/>
        <v>1</v>
      </c>
      <c r="H431" s="91">
        <v>1</v>
      </c>
      <c r="I431" s="98"/>
    </row>
    <row r="432" spans="1:9" ht="15.95" customHeight="1" x14ac:dyDescent="0.3">
      <c r="A432" s="91">
        <f t="shared" si="23"/>
        <v>22553</v>
      </c>
      <c r="B432" s="9" t="s">
        <v>1123</v>
      </c>
      <c r="C432" s="91"/>
      <c r="D432" s="91"/>
      <c r="E432" s="16" t="s">
        <v>123</v>
      </c>
      <c r="F432" s="16">
        <v>3</v>
      </c>
      <c r="G432" s="16">
        <f t="shared" si="22"/>
        <v>1</v>
      </c>
      <c r="H432" s="91">
        <v>1</v>
      </c>
      <c r="I432" s="98"/>
    </row>
    <row r="433" spans="1:10" ht="15.95" customHeight="1" x14ac:dyDescent="0.3">
      <c r="A433" s="102">
        <f>A432+(G432*H432)</f>
        <v>22554</v>
      </c>
      <c r="B433" s="143" t="s">
        <v>852</v>
      </c>
      <c r="C433" s="62" t="s">
        <v>853</v>
      </c>
      <c r="D433" s="102"/>
      <c r="E433" s="102" t="s">
        <v>91</v>
      </c>
      <c r="F433" s="102">
        <v>3</v>
      </c>
      <c r="G433" s="102">
        <f t="shared" si="22"/>
        <v>2</v>
      </c>
      <c r="H433" s="102">
        <v>1</v>
      </c>
      <c r="I433" s="108"/>
      <c r="J433" s="96" t="s">
        <v>530</v>
      </c>
    </row>
    <row r="434" spans="1:10" ht="15.95" customHeight="1" x14ac:dyDescent="0.3">
      <c r="A434" s="102">
        <f>A433+(G433*H433)</f>
        <v>22556</v>
      </c>
      <c r="B434" s="143"/>
      <c r="C434" s="62" t="s">
        <v>854</v>
      </c>
      <c r="D434" s="102"/>
      <c r="E434" s="102" t="s">
        <v>123</v>
      </c>
      <c r="F434" s="102">
        <v>3</v>
      </c>
      <c r="G434" s="102">
        <v>1</v>
      </c>
      <c r="H434" s="102">
        <v>1</v>
      </c>
      <c r="I434" s="108"/>
    </row>
    <row r="435" spans="1:10" ht="15.95" customHeight="1" x14ac:dyDescent="0.3">
      <c r="A435" s="102">
        <f>A434+(G434*H434)</f>
        <v>22557</v>
      </c>
      <c r="B435" s="143"/>
      <c r="C435" s="62" t="s">
        <v>855</v>
      </c>
      <c r="D435" s="102"/>
      <c r="E435" s="102" t="s">
        <v>123</v>
      </c>
      <c r="F435" s="102">
        <v>3</v>
      </c>
      <c r="G435" s="102">
        <f t="shared" si="22"/>
        <v>1</v>
      </c>
      <c r="H435" s="102">
        <v>1</v>
      </c>
      <c r="I435" s="108"/>
    </row>
    <row r="436" spans="1:10" ht="15.95" customHeight="1" x14ac:dyDescent="0.3">
      <c r="A436" s="102">
        <f>A435+(G435*H435)</f>
        <v>22558</v>
      </c>
      <c r="B436" s="143"/>
      <c r="C436" s="62" t="s">
        <v>856</v>
      </c>
      <c r="D436" s="102"/>
      <c r="E436" s="102" t="s">
        <v>437</v>
      </c>
      <c r="F436" s="102">
        <v>3</v>
      </c>
      <c r="G436" s="102">
        <f>IF(OR(E436="U16", E436="S16"),1,IF(E436="TS",6,2))</f>
        <v>2</v>
      </c>
      <c r="H436" s="102">
        <v>1</v>
      </c>
      <c r="I436" s="108"/>
    </row>
    <row r="437" spans="1:10" ht="15.95" customHeight="1" x14ac:dyDescent="0.3">
      <c r="A437" s="102">
        <f>A436+(G436*H436)</f>
        <v>22560</v>
      </c>
      <c r="B437" s="143"/>
      <c r="C437" s="62" t="s">
        <v>857</v>
      </c>
      <c r="D437" s="102"/>
      <c r="E437" s="102" t="s">
        <v>437</v>
      </c>
      <c r="F437" s="102">
        <v>3</v>
      </c>
      <c r="G437" s="102">
        <f t="shared" si="22"/>
        <v>2</v>
      </c>
      <c r="H437" s="102">
        <v>1</v>
      </c>
      <c r="I437" s="108"/>
    </row>
    <row r="438" spans="1:10" ht="15.95" customHeight="1" x14ac:dyDescent="0.3">
      <c r="A438" s="91">
        <f t="shared" si="23"/>
        <v>22562</v>
      </c>
      <c r="B438" s="9" t="s">
        <v>858</v>
      </c>
      <c r="C438" s="91"/>
      <c r="D438" s="91"/>
      <c r="E438" s="16" t="s">
        <v>123</v>
      </c>
      <c r="F438" s="16">
        <v>3</v>
      </c>
      <c r="G438" s="16">
        <f t="shared" si="22"/>
        <v>1</v>
      </c>
      <c r="H438" s="91">
        <v>8</v>
      </c>
      <c r="I438" s="98"/>
    </row>
    <row r="439" spans="1:10" ht="15.95" customHeight="1" x14ac:dyDescent="0.3">
      <c r="A439" s="91">
        <f t="shared" si="23"/>
        <v>22570</v>
      </c>
      <c r="B439" s="9" t="s">
        <v>859</v>
      </c>
      <c r="C439" s="91"/>
      <c r="D439" s="91"/>
      <c r="E439" s="16" t="s">
        <v>123</v>
      </c>
      <c r="F439" s="16">
        <v>3</v>
      </c>
      <c r="G439" s="16">
        <f t="shared" si="22"/>
        <v>1</v>
      </c>
      <c r="H439" s="91">
        <v>8</v>
      </c>
      <c r="I439" s="98"/>
    </row>
    <row r="440" spans="1:10" ht="15.95" customHeight="1" x14ac:dyDescent="0.3">
      <c r="A440" s="91">
        <f t="shared" si="23"/>
        <v>22578</v>
      </c>
      <c r="B440" s="9" t="s">
        <v>860</v>
      </c>
      <c r="C440" s="91"/>
      <c r="D440" s="91"/>
      <c r="E440" s="16" t="s">
        <v>123</v>
      </c>
      <c r="F440" s="16">
        <v>3</v>
      </c>
      <c r="G440" s="16">
        <f t="shared" si="22"/>
        <v>1</v>
      </c>
      <c r="H440" s="91">
        <v>8</v>
      </c>
      <c r="I440" s="98"/>
    </row>
    <row r="441" spans="1:10" ht="15.95" customHeight="1" x14ac:dyDescent="0.3">
      <c r="A441" s="91">
        <f t="shared" si="23"/>
        <v>22586</v>
      </c>
      <c r="B441" s="9" t="s">
        <v>861</v>
      </c>
      <c r="C441" s="91"/>
      <c r="D441" s="91"/>
      <c r="E441" s="16" t="s">
        <v>123</v>
      </c>
      <c r="F441" s="16">
        <v>3</v>
      </c>
      <c r="G441" s="16">
        <f t="shared" si="22"/>
        <v>1</v>
      </c>
      <c r="H441" s="91">
        <v>8</v>
      </c>
      <c r="I441" s="98"/>
    </row>
    <row r="442" spans="1:10" ht="15.95" customHeight="1" x14ac:dyDescent="0.3">
      <c r="A442" s="91">
        <f t="shared" si="23"/>
        <v>22594</v>
      </c>
      <c r="B442" s="9" t="s">
        <v>862</v>
      </c>
      <c r="C442" s="91"/>
      <c r="D442" s="91"/>
      <c r="E442" s="16" t="s">
        <v>123</v>
      </c>
      <c r="F442" s="16">
        <v>3</v>
      </c>
      <c r="G442" s="16">
        <f t="shared" si="22"/>
        <v>1</v>
      </c>
      <c r="H442" s="91">
        <v>8</v>
      </c>
      <c r="I442" s="98"/>
    </row>
    <row r="443" spans="1:10" ht="15.95" customHeight="1" x14ac:dyDescent="0.3">
      <c r="A443" s="91">
        <f t="shared" si="23"/>
        <v>22602</v>
      </c>
      <c r="B443" s="9" t="s">
        <v>863</v>
      </c>
      <c r="C443" s="91"/>
      <c r="D443" s="91"/>
      <c r="E443" s="16" t="s">
        <v>123</v>
      </c>
      <c r="F443" s="16">
        <v>3</v>
      </c>
      <c r="G443" s="16">
        <f t="shared" si="22"/>
        <v>1</v>
      </c>
      <c r="H443" s="91">
        <v>8</v>
      </c>
      <c r="I443" s="98"/>
    </row>
    <row r="444" spans="1:10" ht="15.95" customHeight="1" x14ac:dyDescent="0.3">
      <c r="A444" s="91">
        <f t="shared" si="23"/>
        <v>22610</v>
      </c>
      <c r="B444" s="9" t="s">
        <v>864</v>
      </c>
      <c r="C444" s="91"/>
      <c r="D444" s="91"/>
      <c r="E444" s="16" t="s">
        <v>123</v>
      </c>
      <c r="F444" s="16">
        <v>3</v>
      </c>
      <c r="G444" s="16">
        <f t="shared" si="22"/>
        <v>1</v>
      </c>
      <c r="H444" s="91">
        <v>8</v>
      </c>
      <c r="I444" s="98"/>
    </row>
    <row r="445" spans="1:10" ht="15.95" customHeight="1" x14ac:dyDescent="0.3">
      <c r="A445" s="91">
        <f t="shared" si="23"/>
        <v>22618</v>
      </c>
      <c r="B445" s="9" t="s">
        <v>865</v>
      </c>
      <c r="C445" s="91"/>
      <c r="D445" s="91"/>
      <c r="E445" s="16" t="s">
        <v>123</v>
      </c>
      <c r="F445" s="16">
        <v>3</v>
      </c>
      <c r="G445" s="16">
        <f t="shared" si="22"/>
        <v>1</v>
      </c>
      <c r="H445" s="91">
        <v>8</v>
      </c>
      <c r="I445" s="98"/>
    </row>
    <row r="446" spans="1:10" ht="15.95" customHeight="1" x14ac:dyDescent="0.3">
      <c r="A446" s="91">
        <f t="shared" si="23"/>
        <v>22626</v>
      </c>
      <c r="B446" s="9" t="s">
        <v>866</v>
      </c>
      <c r="C446" s="91"/>
      <c r="D446" s="91"/>
      <c r="E446" s="16" t="s">
        <v>123</v>
      </c>
      <c r="F446" s="16">
        <v>3</v>
      </c>
      <c r="G446" s="16">
        <f t="shared" si="22"/>
        <v>1</v>
      </c>
      <c r="H446" s="91">
        <v>8</v>
      </c>
      <c r="I446" s="98"/>
    </row>
    <row r="447" spans="1:10" ht="15.95" customHeight="1" x14ac:dyDescent="0.3">
      <c r="A447" s="91">
        <f t="shared" si="23"/>
        <v>22634</v>
      </c>
      <c r="B447" s="9" t="s">
        <v>867</v>
      </c>
      <c r="C447" s="91"/>
      <c r="D447" s="91"/>
      <c r="E447" s="16" t="s">
        <v>123</v>
      </c>
      <c r="F447" s="16">
        <v>3</v>
      </c>
      <c r="G447" s="16">
        <f t="shared" si="22"/>
        <v>1</v>
      </c>
      <c r="H447" s="91">
        <v>8</v>
      </c>
      <c r="I447" s="98"/>
    </row>
    <row r="448" spans="1:10" ht="15.95" customHeight="1" x14ac:dyDescent="0.3">
      <c r="A448" s="91">
        <f t="shared" si="23"/>
        <v>22642</v>
      </c>
      <c r="B448" s="9" t="s">
        <v>868</v>
      </c>
      <c r="C448" s="91"/>
      <c r="D448" s="91"/>
      <c r="E448" s="16" t="s">
        <v>123</v>
      </c>
      <c r="F448" s="16">
        <v>3</v>
      </c>
      <c r="G448" s="16">
        <f t="shared" si="22"/>
        <v>1</v>
      </c>
      <c r="H448" s="91">
        <v>8</v>
      </c>
      <c r="I448" s="98"/>
    </row>
    <row r="449" spans="1:9" ht="15.95" customHeight="1" x14ac:dyDescent="0.3">
      <c r="A449" s="91">
        <f t="shared" si="23"/>
        <v>22650</v>
      </c>
      <c r="B449" s="9" t="s">
        <v>869</v>
      </c>
      <c r="C449" s="91"/>
      <c r="D449" s="91"/>
      <c r="E449" s="16" t="s">
        <v>123</v>
      </c>
      <c r="F449" s="16">
        <v>3</v>
      </c>
      <c r="G449" s="16">
        <f t="shared" si="22"/>
        <v>1</v>
      </c>
      <c r="H449" s="91">
        <v>8</v>
      </c>
      <c r="I449" s="98"/>
    </row>
    <row r="450" spans="1:9" ht="15.95" customHeight="1" x14ac:dyDescent="0.3">
      <c r="A450" s="91">
        <f t="shared" si="23"/>
        <v>22658</v>
      </c>
      <c r="B450" s="9" t="s">
        <v>870</v>
      </c>
      <c r="C450" s="91"/>
      <c r="D450" s="91"/>
      <c r="E450" s="16" t="s">
        <v>123</v>
      </c>
      <c r="F450" s="16">
        <v>3</v>
      </c>
      <c r="G450" s="16">
        <f t="shared" si="22"/>
        <v>1</v>
      </c>
      <c r="H450" s="91">
        <v>8</v>
      </c>
      <c r="I450" s="98"/>
    </row>
    <row r="451" spans="1:9" ht="15.95" customHeight="1" x14ac:dyDescent="0.3">
      <c r="A451" s="91">
        <f t="shared" si="23"/>
        <v>22666</v>
      </c>
      <c r="B451" s="9" t="s">
        <v>871</v>
      </c>
      <c r="C451" s="91"/>
      <c r="D451" s="91"/>
      <c r="E451" s="16" t="s">
        <v>123</v>
      </c>
      <c r="F451" s="16">
        <v>3</v>
      </c>
      <c r="G451" s="16">
        <f t="shared" si="22"/>
        <v>1</v>
      </c>
      <c r="H451" s="91">
        <v>8</v>
      </c>
      <c r="I451" s="98"/>
    </row>
    <row r="452" spans="1:9" ht="15.95" customHeight="1" x14ac:dyDescent="0.3">
      <c r="A452" s="91">
        <f t="shared" si="23"/>
        <v>22674</v>
      </c>
      <c r="B452" s="9" t="s">
        <v>872</v>
      </c>
      <c r="C452" s="91"/>
      <c r="D452" s="91"/>
      <c r="E452" s="16" t="s">
        <v>123</v>
      </c>
      <c r="F452" s="16">
        <v>3</v>
      </c>
      <c r="G452" s="16">
        <f t="shared" si="22"/>
        <v>1</v>
      </c>
      <c r="H452" s="91">
        <v>8</v>
      </c>
      <c r="I452" s="98"/>
    </row>
    <row r="453" spans="1:9" ht="15.95" customHeight="1" x14ac:dyDescent="0.3">
      <c r="A453" s="91">
        <f t="shared" si="23"/>
        <v>22682</v>
      </c>
      <c r="B453" s="9" t="s">
        <v>873</v>
      </c>
      <c r="C453" s="91"/>
      <c r="D453" s="91"/>
      <c r="E453" s="16" t="s">
        <v>123</v>
      </c>
      <c r="F453" s="16">
        <v>3</v>
      </c>
      <c r="G453" s="16">
        <f t="shared" si="22"/>
        <v>1</v>
      </c>
      <c r="H453" s="91">
        <v>8</v>
      </c>
      <c r="I453" s="98"/>
    </row>
    <row r="454" spans="1:9" ht="15.95" customHeight="1" x14ac:dyDescent="0.3">
      <c r="A454" s="91">
        <f t="shared" si="23"/>
        <v>22690</v>
      </c>
      <c r="B454" s="9" t="s">
        <v>874</v>
      </c>
      <c r="C454" s="91"/>
      <c r="D454" s="91"/>
      <c r="E454" s="16" t="s">
        <v>123</v>
      </c>
      <c r="F454" s="16">
        <v>3</v>
      </c>
      <c r="G454" s="16">
        <f t="shared" si="22"/>
        <v>1</v>
      </c>
      <c r="H454" s="91">
        <v>8</v>
      </c>
      <c r="I454" s="98"/>
    </row>
    <row r="455" spans="1:9" ht="15.95" customHeight="1" x14ac:dyDescent="0.3">
      <c r="A455" s="91">
        <f t="shared" si="23"/>
        <v>22698</v>
      </c>
      <c r="B455" s="9" t="s">
        <v>875</v>
      </c>
      <c r="C455" s="91"/>
      <c r="D455" s="91"/>
      <c r="E455" s="16" t="s">
        <v>123</v>
      </c>
      <c r="F455" s="16">
        <v>3</v>
      </c>
      <c r="G455" s="16">
        <f t="shared" si="22"/>
        <v>1</v>
      </c>
      <c r="H455" s="91">
        <v>8</v>
      </c>
      <c r="I455" s="98"/>
    </row>
    <row r="456" spans="1:9" ht="15.95" customHeight="1" x14ac:dyDescent="0.3">
      <c r="A456" s="91">
        <f t="shared" si="23"/>
        <v>22706</v>
      </c>
      <c r="B456" s="9" t="s">
        <v>876</v>
      </c>
      <c r="C456" s="91"/>
      <c r="D456" s="91"/>
      <c r="E456" s="16" t="s">
        <v>123</v>
      </c>
      <c r="F456" s="16">
        <v>3</v>
      </c>
      <c r="G456" s="16">
        <f t="shared" si="22"/>
        <v>1</v>
      </c>
      <c r="H456" s="91">
        <v>8</v>
      </c>
      <c r="I456" s="98"/>
    </row>
    <row r="457" spans="1:9" ht="15.95" customHeight="1" x14ac:dyDescent="0.3">
      <c r="A457" s="91">
        <f t="shared" si="23"/>
        <v>22714</v>
      </c>
      <c r="B457" s="9" t="s">
        <v>877</v>
      </c>
      <c r="C457" s="91"/>
      <c r="D457" s="91"/>
      <c r="E457" s="16" t="s">
        <v>123</v>
      </c>
      <c r="F457" s="16">
        <v>3</v>
      </c>
      <c r="G457" s="16">
        <f t="shared" si="22"/>
        <v>1</v>
      </c>
      <c r="H457" s="91">
        <v>8</v>
      </c>
      <c r="I457" s="98"/>
    </row>
    <row r="458" spans="1:9" ht="15.95" customHeight="1" x14ac:dyDescent="0.3">
      <c r="A458" s="91">
        <f t="shared" si="23"/>
        <v>22722</v>
      </c>
      <c r="B458" s="9" t="s">
        <v>878</v>
      </c>
      <c r="C458" s="91"/>
      <c r="D458" s="91"/>
      <c r="E458" s="16" t="s">
        <v>123</v>
      </c>
      <c r="F458" s="16">
        <v>3</v>
      </c>
      <c r="G458" s="16">
        <f t="shared" si="22"/>
        <v>1</v>
      </c>
      <c r="H458" s="91">
        <v>8</v>
      </c>
      <c r="I458" s="98"/>
    </row>
    <row r="459" spans="1:9" ht="15.95" customHeight="1" x14ac:dyDescent="0.3">
      <c r="A459" s="91">
        <f t="shared" si="23"/>
        <v>22730</v>
      </c>
      <c r="B459" s="9" t="s">
        <v>879</v>
      </c>
      <c r="C459" s="91"/>
      <c r="D459" s="91"/>
      <c r="E459" s="16" t="s">
        <v>123</v>
      </c>
      <c r="F459" s="16">
        <v>3</v>
      </c>
      <c r="G459" s="16">
        <f t="shared" si="22"/>
        <v>1</v>
      </c>
      <c r="H459" s="91">
        <v>8</v>
      </c>
      <c r="I459" s="98"/>
    </row>
    <row r="460" spans="1:9" ht="15.95" customHeight="1" x14ac:dyDescent="0.3">
      <c r="A460" s="91">
        <f t="shared" si="23"/>
        <v>22738</v>
      </c>
      <c r="B460" s="9" t="s">
        <v>880</v>
      </c>
      <c r="C460" s="91"/>
      <c r="D460" s="91"/>
      <c r="E460" s="16" t="s">
        <v>123</v>
      </c>
      <c r="F460" s="16">
        <v>3</v>
      </c>
      <c r="G460" s="16">
        <f t="shared" si="22"/>
        <v>1</v>
      </c>
      <c r="H460" s="91">
        <v>8</v>
      </c>
      <c r="I460" s="98"/>
    </row>
    <row r="461" spans="1:9" ht="15.95" customHeight="1" x14ac:dyDescent="0.3">
      <c r="A461" s="91">
        <f t="shared" si="23"/>
        <v>22746</v>
      </c>
      <c r="B461" s="9" t="s">
        <v>881</v>
      </c>
      <c r="C461" s="91"/>
      <c r="D461" s="91"/>
      <c r="E461" s="16" t="s">
        <v>123</v>
      </c>
      <c r="F461" s="16">
        <v>3</v>
      </c>
      <c r="G461" s="16">
        <f t="shared" si="22"/>
        <v>1</v>
      </c>
      <c r="H461" s="91">
        <v>8</v>
      </c>
      <c r="I461" s="98"/>
    </row>
    <row r="462" spans="1:9" ht="15.95" customHeight="1" x14ac:dyDescent="0.3">
      <c r="A462" s="91">
        <f t="shared" si="23"/>
        <v>22754</v>
      </c>
      <c r="B462" s="9" t="s">
        <v>882</v>
      </c>
      <c r="C462" s="91"/>
      <c r="D462" s="91"/>
      <c r="E462" s="16" t="s">
        <v>123</v>
      </c>
      <c r="F462" s="16">
        <v>3</v>
      </c>
      <c r="G462" s="16">
        <f t="shared" si="22"/>
        <v>1</v>
      </c>
      <c r="H462" s="91">
        <v>8</v>
      </c>
      <c r="I462" s="98"/>
    </row>
    <row r="463" spans="1:9" ht="15.95" customHeight="1" x14ac:dyDescent="0.3">
      <c r="A463" s="91">
        <f t="shared" si="23"/>
        <v>22762</v>
      </c>
      <c r="B463" s="9" t="s">
        <v>883</v>
      </c>
      <c r="C463" s="91"/>
      <c r="D463" s="91"/>
      <c r="E463" s="16" t="s">
        <v>123</v>
      </c>
      <c r="F463" s="16">
        <v>3</v>
      </c>
      <c r="G463" s="16">
        <f t="shared" si="22"/>
        <v>1</v>
      </c>
      <c r="H463" s="91">
        <v>8</v>
      </c>
      <c r="I463" s="98"/>
    </row>
    <row r="464" spans="1:9" ht="15.95" customHeight="1" x14ac:dyDescent="0.3">
      <c r="A464" s="91">
        <f t="shared" si="23"/>
        <v>22770</v>
      </c>
      <c r="B464" s="9" t="s">
        <v>884</v>
      </c>
      <c r="C464" s="91"/>
      <c r="D464" s="91"/>
      <c r="E464" s="16" t="s">
        <v>123</v>
      </c>
      <c r="F464" s="16">
        <v>3</v>
      </c>
      <c r="G464" s="16">
        <f t="shared" si="22"/>
        <v>1</v>
      </c>
      <c r="H464" s="91">
        <v>8</v>
      </c>
      <c r="I464" s="98"/>
    </row>
    <row r="465" spans="1:9" ht="15.95" customHeight="1" x14ac:dyDescent="0.3">
      <c r="A465" s="91">
        <f t="shared" si="23"/>
        <v>22778</v>
      </c>
      <c r="B465" s="9" t="s">
        <v>885</v>
      </c>
      <c r="C465" s="91"/>
      <c r="D465" s="91"/>
      <c r="E465" s="16" t="s">
        <v>123</v>
      </c>
      <c r="F465" s="16">
        <v>3</v>
      </c>
      <c r="G465" s="16">
        <f t="shared" si="22"/>
        <v>1</v>
      </c>
      <c r="H465" s="91">
        <v>8</v>
      </c>
      <c r="I465" s="98"/>
    </row>
    <row r="466" spans="1:9" ht="15.95" customHeight="1" x14ac:dyDescent="0.3">
      <c r="A466" s="91">
        <f t="shared" si="23"/>
        <v>22786</v>
      </c>
      <c r="B466" s="9" t="s">
        <v>886</v>
      </c>
      <c r="C466" s="91"/>
      <c r="D466" s="91"/>
      <c r="E466" s="16" t="s">
        <v>123</v>
      </c>
      <c r="F466" s="16">
        <v>3</v>
      </c>
      <c r="G466" s="16">
        <f t="shared" si="22"/>
        <v>1</v>
      </c>
      <c r="H466" s="91">
        <v>8</v>
      </c>
      <c r="I466" s="98"/>
    </row>
    <row r="467" spans="1:9" ht="15.95" customHeight="1" x14ac:dyDescent="0.3">
      <c r="A467" s="91">
        <f t="shared" si="23"/>
        <v>22794</v>
      </c>
      <c r="B467" s="9" t="s">
        <v>887</v>
      </c>
      <c r="C467" s="91"/>
      <c r="D467" s="91"/>
      <c r="E467" s="16" t="s">
        <v>123</v>
      </c>
      <c r="F467" s="16">
        <v>3</v>
      </c>
      <c r="G467" s="16">
        <f t="shared" si="22"/>
        <v>1</v>
      </c>
      <c r="H467" s="91">
        <v>8</v>
      </c>
      <c r="I467" s="98"/>
    </row>
    <row r="468" spans="1:9" ht="15.95" customHeight="1" x14ac:dyDescent="0.3">
      <c r="A468" s="91">
        <f t="shared" si="23"/>
        <v>22802</v>
      </c>
      <c r="B468" s="9" t="s">
        <v>888</v>
      </c>
      <c r="C468" s="91"/>
      <c r="D468" s="91"/>
      <c r="E468" s="16" t="s">
        <v>123</v>
      </c>
      <c r="F468" s="16">
        <v>3</v>
      </c>
      <c r="G468" s="16">
        <f t="shared" si="22"/>
        <v>1</v>
      </c>
      <c r="H468" s="91">
        <v>8</v>
      </c>
      <c r="I468" s="98"/>
    </row>
    <row r="469" spans="1:9" ht="15.95" customHeight="1" x14ac:dyDescent="0.3">
      <c r="A469" s="91">
        <f t="shared" si="23"/>
        <v>22810</v>
      </c>
      <c r="B469" s="9"/>
      <c r="C469" s="91"/>
      <c r="D469" s="91"/>
      <c r="E469" s="16" t="s">
        <v>123</v>
      </c>
      <c r="F469" s="16">
        <v>3</v>
      </c>
      <c r="G469" s="16">
        <f>IF(OR(E469="U16", E469="S16"),1,IF(E469="TS",6,2))</f>
        <v>1</v>
      </c>
      <c r="H469" s="91">
        <v>40</v>
      </c>
      <c r="I469" s="98"/>
    </row>
    <row r="470" spans="1:9" ht="15.95" customHeight="1" x14ac:dyDescent="0.3">
      <c r="A470" s="122" t="s">
        <v>554</v>
      </c>
      <c r="B470" s="122"/>
      <c r="C470" s="122"/>
      <c r="D470" s="122"/>
      <c r="E470" s="122"/>
      <c r="F470" s="122"/>
      <c r="G470" s="122"/>
      <c r="H470" s="122"/>
      <c r="I470" s="104"/>
    </row>
    <row r="471" spans="1:9" ht="15.95" customHeight="1" x14ac:dyDescent="0.3">
      <c r="A471" s="16">
        <f>A469+(G469*H469)</f>
        <v>22850</v>
      </c>
      <c r="B471" s="9" t="s">
        <v>269</v>
      </c>
      <c r="C471" s="91" t="s">
        <v>850</v>
      </c>
      <c r="D471" s="91"/>
      <c r="E471" s="16" t="s">
        <v>123</v>
      </c>
      <c r="F471" s="16">
        <v>3</v>
      </c>
      <c r="G471" s="16">
        <f>IF(OR(E471="U16", E471="S16"),1,IF(E471="TS",6,2))</f>
        <v>1</v>
      </c>
      <c r="H471" s="91">
        <v>1</v>
      </c>
      <c r="I471" s="98"/>
    </row>
    <row r="472" spans="1:9" ht="15.95" customHeight="1" x14ac:dyDescent="0.3">
      <c r="A472" s="16">
        <f>A471+(G471*H471)</f>
        <v>22851</v>
      </c>
      <c r="B472" s="9" t="s">
        <v>270</v>
      </c>
      <c r="C472" s="91" t="s">
        <v>850</v>
      </c>
      <c r="D472" s="91"/>
      <c r="E472" s="16" t="s">
        <v>123</v>
      </c>
      <c r="F472" s="16">
        <v>3</v>
      </c>
      <c r="G472" s="16">
        <f>IF(OR(E472="U16", E472="S16"),1,IF(E472="TS",6,2))</f>
        <v>1</v>
      </c>
      <c r="H472" s="91">
        <v>1</v>
      </c>
      <c r="I472" s="98"/>
    </row>
    <row r="473" spans="1:9" ht="15.95" customHeight="1" x14ac:dyDescent="0.3">
      <c r="A473" s="16">
        <f>A472+(G472*H472)</f>
        <v>22852</v>
      </c>
      <c r="B473" s="9" t="s">
        <v>271</v>
      </c>
      <c r="C473" s="91" t="s">
        <v>850</v>
      </c>
      <c r="D473" s="91"/>
      <c r="E473" s="16" t="s">
        <v>123</v>
      </c>
      <c r="F473" s="16">
        <v>3</v>
      </c>
      <c r="G473" s="16">
        <f>IF(OR(E473="U16", E473="S16"),1,IF(E473="TS",6,2))</f>
        <v>1</v>
      </c>
      <c r="H473" s="91">
        <v>1</v>
      </c>
      <c r="I473" s="98"/>
    </row>
    <row r="474" spans="1:9" ht="15.95" customHeight="1" x14ac:dyDescent="0.3">
      <c r="A474" s="16">
        <f>A473+(G473*H473)</f>
        <v>22853</v>
      </c>
      <c r="B474" s="9" t="s">
        <v>1123</v>
      </c>
      <c r="C474" s="91"/>
      <c r="D474" s="91"/>
      <c r="E474" s="16" t="s">
        <v>123</v>
      </c>
      <c r="F474" s="16">
        <v>3</v>
      </c>
      <c r="G474" s="16">
        <f>IF(OR(E474="U16", E474="S16"),1,IF(E474="TS",6,2))</f>
        <v>1</v>
      </c>
      <c r="H474" s="91">
        <v>1</v>
      </c>
      <c r="I474" s="98"/>
    </row>
    <row r="475" spans="1:9" ht="15.95" customHeight="1" x14ac:dyDescent="0.3">
      <c r="A475" s="122" t="s">
        <v>382</v>
      </c>
      <c r="B475" s="122"/>
      <c r="C475" s="122"/>
      <c r="D475" s="122"/>
      <c r="E475" s="122"/>
      <c r="F475" s="122"/>
      <c r="G475" s="122"/>
      <c r="H475" s="122"/>
      <c r="I475" s="104"/>
    </row>
    <row r="476" spans="1:9" ht="15.95" customHeight="1" x14ac:dyDescent="0.3">
      <c r="A476" s="102">
        <f>A474+(G474*H474)</f>
        <v>22854</v>
      </c>
      <c r="B476" s="101" t="s">
        <v>268</v>
      </c>
      <c r="C476" s="102"/>
      <c r="D476" s="102"/>
      <c r="E476" s="102" t="s">
        <v>91</v>
      </c>
      <c r="F476" s="102">
        <v>3</v>
      </c>
      <c r="G476" s="102">
        <f t="shared" ref="G476:G513" si="24">IF(OR(E476="U16", E476="S16"),1,IF(E476="TS",6,2))</f>
        <v>2</v>
      </c>
      <c r="H476" s="102">
        <v>1</v>
      </c>
      <c r="I476" s="108"/>
    </row>
    <row r="477" spans="1:9" ht="15.95" customHeight="1" x14ac:dyDescent="0.3">
      <c r="A477" s="102">
        <f t="shared" ref="A477:A515" si="25">A476+(G476*H476)</f>
        <v>22856</v>
      </c>
      <c r="B477" s="101" t="s">
        <v>442</v>
      </c>
      <c r="C477" s="102"/>
      <c r="D477" s="102"/>
      <c r="E477" s="102" t="s">
        <v>123</v>
      </c>
      <c r="F477" s="102">
        <v>3</v>
      </c>
      <c r="G477" s="102">
        <f t="shared" si="24"/>
        <v>1</v>
      </c>
      <c r="H477" s="102">
        <v>1</v>
      </c>
      <c r="I477" s="108"/>
    </row>
    <row r="478" spans="1:9" ht="15.95" customHeight="1" x14ac:dyDescent="0.3">
      <c r="A478" s="102">
        <f t="shared" si="25"/>
        <v>22857</v>
      </c>
      <c r="B478" s="101" t="s">
        <v>443</v>
      </c>
      <c r="C478" s="102"/>
      <c r="D478" s="102"/>
      <c r="E478" s="102" t="s">
        <v>123</v>
      </c>
      <c r="F478" s="102">
        <v>3</v>
      </c>
      <c r="G478" s="102">
        <f t="shared" si="24"/>
        <v>1</v>
      </c>
      <c r="H478" s="102">
        <v>1</v>
      </c>
      <c r="I478" s="108"/>
    </row>
    <row r="479" spans="1:9" ht="108" x14ac:dyDescent="0.3">
      <c r="A479" s="102">
        <f t="shared" si="25"/>
        <v>22858</v>
      </c>
      <c r="B479" s="101" t="s">
        <v>255</v>
      </c>
      <c r="C479" s="101" t="s">
        <v>969</v>
      </c>
      <c r="D479" s="101"/>
      <c r="E479" s="102" t="s">
        <v>123</v>
      </c>
      <c r="F479" s="102">
        <v>3</v>
      </c>
      <c r="G479" s="102">
        <f t="shared" si="24"/>
        <v>1</v>
      </c>
      <c r="H479" s="102">
        <v>1</v>
      </c>
      <c r="I479" s="108"/>
    </row>
    <row r="480" spans="1:9" ht="15.95" customHeight="1" x14ac:dyDescent="0.3">
      <c r="A480" s="102">
        <f t="shared" si="25"/>
        <v>22859</v>
      </c>
      <c r="B480" s="101" t="s">
        <v>440</v>
      </c>
      <c r="C480" s="102"/>
      <c r="D480" s="102"/>
      <c r="E480" s="102" t="s">
        <v>123</v>
      </c>
      <c r="F480" s="102">
        <v>3</v>
      </c>
      <c r="G480" s="102">
        <f t="shared" si="24"/>
        <v>1</v>
      </c>
      <c r="H480" s="102">
        <v>1</v>
      </c>
      <c r="I480" s="108"/>
    </row>
    <row r="481" spans="1:10" ht="15.95" customHeight="1" x14ac:dyDescent="0.3">
      <c r="A481" s="102">
        <f t="shared" si="25"/>
        <v>22860</v>
      </c>
      <c r="B481" s="101" t="s">
        <v>441</v>
      </c>
      <c r="C481" s="102"/>
      <c r="D481" s="102"/>
      <c r="E481" s="102" t="s">
        <v>437</v>
      </c>
      <c r="F481" s="102">
        <v>3</v>
      </c>
      <c r="G481" s="102">
        <f t="shared" si="24"/>
        <v>2</v>
      </c>
      <c r="H481" s="102">
        <v>1</v>
      </c>
      <c r="I481" s="108"/>
    </row>
    <row r="482" spans="1:10" ht="15.95" customHeight="1" x14ac:dyDescent="0.3">
      <c r="A482" s="102">
        <f t="shared" si="25"/>
        <v>22862</v>
      </c>
      <c r="B482" s="101" t="s">
        <v>272</v>
      </c>
      <c r="C482" s="102"/>
      <c r="D482" s="102"/>
      <c r="E482" s="102" t="s">
        <v>437</v>
      </c>
      <c r="F482" s="102">
        <v>3</v>
      </c>
      <c r="G482" s="102">
        <f t="shared" si="24"/>
        <v>2</v>
      </c>
      <c r="H482" s="102">
        <v>1</v>
      </c>
      <c r="I482" s="108"/>
    </row>
    <row r="483" spans="1:10" ht="15.95" customHeight="1" x14ac:dyDescent="0.3">
      <c r="A483" s="102">
        <f t="shared" si="25"/>
        <v>22864</v>
      </c>
      <c r="B483" s="101" t="s">
        <v>273</v>
      </c>
      <c r="C483" s="102"/>
      <c r="D483" s="102"/>
      <c r="E483" s="102" t="s">
        <v>437</v>
      </c>
      <c r="F483" s="102">
        <v>3</v>
      </c>
      <c r="G483" s="102">
        <f t="shared" si="24"/>
        <v>2</v>
      </c>
      <c r="H483" s="102">
        <v>1</v>
      </c>
      <c r="I483" s="108"/>
    </row>
    <row r="484" spans="1:10" ht="15.75" customHeight="1" x14ac:dyDescent="0.3">
      <c r="A484" s="91">
        <f t="shared" si="25"/>
        <v>22866</v>
      </c>
      <c r="B484" s="9" t="s">
        <v>274</v>
      </c>
      <c r="C484" s="91"/>
      <c r="D484" s="94"/>
      <c r="E484" s="94" t="s">
        <v>123</v>
      </c>
      <c r="F484" s="94">
        <v>3</v>
      </c>
      <c r="G484" s="16">
        <f t="shared" si="24"/>
        <v>1</v>
      </c>
      <c r="H484" s="91">
        <v>12</v>
      </c>
      <c r="I484" s="98"/>
    </row>
    <row r="485" spans="1:10" ht="15.95" customHeight="1" x14ac:dyDescent="0.3">
      <c r="A485" s="91">
        <f t="shared" si="25"/>
        <v>22878</v>
      </c>
      <c r="B485" s="9" t="s">
        <v>275</v>
      </c>
      <c r="C485" s="91"/>
      <c r="D485" s="94"/>
      <c r="E485" s="94" t="s">
        <v>123</v>
      </c>
      <c r="F485" s="94">
        <v>3</v>
      </c>
      <c r="G485" s="16">
        <f t="shared" si="24"/>
        <v>1</v>
      </c>
      <c r="H485" s="91">
        <v>12</v>
      </c>
      <c r="I485" s="98"/>
    </row>
    <row r="486" spans="1:10" ht="15.95" customHeight="1" x14ac:dyDescent="0.3">
      <c r="A486" s="91">
        <f t="shared" si="25"/>
        <v>22890</v>
      </c>
      <c r="B486" s="9" t="s">
        <v>276</v>
      </c>
      <c r="C486" s="91"/>
      <c r="D486" s="94"/>
      <c r="E486" s="94" t="s">
        <v>123</v>
      </c>
      <c r="F486" s="94">
        <v>3</v>
      </c>
      <c r="G486" s="16">
        <f t="shared" si="24"/>
        <v>1</v>
      </c>
      <c r="H486" s="91">
        <v>12</v>
      </c>
      <c r="I486" s="98"/>
    </row>
    <row r="487" spans="1:10" ht="15.95" customHeight="1" x14ac:dyDescent="0.3">
      <c r="A487" s="91">
        <f t="shared" si="25"/>
        <v>22902</v>
      </c>
      <c r="B487" s="9" t="s">
        <v>277</v>
      </c>
      <c r="C487" s="91"/>
      <c r="D487" s="94"/>
      <c r="E487" s="94" t="s">
        <v>123</v>
      </c>
      <c r="F487" s="94">
        <v>3</v>
      </c>
      <c r="G487" s="16">
        <f t="shared" si="24"/>
        <v>1</v>
      </c>
      <c r="H487" s="91">
        <v>12</v>
      </c>
      <c r="I487" s="98"/>
    </row>
    <row r="488" spans="1:10" customFormat="1" ht="16.5" x14ac:dyDescent="0.3">
      <c r="A488" s="91">
        <f t="shared" si="25"/>
        <v>22914</v>
      </c>
      <c r="B488" s="9" t="s">
        <v>278</v>
      </c>
      <c r="C488" s="91"/>
      <c r="D488" s="94"/>
      <c r="E488" s="94" t="s">
        <v>123</v>
      </c>
      <c r="F488" s="94">
        <v>3</v>
      </c>
      <c r="G488" s="16">
        <f t="shared" si="24"/>
        <v>1</v>
      </c>
      <c r="H488" s="91">
        <v>12</v>
      </c>
      <c r="I488" s="98"/>
      <c r="J488" s="29"/>
    </row>
    <row r="489" spans="1:10" customFormat="1" ht="16.5" customHeight="1" x14ac:dyDescent="0.3">
      <c r="A489" s="91">
        <f t="shared" si="25"/>
        <v>22926</v>
      </c>
      <c r="B489" s="9" t="s">
        <v>279</v>
      </c>
      <c r="C489" s="91"/>
      <c r="D489" s="94"/>
      <c r="E489" s="94" t="s">
        <v>123</v>
      </c>
      <c r="F489" s="94">
        <v>3</v>
      </c>
      <c r="G489" s="16">
        <f t="shared" si="24"/>
        <v>1</v>
      </c>
      <c r="H489" s="91">
        <v>12</v>
      </c>
      <c r="I489" s="98"/>
      <c r="J489" s="29"/>
    </row>
    <row r="490" spans="1:10" customFormat="1" ht="16.5" x14ac:dyDescent="0.3">
      <c r="A490" s="91">
        <f t="shared" si="25"/>
        <v>22938</v>
      </c>
      <c r="B490" s="9" t="s">
        <v>280</v>
      </c>
      <c r="C490" s="91"/>
      <c r="D490" s="94"/>
      <c r="E490" s="94" t="s">
        <v>123</v>
      </c>
      <c r="F490" s="94">
        <v>3</v>
      </c>
      <c r="G490" s="16">
        <f t="shared" si="24"/>
        <v>1</v>
      </c>
      <c r="H490" s="91">
        <v>12</v>
      </c>
      <c r="I490" s="98"/>
      <c r="J490" s="29"/>
    </row>
    <row r="491" spans="1:10" customFormat="1" ht="16.5" x14ac:dyDescent="0.3">
      <c r="A491" s="91">
        <f t="shared" si="25"/>
        <v>22950</v>
      </c>
      <c r="B491" s="9" t="s">
        <v>281</v>
      </c>
      <c r="C491" s="91"/>
      <c r="D491" s="94"/>
      <c r="E491" s="94" t="s">
        <v>123</v>
      </c>
      <c r="F491" s="94">
        <v>3</v>
      </c>
      <c r="G491" s="16">
        <f t="shared" si="24"/>
        <v>1</v>
      </c>
      <c r="H491" s="91">
        <v>12</v>
      </c>
      <c r="I491" s="98"/>
      <c r="J491" s="29"/>
    </row>
    <row r="492" spans="1:10" customFormat="1" ht="16.5" x14ac:dyDescent="0.3">
      <c r="A492" s="91">
        <f t="shared" si="25"/>
        <v>22962</v>
      </c>
      <c r="B492" s="9" t="s">
        <v>282</v>
      </c>
      <c r="C492" s="91"/>
      <c r="D492" s="94"/>
      <c r="E492" s="94" t="s">
        <v>123</v>
      </c>
      <c r="F492" s="94">
        <v>3</v>
      </c>
      <c r="G492" s="16">
        <f t="shared" si="24"/>
        <v>1</v>
      </c>
      <c r="H492" s="91">
        <v>12</v>
      </c>
      <c r="I492" s="98"/>
      <c r="J492" s="29"/>
    </row>
    <row r="493" spans="1:10" customFormat="1" ht="16.5" x14ac:dyDescent="0.3">
      <c r="A493" s="91">
        <f t="shared" si="25"/>
        <v>22974</v>
      </c>
      <c r="B493" s="9" t="s">
        <v>283</v>
      </c>
      <c r="C493" s="91"/>
      <c r="D493" s="94"/>
      <c r="E493" s="94" t="s">
        <v>123</v>
      </c>
      <c r="F493" s="94">
        <v>3</v>
      </c>
      <c r="G493" s="16">
        <f t="shared" si="24"/>
        <v>1</v>
      </c>
      <c r="H493" s="91">
        <v>12</v>
      </c>
      <c r="I493" s="98"/>
      <c r="J493" s="29"/>
    </row>
    <row r="494" spans="1:10" customFormat="1" ht="16.5" x14ac:dyDescent="0.3">
      <c r="A494" s="91">
        <f t="shared" si="25"/>
        <v>22986</v>
      </c>
      <c r="B494" s="9" t="s">
        <v>284</v>
      </c>
      <c r="C494" s="91"/>
      <c r="D494" s="94"/>
      <c r="E494" s="94" t="s">
        <v>123</v>
      </c>
      <c r="F494" s="94">
        <v>3</v>
      </c>
      <c r="G494" s="16">
        <f t="shared" si="24"/>
        <v>1</v>
      </c>
      <c r="H494" s="91">
        <v>12</v>
      </c>
      <c r="I494" s="98"/>
      <c r="J494" s="29"/>
    </row>
    <row r="495" spans="1:10" customFormat="1" ht="16.5" x14ac:dyDescent="0.3">
      <c r="A495" s="91">
        <f t="shared" si="25"/>
        <v>22998</v>
      </c>
      <c r="B495" s="9" t="s">
        <v>285</v>
      </c>
      <c r="C495" s="91"/>
      <c r="D495" s="94"/>
      <c r="E495" s="94" t="s">
        <v>123</v>
      </c>
      <c r="F495" s="94">
        <v>3</v>
      </c>
      <c r="G495" s="16">
        <f t="shared" si="24"/>
        <v>1</v>
      </c>
      <c r="H495" s="91">
        <v>12</v>
      </c>
      <c r="I495" s="98"/>
      <c r="J495" s="29"/>
    </row>
    <row r="496" spans="1:10" customFormat="1" ht="16.5" x14ac:dyDescent="0.3">
      <c r="A496" s="91">
        <f t="shared" si="25"/>
        <v>23010</v>
      </c>
      <c r="B496" s="9" t="s">
        <v>286</v>
      </c>
      <c r="C496" s="91"/>
      <c r="D496" s="94"/>
      <c r="E496" s="94" t="s">
        <v>123</v>
      </c>
      <c r="F496" s="94">
        <v>3</v>
      </c>
      <c r="G496" s="16">
        <f t="shared" si="24"/>
        <v>1</v>
      </c>
      <c r="H496" s="91">
        <v>12</v>
      </c>
      <c r="I496" s="98"/>
      <c r="J496" s="29"/>
    </row>
    <row r="497" spans="1:10" customFormat="1" ht="16.5" x14ac:dyDescent="0.3">
      <c r="A497" s="91">
        <f t="shared" si="25"/>
        <v>23022</v>
      </c>
      <c r="B497" s="9" t="s">
        <v>287</v>
      </c>
      <c r="C497" s="91"/>
      <c r="D497" s="94"/>
      <c r="E497" s="94" t="s">
        <v>123</v>
      </c>
      <c r="F497" s="94">
        <v>3</v>
      </c>
      <c r="G497" s="16">
        <f t="shared" si="24"/>
        <v>1</v>
      </c>
      <c r="H497" s="91">
        <v>12</v>
      </c>
      <c r="I497" s="98"/>
      <c r="J497" s="29"/>
    </row>
    <row r="498" spans="1:10" customFormat="1" ht="16.5" x14ac:dyDescent="0.3">
      <c r="A498" s="91">
        <f t="shared" si="25"/>
        <v>23034</v>
      </c>
      <c r="B498" s="9" t="s">
        <v>288</v>
      </c>
      <c r="C498" s="91"/>
      <c r="D498" s="94"/>
      <c r="E498" s="94" t="s">
        <v>123</v>
      </c>
      <c r="F498" s="94">
        <v>3</v>
      </c>
      <c r="G498" s="16">
        <f t="shared" si="24"/>
        <v>1</v>
      </c>
      <c r="H498" s="91">
        <v>12</v>
      </c>
      <c r="I498" s="98"/>
      <c r="J498" s="29"/>
    </row>
    <row r="499" spans="1:10" ht="15.95" customHeight="1" x14ac:dyDescent="0.3">
      <c r="A499" s="91">
        <f t="shared" si="25"/>
        <v>23046</v>
      </c>
      <c r="B499" s="9" t="s">
        <v>289</v>
      </c>
      <c r="C499" s="91"/>
      <c r="D499" s="94"/>
      <c r="E499" s="94" t="s">
        <v>123</v>
      </c>
      <c r="F499" s="94">
        <v>3</v>
      </c>
      <c r="G499" s="16">
        <f t="shared" si="24"/>
        <v>1</v>
      </c>
      <c r="H499" s="91">
        <v>12</v>
      </c>
      <c r="I499" s="98"/>
    </row>
    <row r="500" spans="1:10" customFormat="1" ht="16.5" x14ac:dyDescent="0.3">
      <c r="A500" s="91">
        <f t="shared" si="25"/>
        <v>23058</v>
      </c>
      <c r="B500" s="9" t="s">
        <v>290</v>
      </c>
      <c r="C500" s="91"/>
      <c r="D500" s="94"/>
      <c r="E500" s="94" t="s">
        <v>123</v>
      </c>
      <c r="F500" s="94">
        <v>3</v>
      </c>
      <c r="G500" s="16">
        <f t="shared" si="24"/>
        <v>1</v>
      </c>
      <c r="H500" s="91">
        <v>12</v>
      </c>
      <c r="I500" s="98"/>
      <c r="J500" s="29"/>
    </row>
    <row r="501" spans="1:10" customFormat="1" ht="16.5" customHeight="1" x14ac:dyDescent="0.3">
      <c r="A501" s="91">
        <f t="shared" si="25"/>
        <v>23070</v>
      </c>
      <c r="B501" s="9" t="s">
        <v>291</v>
      </c>
      <c r="C501" s="91"/>
      <c r="D501" s="94"/>
      <c r="E501" s="94" t="s">
        <v>123</v>
      </c>
      <c r="F501" s="94">
        <v>3</v>
      </c>
      <c r="G501" s="16">
        <f t="shared" si="24"/>
        <v>1</v>
      </c>
      <c r="H501" s="91">
        <v>12</v>
      </c>
      <c r="I501" s="98"/>
      <c r="J501" s="29"/>
    </row>
    <row r="502" spans="1:10" customFormat="1" ht="16.5" x14ac:dyDescent="0.3">
      <c r="A502" s="91">
        <f t="shared" si="25"/>
        <v>23082</v>
      </c>
      <c r="B502" s="9" t="s">
        <v>292</v>
      </c>
      <c r="C502" s="91"/>
      <c r="D502" s="94"/>
      <c r="E502" s="94" t="s">
        <v>123</v>
      </c>
      <c r="F502" s="94">
        <v>3</v>
      </c>
      <c r="G502" s="16">
        <f t="shared" si="24"/>
        <v>1</v>
      </c>
      <c r="H502" s="91">
        <v>12</v>
      </c>
      <c r="I502" s="98"/>
      <c r="J502" s="29"/>
    </row>
    <row r="503" spans="1:10" customFormat="1" ht="16.5" x14ac:dyDescent="0.3">
      <c r="A503" s="91">
        <f t="shared" si="25"/>
        <v>23094</v>
      </c>
      <c r="B503" s="9" t="s">
        <v>293</v>
      </c>
      <c r="C503" s="91"/>
      <c r="D503" s="94"/>
      <c r="E503" s="94" t="s">
        <v>123</v>
      </c>
      <c r="F503" s="94">
        <v>3</v>
      </c>
      <c r="G503" s="16">
        <f t="shared" si="24"/>
        <v>1</v>
      </c>
      <c r="H503" s="91">
        <v>12</v>
      </c>
      <c r="I503" s="98"/>
      <c r="J503" s="29"/>
    </row>
    <row r="504" spans="1:10" customFormat="1" ht="16.5" x14ac:dyDescent="0.3">
      <c r="A504" s="91">
        <f t="shared" si="25"/>
        <v>23106</v>
      </c>
      <c r="B504" s="9" t="s">
        <v>294</v>
      </c>
      <c r="C504" s="91"/>
      <c r="D504" s="94"/>
      <c r="E504" s="94" t="s">
        <v>123</v>
      </c>
      <c r="F504" s="94">
        <v>3</v>
      </c>
      <c r="G504" s="16">
        <f t="shared" si="24"/>
        <v>1</v>
      </c>
      <c r="H504" s="91">
        <v>12</v>
      </c>
      <c r="I504" s="98"/>
      <c r="J504" s="29"/>
    </row>
    <row r="505" spans="1:10" customFormat="1" ht="16.5" x14ac:dyDescent="0.3">
      <c r="A505" s="91">
        <f t="shared" si="25"/>
        <v>23118</v>
      </c>
      <c r="B505" s="9" t="s">
        <v>295</v>
      </c>
      <c r="C505" s="91"/>
      <c r="D505" s="94"/>
      <c r="E505" s="94" t="s">
        <v>123</v>
      </c>
      <c r="F505" s="94">
        <v>3</v>
      </c>
      <c r="G505" s="16">
        <f t="shared" si="24"/>
        <v>1</v>
      </c>
      <c r="H505" s="91">
        <v>12</v>
      </c>
      <c r="I505" s="98"/>
      <c r="J505" s="29"/>
    </row>
    <row r="506" spans="1:10" customFormat="1" ht="16.5" x14ac:dyDescent="0.3">
      <c r="A506" s="91">
        <f t="shared" si="25"/>
        <v>23130</v>
      </c>
      <c r="B506" s="9" t="s">
        <v>296</v>
      </c>
      <c r="C506" s="91"/>
      <c r="D506" s="94"/>
      <c r="E506" s="94" t="s">
        <v>123</v>
      </c>
      <c r="F506" s="94">
        <v>3</v>
      </c>
      <c r="G506" s="16">
        <f t="shared" si="24"/>
        <v>1</v>
      </c>
      <c r="H506" s="91">
        <v>12</v>
      </c>
      <c r="I506" s="98"/>
      <c r="J506" s="29"/>
    </row>
    <row r="507" spans="1:10" customFormat="1" ht="16.5" x14ac:dyDescent="0.3">
      <c r="A507" s="91">
        <f t="shared" si="25"/>
        <v>23142</v>
      </c>
      <c r="B507" s="9" t="s">
        <v>297</v>
      </c>
      <c r="C507" s="91"/>
      <c r="D507" s="94"/>
      <c r="E507" s="94" t="s">
        <v>123</v>
      </c>
      <c r="F507" s="94">
        <v>3</v>
      </c>
      <c r="G507" s="16">
        <f t="shared" si="24"/>
        <v>1</v>
      </c>
      <c r="H507" s="91">
        <v>12</v>
      </c>
      <c r="I507" s="98"/>
      <c r="J507" s="29"/>
    </row>
    <row r="508" spans="1:10" customFormat="1" ht="16.5" x14ac:dyDescent="0.3">
      <c r="A508" s="91">
        <f t="shared" si="25"/>
        <v>23154</v>
      </c>
      <c r="B508" s="9" t="s">
        <v>298</v>
      </c>
      <c r="C508" s="91"/>
      <c r="D508" s="94"/>
      <c r="E508" s="94" t="s">
        <v>123</v>
      </c>
      <c r="F508" s="94">
        <v>3</v>
      </c>
      <c r="G508" s="16">
        <f t="shared" si="24"/>
        <v>1</v>
      </c>
      <c r="H508" s="91">
        <v>12</v>
      </c>
      <c r="I508" s="98"/>
      <c r="J508" s="29"/>
    </row>
    <row r="509" spans="1:10" customFormat="1" ht="16.5" x14ac:dyDescent="0.3">
      <c r="A509" s="91">
        <f t="shared" si="25"/>
        <v>23166</v>
      </c>
      <c r="B509" s="9" t="s">
        <v>299</v>
      </c>
      <c r="C509" s="91"/>
      <c r="D509" s="94"/>
      <c r="E509" s="94" t="s">
        <v>123</v>
      </c>
      <c r="F509" s="94">
        <v>3</v>
      </c>
      <c r="G509" s="16">
        <f t="shared" si="24"/>
        <v>1</v>
      </c>
      <c r="H509" s="91">
        <v>12</v>
      </c>
      <c r="I509" s="98"/>
      <c r="J509" s="29"/>
    </row>
    <row r="510" spans="1:10" customFormat="1" ht="16.5" x14ac:dyDescent="0.3">
      <c r="A510" s="91">
        <f t="shared" si="25"/>
        <v>23178</v>
      </c>
      <c r="B510" s="9" t="s">
        <v>300</v>
      </c>
      <c r="C510" s="91"/>
      <c r="D510" s="94"/>
      <c r="E510" s="94" t="s">
        <v>123</v>
      </c>
      <c r="F510" s="94">
        <v>3</v>
      </c>
      <c r="G510" s="16">
        <f t="shared" si="24"/>
        <v>1</v>
      </c>
      <c r="H510" s="91">
        <v>12</v>
      </c>
      <c r="I510" s="98"/>
      <c r="J510" s="29"/>
    </row>
    <row r="511" spans="1:10" customFormat="1" ht="16.5" x14ac:dyDescent="0.3">
      <c r="A511" s="91">
        <f t="shared" si="25"/>
        <v>23190</v>
      </c>
      <c r="B511" s="9" t="s">
        <v>301</v>
      </c>
      <c r="C511" s="91"/>
      <c r="D511" s="94"/>
      <c r="E511" s="94" t="s">
        <v>123</v>
      </c>
      <c r="F511" s="94">
        <v>3</v>
      </c>
      <c r="G511" s="16">
        <f t="shared" si="24"/>
        <v>1</v>
      </c>
      <c r="H511" s="91">
        <v>12</v>
      </c>
      <c r="I511" s="98"/>
      <c r="J511" s="29"/>
    </row>
    <row r="512" spans="1:10" customFormat="1" ht="16.5" x14ac:dyDescent="0.3">
      <c r="A512" s="91">
        <f t="shared" si="25"/>
        <v>23202</v>
      </c>
      <c r="B512" s="9" t="s">
        <v>302</v>
      </c>
      <c r="C512" s="91"/>
      <c r="D512" s="94"/>
      <c r="E512" s="94" t="s">
        <v>123</v>
      </c>
      <c r="F512" s="94">
        <v>3</v>
      </c>
      <c r="G512" s="16">
        <f t="shared" si="24"/>
        <v>1</v>
      </c>
      <c r="H512" s="91">
        <v>12</v>
      </c>
      <c r="I512" s="98"/>
      <c r="J512" s="29"/>
    </row>
    <row r="513" spans="1:10" customFormat="1" ht="16.5" x14ac:dyDescent="0.3">
      <c r="A513" s="91">
        <f t="shared" si="25"/>
        <v>23214</v>
      </c>
      <c r="B513" s="9" t="s">
        <v>303</v>
      </c>
      <c r="C513" s="91"/>
      <c r="D513" s="94"/>
      <c r="E513" s="94" t="s">
        <v>123</v>
      </c>
      <c r="F513" s="94">
        <v>3</v>
      </c>
      <c r="G513" s="16">
        <f t="shared" si="24"/>
        <v>1</v>
      </c>
      <c r="H513" s="91">
        <v>12</v>
      </c>
      <c r="I513" s="98"/>
      <c r="J513" s="29"/>
    </row>
    <row r="514" spans="1:10" customFormat="1" ht="16.5" x14ac:dyDescent="0.3">
      <c r="A514" s="91">
        <f t="shared" si="25"/>
        <v>23226</v>
      </c>
      <c r="B514" s="9" t="s">
        <v>383</v>
      </c>
      <c r="C514" s="91"/>
      <c r="D514" s="94"/>
      <c r="E514" s="94" t="s">
        <v>123</v>
      </c>
      <c r="F514" s="94">
        <v>3</v>
      </c>
      <c r="G514" s="16">
        <f>IF(OR(E514="U16", E514="S16"),1,IF(E514="TS",6,2))</f>
        <v>1</v>
      </c>
      <c r="H514" s="91">
        <v>12</v>
      </c>
      <c r="I514" s="98"/>
      <c r="J514" s="29"/>
    </row>
    <row r="515" spans="1:10" customFormat="1" ht="16.5" x14ac:dyDescent="0.3">
      <c r="A515" s="91">
        <f t="shared" si="25"/>
        <v>23238</v>
      </c>
      <c r="B515" s="9"/>
      <c r="C515" s="91"/>
      <c r="D515" s="94"/>
      <c r="E515" s="94" t="s">
        <v>123</v>
      </c>
      <c r="F515" s="94">
        <v>3</v>
      </c>
      <c r="G515" s="16">
        <f>IF(OR(E515="U16", E515="S16"),1,IF(E515="TS",6,2))</f>
        <v>1</v>
      </c>
      <c r="H515" s="91">
        <v>2</v>
      </c>
      <c r="I515" s="98"/>
      <c r="J515" s="29"/>
    </row>
    <row r="516" spans="1:10" customFormat="1" ht="16.5" customHeight="1" x14ac:dyDescent="0.3">
      <c r="A516" s="122" t="s">
        <v>599</v>
      </c>
      <c r="B516" s="122"/>
      <c r="C516" s="122"/>
      <c r="D516" s="122"/>
      <c r="E516" s="122"/>
      <c r="F516" s="122"/>
      <c r="G516" s="122"/>
      <c r="H516" s="122"/>
      <c r="I516" s="104"/>
      <c r="J516" s="29"/>
    </row>
    <row r="517" spans="1:10" ht="15.75" customHeight="1" x14ac:dyDescent="0.3">
      <c r="A517" s="91">
        <f>A515+(G515*H515)</f>
        <v>23240</v>
      </c>
      <c r="B517" s="11"/>
      <c r="C517" s="91"/>
      <c r="D517" s="91"/>
      <c r="E517" s="16" t="s">
        <v>123</v>
      </c>
      <c r="F517" s="16">
        <v>3</v>
      </c>
      <c r="G517" s="16">
        <f t="shared" ref="G517:G526" si="26">IF(OR(E517="U16", E517="S16"),1,IF(E517="TS",6,2))</f>
        <v>1</v>
      </c>
      <c r="H517" s="91">
        <v>1</v>
      </c>
      <c r="I517" s="98"/>
    </row>
    <row r="518" spans="1:10" ht="15.95" customHeight="1" x14ac:dyDescent="0.3">
      <c r="A518" s="91">
        <f>A517+(G517*H517)</f>
        <v>23241</v>
      </c>
      <c r="B518" s="11"/>
      <c r="C518" s="91"/>
      <c r="D518" s="91"/>
      <c r="E518" s="16" t="s">
        <v>123</v>
      </c>
      <c r="F518" s="16">
        <v>3</v>
      </c>
      <c r="G518" s="16">
        <f t="shared" si="26"/>
        <v>1</v>
      </c>
      <c r="H518" s="91">
        <v>1</v>
      </c>
      <c r="I518" s="98"/>
    </row>
    <row r="519" spans="1:10" ht="15.95" customHeight="1" x14ac:dyDescent="0.3">
      <c r="A519" s="91">
        <f t="shared" ref="A519:A526" si="27">A518+(G518*H518)</f>
        <v>23242</v>
      </c>
      <c r="B519" s="11"/>
      <c r="C519" s="91"/>
      <c r="D519" s="91"/>
      <c r="E519" s="16" t="s">
        <v>123</v>
      </c>
      <c r="F519" s="16">
        <v>3</v>
      </c>
      <c r="G519" s="16">
        <f t="shared" si="26"/>
        <v>1</v>
      </c>
      <c r="H519" s="91">
        <v>1</v>
      </c>
      <c r="I519" s="98"/>
    </row>
    <row r="520" spans="1:10" ht="15.95" customHeight="1" x14ac:dyDescent="0.3">
      <c r="A520" s="91">
        <f t="shared" si="27"/>
        <v>23243</v>
      </c>
      <c r="B520" s="11" t="s">
        <v>597</v>
      </c>
      <c r="C520" s="91"/>
      <c r="D520" s="91"/>
      <c r="E520" s="16" t="s">
        <v>123</v>
      </c>
      <c r="F520" s="16">
        <v>3</v>
      </c>
      <c r="G520" s="16">
        <f t="shared" si="26"/>
        <v>1</v>
      </c>
      <c r="H520" s="91">
        <v>1</v>
      </c>
      <c r="I520" s="98"/>
    </row>
    <row r="521" spans="1:10" customFormat="1" ht="16.5" x14ac:dyDescent="0.3">
      <c r="A521" s="91">
        <f t="shared" si="27"/>
        <v>23244</v>
      </c>
      <c r="B521" s="11" t="s">
        <v>598</v>
      </c>
      <c r="C521" s="91"/>
      <c r="D521" s="91"/>
      <c r="E521" s="16" t="s">
        <v>123</v>
      </c>
      <c r="F521" s="16">
        <v>3</v>
      </c>
      <c r="G521" s="16">
        <f t="shared" si="26"/>
        <v>1</v>
      </c>
      <c r="H521" s="91">
        <v>1</v>
      </c>
      <c r="I521" s="98"/>
      <c r="J521" s="29"/>
    </row>
    <row r="522" spans="1:10" customFormat="1" ht="16.5" customHeight="1" x14ac:dyDescent="0.3">
      <c r="A522" s="91">
        <f t="shared" si="27"/>
        <v>23245</v>
      </c>
      <c r="B522" s="11"/>
      <c r="C522" s="91"/>
      <c r="D522" s="91"/>
      <c r="E522" s="16" t="s">
        <v>123</v>
      </c>
      <c r="F522" s="16">
        <v>3</v>
      </c>
      <c r="G522" s="16">
        <f t="shared" si="26"/>
        <v>1</v>
      </c>
      <c r="H522" s="91">
        <v>1</v>
      </c>
      <c r="I522" s="98"/>
      <c r="J522" s="29"/>
    </row>
    <row r="523" spans="1:10" customFormat="1" ht="16.5" x14ac:dyDescent="0.3">
      <c r="A523" s="91">
        <f t="shared" si="27"/>
        <v>23246</v>
      </c>
      <c r="B523" s="11"/>
      <c r="C523" s="91"/>
      <c r="D523" s="91"/>
      <c r="E523" s="16" t="s">
        <v>123</v>
      </c>
      <c r="F523" s="16">
        <v>3</v>
      </c>
      <c r="G523" s="16">
        <f t="shared" si="26"/>
        <v>1</v>
      </c>
      <c r="H523" s="91">
        <v>1</v>
      </c>
      <c r="I523" s="98"/>
      <c r="J523" s="29"/>
    </row>
    <row r="524" spans="1:10" customFormat="1" ht="16.5" x14ac:dyDescent="0.3">
      <c r="A524" s="91">
        <f t="shared" si="27"/>
        <v>23247</v>
      </c>
      <c r="B524" s="11"/>
      <c r="C524" s="91"/>
      <c r="D524" s="91"/>
      <c r="E524" s="16" t="s">
        <v>123</v>
      </c>
      <c r="F524" s="16">
        <v>3</v>
      </c>
      <c r="G524" s="16">
        <f t="shared" si="26"/>
        <v>1</v>
      </c>
      <c r="H524" s="91">
        <v>1</v>
      </c>
      <c r="I524" s="98"/>
      <c r="J524" s="29"/>
    </row>
    <row r="525" spans="1:10" customFormat="1" ht="16.5" customHeight="1" x14ac:dyDescent="0.3">
      <c r="A525" s="91">
        <f t="shared" si="27"/>
        <v>23248</v>
      </c>
      <c r="B525" s="11"/>
      <c r="C525" s="91"/>
      <c r="D525" s="91"/>
      <c r="E525" s="16" t="s">
        <v>123</v>
      </c>
      <c r="F525" s="16">
        <v>3</v>
      </c>
      <c r="G525" s="16">
        <f t="shared" si="26"/>
        <v>1</v>
      </c>
      <c r="H525" s="91">
        <v>1</v>
      </c>
      <c r="I525" s="98"/>
      <c r="J525" s="29"/>
    </row>
    <row r="526" spans="1:10" customFormat="1" ht="16.5" x14ac:dyDescent="0.3">
      <c r="A526" s="91">
        <f t="shared" si="27"/>
        <v>23249</v>
      </c>
      <c r="B526" s="11"/>
      <c r="C526" s="91"/>
      <c r="D526" s="91"/>
      <c r="E526" s="16" t="s">
        <v>123</v>
      </c>
      <c r="F526" s="16">
        <v>3</v>
      </c>
      <c r="G526" s="16">
        <f t="shared" si="26"/>
        <v>1</v>
      </c>
      <c r="H526" s="91">
        <v>1</v>
      </c>
      <c r="I526" s="98"/>
      <c r="J526" s="29"/>
    </row>
    <row r="527" spans="1:10" ht="15.95" customHeight="1" x14ac:dyDescent="0.3">
      <c r="A527" s="122" t="s">
        <v>115</v>
      </c>
      <c r="B527" s="122"/>
      <c r="C527" s="122"/>
      <c r="D527" s="122"/>
      <c r="E527" s="122"/>
      <c r="F527" s="122"/>
      <c r="G527" s="122"/>
      <c r="H527" s="122"/>
      <c r="I527" s="109"/>
      <c r="J527" s="138" t="s">
        <v>267</v>
      </c>
    </row>
    <row r="528" spans="1:10" ht="15.95" customHeight="1" x14ac:dyDescent="0.3">
      <c r="A528" s="91">
        <f>A526+(G526*H526)</f>
        <v>23250</v>
      </c>
      <c r="B528" s="9" t="s">
        <v>180</v>
      </c>
      <c r="C528" s="91"/>
      <c r="D528" s="91"/>
      <c r="E528" s="16" t="s">
        <v>114</v>
      </c>
      <c r="F528" s="16">
        <v>3</v>
      </c>
      <c r="G528" s="16">
        <f t="shared" ref="G528:G539" si="28">IF(OR(E528="U16", E528="S16"),1,IF(E528="TS",6,2))</f>
        <v>1</v>
      </c>
      <c r="H528" s="91">
        <v>160</v>
      </c>
      <c r="I528" s="105"/>
      <c r="J528" s="138"/>
    </row>
    <row r="529" spans="1:10" ht="15.95" customHeight="1" x14ac:dyDescent="0.3">
      <c r="A529" s="91">
        <f t="shared" ref="A529:A539" si="29">A528+(G528*H528)</f>
        <v>23410</v>
      </c>
      <c r="B529" s="9" t="s">
        <v>32</v>
      </c>
      <c r="C529" s="91"/>
      <c r="D529" s="91"/>
      <c r="E529" s="16" t="s">
        <v>114</v>
      </c>
      <c r="F529" s="16">
        <v>3</v>
      </c>
      <c r="G529" s="16">
        <f t="shared" si="28"/>
        <v>1</v>
      </c>
      <c r="H529" s="91">
        <v>160</v>
      </c>
      <c r="I529" s="105"/>
      <c r="J529" s="138"/>
    </row>
    <row r="530" spans="1:10" ht="15.95" customHeight="1" x14ac:dyDescent="0.3">
      <c r="A530" s="91">
        <f t="shared" si="29"/>
        <v>23570</v>
      </c>
      <c r="B530" s="9" t="s">
        <v>33</v>
      </c>
      <c r="C530" s="91"/>
      <c r="D530" s="91"/>
      <c r="E530" s="16" t="s">
        <v>114</v>
      </c>
      <c r="F530" s="16">
        <v>3</v>
      </c>
      <c r="G530" s="16">
        <f t="shared" si="28"/>
        <v>1</v>
      </c>
      <c r="H530" s="91">
        <v>160</v>
      </c>
      <c r="I530" s="105"/>
      <c r="J530" s="138"/>
    </row>
    <row r="531" spans="1:10" ht="15.95" customHeight="1" x14ac:dyDescent="0.3">
      <c r="A531" s="91">
        <f t="shared" si="29"/>
        <v>23730</v>
      </c>
      <c r="B531" s="9" t="s">
        <v>34</v>
      </c>
      <c r="C531" s="91"/>
      <c r="D531" s="91"/>
      <c r="E531" s="16" t="s">
        <v>114</v>
      </c>
      <c r="F531" s="16">
        <v>3</v>
      </c>
      <c r="G531" s="16">
        <f t="shared" si="28"/>
        <v>1</v>
      </c>
      <c r="H531" s="91">
        <v>160</v>
      </c>
      <c r="I531" s="105"/>
      <c r="J531" s="138"/>
    </row>
    <row r="532" spans="1:10" ht="15.95" customHeight="1" x14ac:dyDescent="0.3">
      <c r="A532" s="91">
        <f t="shared" si="29"/>
        <v>23890</v>
      </c>
      <c r="B532" s="9" t="s">
        <v>35</v>
      </c>
      <c r="C532" s="91"/>
      <c r="D532" s="91"/>
      <c r="E532" s="16" t="s">
        <v>114</v>
      </c>
      <c r="F532" s="16">
        <v>3</v>
      </c>
      <c r="G532" s="16">
        <f t="shared" si="28"/>
        <v>1</v>
      </c>
      <c r="H532" s="91">
        <v>160</v>
      </c>
      <c r="I532" s="105"/>
      <c r="J532" s="138"/>
    </row>
    <row r="533" spans="1:10" ht="15.95" customHeight="1" x14ac:dyDescent="0.3">
      <c r="A533" s="91">
        <f t="shared" si="29"/>
        <v>24050</v>
      </c>
      <c r="B533" s="9" t="s">
        <v>36</v>
      </c>
      <c r="C533" s="91"/>
      <c r="D533" s="91"/>
      <c r="E533" s="16" t="s">
        <v>114</v>
      </c>
      <c r="F533" s="16">
        <v>3</v>
      </c>
      <c r="G533" s="16">
        <f t="shared" si="28"/>
        <v>1</v>
      </c>
      <c r="H533" s="91">
        <v>160</v>
      </c>
      <c r="I533" s="105"/>
      <c r="J533" s="138"/>
    </row>
    <row r="534" spans="1:10" ht="15.95" customHeight="1" x14ac:dyDescent="0.3">
      <c r="A534" s="91">
        <f t="shared" si="29"/>
        <v>24210</v>
      </c>
      <c r="B534" s="9" t="s">
        <v>37</v>
      </c>
      <c r="C534" s="91"/>
      <c r="D534" s="91"/>
      <c r="E534" s="16" t="s">
        <v>114</v>
      </c>
      <c r="F534" s="16">
        <v>3</v>
      </c>
      <c r="G534" s="16">
        <f t="shared" si="28"/>
        <v>1</v>
      </c>
      <c r="H534" s="91">
        <v>160</v>
      </c>
      <c r="I534" s="105"/>
      <c r="J534" s="138"/>
    </row>
    <row r="535" spans="1:10" ht="15.95" customHeight="1" x14ac:dyDescent="0.3">
      <c r="A535" s="91">
        <f t="shared" si="29"/>
        <v>24370</v>
      </c>
      <c r="B535" s="9" t="s">
        <v>38</v>
      </c>
      <c r="C535" s="91"/>
      <c r="D535" s="91"/>
      <c r="E535" s="16" t="s">
        <v>114</v>
      </c>
      <c r="F535" s="16">
        <v>3</v>
      </c>
      <c r="G535" s="16">
        <f t="shared" si="28"/>
        <v>1</v>
      </c>
      <c r="H535" s="91">
        <v>160</v>
      </c>
      <c r="I535" s="105"/>
      <c r="J535" s="138"/>
    </row>
    <row r="536" spans="1:10" ht="15.95" customHeight="1" x14ac:dyDescent="0.3">
      <c r="A536" s="91">
        <f t="shared" si="29"/>
        <v>24530</v>
      </c>
      <c r="B536" s="9" t="s">
        <v>39</v>
      </c>
      <c r="C536" s="91"/>
      <c r="D536" s="91"/>
      <c r="E536" s="16" t="s">
        <v>114</v>
      </c>
      <c r="F536" s="16">
        <v>3</v>
      </c>
      <c r="G536" s="16">
        <f t="shared" si="28"/>
        <v>1</v>
      </c>
      <c r="H536" s="91">
        <v>160</v>
      </c>
      <c r="I536" s="105"/>
      <c r="J536" s="138"/>
    </row>
    <row r="537" spans="1:10" ht="15.95" customHeight="1" x14ac:dyDescent="0.3">
      <c r="A537" s="91">
        <f t="shared" si="29"/>
        <v>24690</v>
      </c>
      <c r="B537" s="9" t="s">
        <v>556</v>
      </c>
      <c r="C537" s="91"/>
      <c r="D537" s="91"/>
      <c r="E537" s="16" t="s">
        <v>437</v>
      </c>
      <c r="F537" s="16">
        <v>3</v>
      </c>
      <c r="G537" s="16">
        <f>IF(OR(E537="U16", E537="S16"),1,IF(E537="TS",6,2))</f>
        <v>2</v>
      </c>
      <c r="H537" s="91">
        <v>1</v>
      </c>
      <c r="I537" s="105"/>
      <c r="J537" s="138"/>
    </row>
    <row r="538" spans="1:10" ht="15.95" customHeight="1" x14ac:dyDescent="0.3">
      <c r="A538" s="91">
        <f t="shared" si="29"/>
        <v>24692</v>
      </c>
      <c r="B538" s="9" t="s">
        <v>557</v>
      </c>
      <c r="C538" s="91"/>
      <c r="D538" s="91"/>
      <c r="E538" s="16" t="s">
        <v>437</v>
      </c>
      <c r="F538" s="16">
        <v>3</v>
      </c>
      <c r="G538" s="16">
        <f t="shared" si="28"/>
        <v>2</v>
      </c>
      <c r="H538" s="91">
        <v>1</v>
      </c>
      <c r="I538" s="105"/>
      <c r="J538" s="138"/>
    </row>
    <row r="539" spans="1:10" ht="15.95" customHeight="1" x14ac:dyDescent="0.3">
      <c r="A539" s="91">
        <f t="shared" si="29"/>
        <v>24694</v>
      </c>
      <c r="B539" s="9"/>
      <c r="C539" s="91"/>
      <c r="D539" s="91"/>
      <c r="E539" s="16" t="s">
        <v>114</v>
      </c>
      <c r="F539" s="16">
        <v>3</v>
      </c>
      <c r="G539" s="16">
        <f t="shared" si="28"/>
        <v>1</v>
      </c>
      <c r="H539" s="91">
        <v>6</v>
      </c>
      <c r="I539" s="98"/>
      <c r="J539" s="77"/>
    </row>
    <row r="540" spans="1:10" customFormat="1" ht="16.5" x14ac:dyDescent="0.3">
      <c r="A540" s="122" t="s">
        <v>546</v>
      </c>
      <c r="B540" s="122"/>
      <c r="C540" s="122"/>
      <c r="D540" s="122"/>
      <c r="E540" s="122"/>
      <c r="F540" s="122"/>
      <c r="G540" s="122"/>
      <c r="H540" s="122"/>
      <c r="I540" s="104"/>
      <c r="J540" s="29"/>
    </row>
    <row r="541" spans="1:10" customFormat="1" ht="16.5" x14ac:dyDescent="0.3">
      <c r="A541" s="91">
        <f>A539+(G539*H539)</f>
        <v>24700</v>
      </c>
      <c r="B541" s="9" t="s">
        <v>889</v>
      </c>
      <c r="C541" s="91"/>
      <c r="D541" s="91"/>
      <c r="E541" s="16" t="s">
        <v>91</v>
      </c>
      <c r="F541" s="16">
        <v>3</v>
      </c>
      <c r="G541" s="16">
        <f t="shared" ref="G541:G588" si="30">IF(OR(E541="U16", E541="S16"),1,IF(E541="TS",6,2))</f>
        <v>2</v>
      </c>
      <c r="H541" s="91">
        <v>1</v>
      </c>
      <c r="I541" s="98"/>
      <c r="J541" s="29"/>
    </row>
    <row r="542" spans="1:10" customFormat="1" ht="16.5" x14ac:dyDescent="0.3">
      <c r="A542" s="91">
        <f t="shared" ref="A542:A589" si="31">A541+(G541*H541)</f>
        <v>24702</v>
      </c>
      <c r="B542" s="9" t="s">
        <v>154</v>
      </c>
      <c r="C542" s="91"/>
      <c r="D542" s="91"/>
      <c r="E542" s="16" t="s">
        <v>58</v>
      </c>
      <c r="F542" s="16">
        <v>3</v>
      </c>
      <c r="G542" s="16">
        <f t="shared" si="30"/>
        <v>2</v>
      </c>
      <c r="H542" s="91">
        <v>1</v>
      </c>
      <c r="I542" s="98"/>
      <c r="J542" s="29"/>
    </row>
    <row r="543" spans="1:10" customFormat="1" ht="16.5" x14ac:dyDescent="0.3">
      <c r="A543" s="91">
        <f t="shared" si="31"/>
        <v>24704</v>
      </c>
      <c r="B543" s="9" t="s">
        <v>155</v>
      </c>
      <c r="C543" s="9"/>
      <c r="D543" s="9"/>
      <c r="E543" s="16" t="s">
        <v>58</v>
      </c>
      <c r="F543" s="16">
        <v>3</v>
      </c>
      <c r="G543" s="16">
        <f t="shared" si="30"/>
        <v>2</v>
      </c>
      <c r="H543" s="91">
        <v>1</v>
      </c>
      <c r="I543" s="98"/>
      <c r="J543" s="29"/>
    </row>
    <row r="544" spans="1:10" customFormat="1" ht="16.5" x14ac:dyDescent="0.3">
      <c r="A544" s="91">
        <f t="shared" si="31"/>
        <v>24706</v>
      </c>
      <c r="B544" s="9" t="s">
        <v>156</v>
      </c>
      <c r="C544" s="9"/>
      <c r="D544" s="9"/>
      <c r="E544" s="16" t="s">
        <v>58</v>
      </c>
      <c r="F544" s="16">
        <v>3</v>
      </c>
      <c r="G544" s="16">
        <f t="shared" si="30"/>
        <v>2</v>
      </c>
      <c r="H544" s="91">
        <v>1</v>
      </c>
      <c r="I544" s="98"/>
      <c r="J544" s="29"/>
    </row>
    <row r="545" spans="1:10" customFormat="1" ht="16.5" x14ac:dyDescent="0.3">
      <c r="A545" s="91">
        <f t="shared" si="31"/>
        <v>24708</v>
      </c>
      <c r="B545" s="9" t="s">
        <v>890</v>
      </c>
      <c r="C545" s="9"/>
      <c r="D545" s="9"/>
      <c r="E545" s="16" t="s">
        <v>58</v>
      </c>
      <c r="F545" s="16">
        <v>3</v>
      </c>
      <c r="G545" s="16">
        <f t="shared" si="30"/>
        <v>2</v>
      </c>
      <c r="H545" s="91">
        <v>1</v>
      </c>
      <c r="I545" s="98"/>
      <c r="J545" s="29"/>
    </row>
    <row r="546" spans="1:10" customFormat="1" ht="16.5" x14ac:dyDescent="0.3">
      <c r="A546" s="91">
        <f t="shared" si="31"/>
        <v>24710</v>
      </c>
      <c r="B546" s="9" t="s">
        <v>891</v>
      </c>
      <c r="C546" s="9"/>
      <c r="D546" s="9"/>
      <c r="E546" s="16" t="s">
        <v>58</v>
      </c>
      <c r="F546" s="16">
        <v>3</v>
      </c>
      <c r="G546" s="16">
        <f t="shared" si="30"/>
        <v>2</v>
      </c>
      <c r="H546" s="91">
        <v>1</v>
      </c>
      <c r="I546" s="98"/>
      <c r="J546" s="29"/>
    </row>
    <row r="547" spans="1:10" customFormat="1" ht="16.5" x14ac:dyDescent="0.3">
      <c r="A547" s="91">
        <f t="shared" si="31"/>
        <v>24712</v>
      </c>
      <c r="B547" s="9" t="s">
        <v>892</v>
      </c>
      <c r="C547" s="9"/>
      <c r="D547" s="9"/>
      <c r="E547" s="16" t="s">
        <v>58</v>
      </c>
      <c r="F547" s="16">
        <v>3</v>
      </c>
      <c r="G547" s="16">
        <f t="shared" si="30"/>
        <v>2</v>
      </c>
      <c r="H547" s="91">
        <v>1</v>
      </c>
      <c r="I547" s="98"/>
      <c r="J547" s="29"/>
    </row>
    <row r="548" spans="1:10" ht="15.95" customHeight="1" x14ac:dyDescent="0.3">
      <c r="A548" s="91">
        <f t="shared" si="31"/>
        <v>24714</v>
      </c>
      <c r="B548" s="9" t="s">
        <v>893</v>
      </c>
      <c r="C548" s="9"/>
      <c r="D548" s="9"/>
      <c r="E548" s="16" t="s">
        <v>58</v>
      </c>
      <c r="F548" s="16">
        <v>3</v>
      </c>
      <c r="G548" s="16">
        <f>IF(OR(E548="U16", E548="S16"),1,IF(E548="TS",6,2))</f>
        <v>2</v>
      </c>
      <c r="H548" s="91">
        <v>1</v>
      </c>
      <c r="I548" s="98"/>
    </row>
    <row r="549" spans="1:10" customFormat="1" ht="16.5" x14ac:dyDescent="0.3">
      <c r="A549" s="91">
        <f t="shared" si="31"/>
        <v>24716</v>
      </c>
      <c r="B549" s="9" t="s">
        <v>894</v>
      </c>
      <c r="C549" s="9"/>
      <c r="D549" s="9"/>
      <c r="E549" s="16" t="s">
        <v>58</v>
      </c>
      <c r="F549" s="16">
        <v>3</v>
      </c>
      <c r="G549" s="16">
        <f>IF(OR(E549="U16", E549="S16"),1,IF(E549="TS",6,2))</f>
        <v>2</v>
      </c>
      <c r="H549" s="91">
        <v>1</v>
      </c>
      <c r="I549" s="98"/>
      <c r="J549" s="29"/>
    </row>
    <row r="550" spans="1:10" customFormat="1" ht="16.5" customHeight="1" x14ac:dyDescent="0.3">
      <c r="A550" s="91">
        <f t="shared" si="31"/>
        <v>24718</v>
      </c>
      <c r="B550" s="9" t="s">
        <v>895</v>
      </c>
      <c r="C550" s="9"/>
      <c r="D550" s="9"/>
      <c r="E550" s="16" t="s">
        <v>58</v>
      </c>
      <c r="F550" s="16">
        <v>3</v>
      </c>
      <c r="G550" s="16">
        <f>IF(OR(E550="U16", E550="S16"),1,IF(E550="TS",6,2))</f>
        <v>2</v>
      </c>
      <c r="H550" s="91">
        <v>1</v>
      </c>
      <c r="I550" s="98"/>
      <c r="J550" s="29"/>
    </row>
    <row r="551" spans="1:10" customFormat="1" ht="16.5" x14ac:dyDescent="0.3">
      <c r="A551" s="91">
        <f t="shared" si="31"/>
        <v>24720</v>
      </c>
      <c r="B551" s="9" t="s">
        <v>896</v>
      </c>
      <c r="C551" s="9"/>
      <c r="D551" s="9"/>
      <c r="E551" s="16" t="s">
        <v>58</v>
      </c>
      <c r="F551" s="16">
        <v>3</v>
      </c>
      <c r="G551" s="16">
        <f t="shared" si="30"/>
        <v>2</v>
      </c>
      <c r="H551" s="91">
        <v>1</v>
      </c>
      <c r="I551" s="98"/>
      <c r="J551" s="29"/>
    </row>
    <row r="552" spans="1:10" customFormat="1" ht="16.5" x14ac:dyDescent="0.3">
      <c r="A552" s="91">
        <f t="shared" si="31"/>
        <v>24722</v>
      </c>
      <c r="B552" s="9" t="s">
        <v>897</v>
      </c>
      <c r="C552" s="9"/>
      <c r="D552" s="9"/>
      <c r="E552" s="16" t="s">
        <v>58</v>
      </c>
      <c r="F552" s="16">
        <v>3</v>
      </c>
      <c r="G552" s="16">
        <f t="shared" si="30"/>
        <v>2</v>
      </c>
      <c r="H552" s="91">
        <v>1</v>
      </c>
      <c r="I552" s="98"/>
      <c r="J552" s="96"/>
    </row>
    <row r="553" spans="1:10" customFormat="1" ht="16.5" x14ac:dyDescent="0.3">
      <c r="A553" s="91">
        <f t="shared" si="31"/>
        <v>24724</v>
      </c>
      <c r="B553" s="9" t="s">
        <v>0</v>
      </c>
      <c r="C553" s="9"/>
      <c r="D553" s="9"/>
      <c r="E553" s="16" t="s">
        <v>58</v>
      </c>
      <c r="F553" s="16">
        <v>3</v>
      </c>
      <c r="G553" s="16">
        <f t="shared" si="30"/>
        <v>2</v>
      </c>
      <c r="H553" s="91">
        <v>1</v>
      </c>
      <c r="I553" s="98"/>
      <c r="J553" s="96"/>
    </row>
    <row r="554" spans="1:10" customFormat="1" ht="16.5" x14ac:dyDescent="0.3">
      <c r="A554" s="91">
        <f t="shared" si="31"/>
        <v>24726</v>
      </c>
      <c r="B554" s="9" t="s">
        <v>1</v>
      </c>
      <c r="C554" s="9"/>
      <c r="D554" s="9"/>
      <c r="E554" s="16" t="s">
        <v>58</v>
      </c>
      <c r="F554" s="16">
        <v>3</v>
      </c>
      <c r="G554" s="16">
        <f t="shared" si="30"/>
        <v>2</v>
      </c>
      <c r="H554" s="91">
        <v>1</v>
      </c>
      <c r="I554" s="98"/>
      <c r="J554" s="29"/>
    </row>
    <row r="555" spans="1:10" customFormat="1" ht="16.5" x14ac:dyDescent="0.3">
      <c r="A555" s="91">
        <f t="shared" si="31"/>
        <v>24728</v>
      </c>
      <c r="B555" s="9" t="s">
        <v>2</v>
      </c>
      <c r="C555" s="9"/>
      <c r="D555" s="9"/>
      <c r="E555" s="16" t="s">
        <v>58</v>
      </c>
      <c r="F555" s="16">
        <v>3</v>
      </c>
      <c r="G555" s="16">
        <f t="shared" si="30"/>
        <v>2</v>
      </c>
      <c r="H555" s="91">
        <v>1</v>
      </c>
      <c r="I555" s="98"/>
      <c r="J555" s="29"/>
    </row>
    <row r="556" spans="1:10" customFormat="1" ht="16.5" x14ac:dyDescent="0.3">
      <c r="A556" s="91">
        <f t="shared" si="31"/>
        <v>24730</v>
      </c>
      <c r="B556" s="9" t="s">
        <v>122</v>
      </c>
      <c r="C556" s="9"/>
      <c r="D556" s="9"/>
      <c r="E556" s="16" t="s">
        <v>58</v>
      </c>
      <c r="F556" s="16">
        <v>3</v>
      </c>
      <c r="G556" s="16">
        <f t="shared" si="30"/>
        <v>2</v>
      </c>
      <c r="H556" s="91">
        <v>1</v>
      </c>
      <c r="I556" s="98"/>
      <c r="J556" s="29"/>
    </row>
    <row r="557" spans="1:10" customFormat="1" ht="16.5" x14ac:dyDescent="0.3">
      <c r="A557" s="91">
        <f t="shared" si="31"/>
        <v>24732</v>
      </c>
      <c r="B557" s="9" t="s">
        <v>898</v>
      </c>
      <c r="C557" s="9"/>
      <c r="D557" s="9"/>
      <c r="E557" s="16" t="s">
        <v>58</v>
      </c>
      <c r="F557" s="16">
        <v>3</v>
      </c>
      <c r="G557" s="16">
        <f t="shared" si="30"/>
        <v>2</v>
      </c>
      <c r="H557" s="91">
        <v>1</v>
      </c>
      <c r="I557" s="98"/>
      <c r="J557" s="29"/>
    </row>
    <row r="558" spans="1:10" customFormat="1" ht="16.5" x14ac:dyDescent="0.3">
      <c r="A558" s="91">
        <f t="shared" si="31"/>
        <v>24734</v>
      </c>
      <c r="B558" s="9" t="s">
        <v>899</v>
      </c>
      <c r="C558" s="9"/>
      <c r="D558" s="9"/>
      <c r="E558" s="16" t="s">
        <v>58</v>
      </c>
      <c r="F558" s="16">
        <v>3</v>
      </c>
      <c r="G558" s="16">
        <f t="shared" si="30"/>
        <v>2</v>
      </c>
      <c r="H558" s="91">
        <v>1</v>
      </c>
      <c r="I558" s="98"/>
      <c r="J558" s="29"/>
    </row>
    <row r="559" spans="1:10" customFormat="1" ht="16.5" x14ac:dyDescent="0.3">
      <c r="A559" s="91">
        <f t="shared" si="31"/>
        <v>24736</v>
      </c>
      <c r="B559" s="9" t="s">
        <v>900</v>
      </c>
      <c r="C559" s="9"/>
      <c r="D559" s="9"/>
      <c r="E559" s="16" t="s">
        <v>58</v>
      </c>
      <c r="F559" s="16">
        <v>3</v>
      </c>
      <c r="G559" s="16">
        <f t="shared" si="30"/>
        <v>2</v>
      </c>
      <c r="H559" s="91">
        <v>1</v>
      </c>
      <c r="I559" s="98"/>
      <c r="J559" s="29"/>
    </row>
    <row r="560" spans="1:10" ht="15.95" customHeight="1" x14ac:dyDescent="0.3">
      <c r="A560" s="91">
        <f t="shared" si="31"/>
        <v>24738</v>
      </c>
      <c r="B560" s="9" t="s">
        <v>901</v>
      </c>
      <c r="C560" s="9"/>
      <c r="D560" s="9"/>
      <c r="E560" s="16" t="s">
        <v>58</v>
      </c>
      <c r="F560" s="16">
        <v>3</v>
      </c>
      <c r="G560" s="16">
        <f t="shared" si="30"/>
        <v>2</v>
      </c>
      <c r="H560" s="91">
        <v>1</v>
      </c>
      <c r="I560" s="98"/>
    </row>
    <row r="561" spans="1:10" ht="15.95" customHeight="1" x14ac:dyDescent="0.3">
      <c r="A561" s="91">
        <f t="shared" si="31"/>
        <v>24740</v>
      </c>
      <c r="B561" s="9" t="s">
        <v>902</v>
      </c>
      <c r="C561" s="9"/>
      <c r="D561" s="9"/>
      <c r="E561" s="16" t="s">
        <v>58</v>
      </c>
      <c r="F561" s="16">
        <v>3</v>
      </c>
      <c r="G561" s="16">
        <f t="shared" si="30"/>
        <v>2</v>
      </c>
      <c r="H561" s="91">
        <v>1</v>
      </c>
      <c r="I561" s="98"/>
    </row>
    <row r="562" spans="1:10" ht="15.95" customHeight="1" x14ac:dyDescent="0.3">
      <c r="A562" s="91">
        <f t="shared" si="31"/>
        <v>24742</v>
      </c>
      <c r="B562" s="9" t="s">
        <v>903</v>
      </c>
      <c r="C562" s="91"/>
      <c r="D562" s="91"/>
      <c r="E562" s="16" t="s">
        <v>58</v>
      </c>
      <c r="F562" s="16">
        <v>3</v>
      </c>
      <c r="G562" s="16">
        <f t="shared" si="30"/>
        <v>2</v>
      </c>
      <c r="H562" s="91">
        <v>1</v>
      </c>
      <c r="I562" s="98"/>
    </row>
    <row r="563" spans="1:10" customFormat="1" ht="16.5" x14ac:dyDescent="0.3">
      <c r="A563" s="91">
        <f t="shared" si="31"/>
        <v>24744</v>
      </c>
      <c r="B563" s="9" t="s">
        <v>904</v>
      </c>
      <c r="C563" s="91"/>
      <c r="D563" s="91"/>
      <c r="E563" s="16" t="s">
        <v>58</v>
      </c>
      <c r="F563" s="16">
        <v>3</v>
      </c>
      <c r="G563" s="16">
        <f t="shared" si="30"/>
        <v>2</v>
      </c>
      <c r="H563" s="91">
        <v>1</v>
      </c>
      <c r="I563" s="98"/>
      <c r="J563" s="29"/>
    </row>
    <row r="564" spans="1:10" customFormat="1" ht="16.5" customHeight="1" x14ac:dyDescent="0.3">
      <c r="A564" s="91">
        <f t="shared" si="31"/>
        <v>24746</v>
      </c>
      <c r="B564" s="9" t="s">
        <v>905</v>
      </c>
      <c r="C564" s="91"/>
      <c r="D564" s="91"/>
      <c r="E564" s="16" t="s">
        <v>58</v>
      </c>
      <c r="F564" s="16">
        <v>3</v>
      </c>
      <c r="G564" s="16">
        <f t="shared" si="30"/>
        <v>2</v>
      </c>
      <c r="H564" s="91">
        <v>1</v>
      </c>
      <c r="I564" s="98"/>
      <c r="J564" s="29"/>
    </row>
    <row r="565" spans="1:10" customFormat="1" ht="16.5" x14ac:dyDescent="0.3">
      <c r="A565" s="91">
        <f t="shared" si="31"/>
        <v>24748</v>
      </c>
      <c r="B565" s="9" t="s">
        <v>906</v>
      </c>
      <c r="C565" s="91"/>
      <c r="D565" s="91"/>
      <c r="E565" s="16" t="s">
        <v>58</v>
      </c>
      <c r="F565" s="16">
        <v>3</v>
      </c>
      <c r="G565" s="16">
        <f t="shared" si="30"/>
        <v>2</v>
      </c>
      <c r="H565" s="91">
        <v>1</v>
      </c>
      <c r="I565" s="98"/>
      <c r="J565" s="29"/>
    </row>
    <row r="566" spans="1:10" customFormat="1" ht="16.5" x14ac:dyDescent="0.3">
      <c r="A566" s="91">
        <f t="shared" si="31"/>
        <v>24750</v>
      </c>
      <c r="B566" s="9" t="s">
        <v>907</v>
      </c>
      <c r="C566" s="91"/>
      <c r="D566" s="91"/>
      <c r="E566" s="16" t="s">
        <v>58</v>
      </c>
      <c r="F566" s="16">
        <v>3</v>
      </c>
      <c r="G566" s="16">
        <f t="shared" si="30"/>
        <v>2</v>
      </c>
      <c r="H566" s="91">
        <v>1</v>
      </c>
      <c r="I566" s="98"/>
      <c r="J566" s="29"/>
    </row>
    <row r="567" spans="1:10" customFormat="1" ht="16.5" x14ac:dyDescent="0.3">
      <c r="A567" s="91">
        <f t="shared" si="31"/>
        <v>24752</v>
      </c>
      <c r="B567" s="9" t="s">
        <v>908</v>
      </c>
      <c r="C567" s="91"/>
      <c r="D567" s="91"/>
      <c r="E567" s="16" t="s">
        <v>58</v>
      </c>
      <c r="F567" s="16">
        <v>3</v>
      </c>
      <c r="G567" s="16">
        <f t="shared" si="30"/>
        <v>2</v>
      </c>
      <c r="H567" s="91">
        <v>1</v>
      </c>
      <c r="I567" s="98"/>
      <c r="J567" s="29"/>
    </row>
    <row r="568" spans="1:10" customFormat="1" ht="16.5" x14ac:dyDescent="0.3">
      <c r="A568" s="91">
        <f t="shared" si="31"/>
        <v>24754</v>
      </c>
      <c r="B568" s="9" t="s">
        <v>909</v>
      </c>
      <c r="C568" s="91"/>
      <c r="D568" s="91"/>
      <c r="E568" s="16" t="s">
        <v>58</v>
      </c>
      <c r="F568" s="16">
        <v>3</v>
      </c>
      <c r="G568" s="16">
        <f t="shared" si="30"/>
        <v>2</v>
      </c>
      <c r="H568" s="91">
        <v>1</v>
      </c>
      <c r="I568" s="98"/>
      <c r="J568" s="29"/>
    </row>
    <row r="569" spans="1:10" ht="15.95" customHeight="1" x14ac:dyDescent="0.3">
      <c r="A569" s="91">
        <f t="shared" si="31"/>
        <v>24756</v>
      </c>
      <c r="B569" s="9" t="s">
        <v>910</v>
      </c>
      <c r="C569" s="91"/>
      <c r="D569" s="91"/>
      <c r="E569" s="16" t="s">
        <v>58</v>
      </c>
      <c r="F569" s="16">
        <v>3</v>
      </c>
      <c r="G569" s="16">
        <f t="shared" si="30"/>
        <v>2</v>
      </c>
      <c r="H569" s="91">
        <v>1</v>
      </c>
      <c r="I569" s="98"/>
    </row>
    <row r="570" spans="1:10" ht="15.95" customHeight="1" x14ac:dyDescent="0.3">
      <c r="A570" s="91">
        <f t="shared" si="31"/>
        <v>24758</v>
      </c>
      <c r="B570" s="9" t="s">
        <v>911</v>
      </c>
      <c r="C570" s="91"/>
      <c r="D570" s="91"/>
      <c r="E570" s="16" t="s">
        <v>58</v>
      </c>
      <c r="F570" s="16">
        <v>3</v>
      </c>
      <c r="G570" s="16">
        <f t="shared" si="30"/>
        <v>2</v>
      </c>
      <c r="H570" s="91">
        <v>1</v>
      </c>
      <c r="I570" s="98"/>
    </row>
    <row r="571" spans="1:10" ht="15.95" customHeight="1" x14ac:dyDescent="0.3">
      <c r="A571" s="91">
        <f t="shared" si="31"/>
        <v>24760</v>
      </c>
      <c r="B571" s="9" t="s">
        <v>912</v>
      </c>
      <c r="C571" s="91"/>
      <c r="D571" s="91"/>
      <c r="E571" s="16" t="s">
        <v>58</v>
      </c>
      <c r="F571" s="16">
        <v>3</v>
      </c>
      <c r="G571" s="16">
        <f t="shared" si="30"/>
        <v>2</v>
      </c>
      <c r="H571" s="91">
        <v>1</v>
      </c>
      <c r="I571" s="98"/>
    </row>
    <row r="572" spans="1:10" customFormat="1" ht="16.5" x14ac:dyDescent="0.3">
      <c r="A572" s="91">
        <f t="shared" si="31"/>
        <v>24762</v>
      </c>
      <c r="B572" s="9" t="s">
        <v>913</v>
      </c>
      <c r="C572" s="9"/>
      <c r="D572" s="9"/>
      <c r="E572" s="16" t="s">
        <v>58</v>
      </c>
      <c r="F572" s="16">
        <v>3</v>
      </c>
      <c r="G572" s="16">
        <f t="shared" si="30"/>
        <v>2</v>
      </c>
      <c r="H572" s="91">
        <v>1</v>
      </c>
      <c r="I572" s="98"/>
      <c r="J572" s="29"/>
    </row>
    <row r="573" spans="1:10" customFormat="1" ht="16.5" customHeight="1" x14ac:dyDescent="0.3">
      <c r="A573" s="91">
        <f t="shared" si="31"/>
        <v>24764</v>
      </c>
      <c r="B573" s="9" t="s">
        <v>132</v>
      </c>
      <c r="C573" s="9"/>
      <c r="D573" s="9"/>
      <c r="E573" s="16" t="s">
        <v>58</v>
      </c>
      <c r="F573" s="16">
        <v>3</v>
      </c>
      <c r="G573" s="16">
        <f t="shared" si="30"/>
        <v>2</v>
      </c>
      <c r="H573" s="91">
        <v>1</v>
      </c>
      <c r="I573" s="98"/>
      <c r="J573" s="29"/>
    </row>
    <row r="574" spans="1:10" customFormat="1" ht="16.5" x14ac:dyDescent="0.3">
      <c r="A574" s="91">
        <f t="shared" si="31"/>
        <v>24766</v>
      </c>
      <c r="B574" s="9" t="s">
        <v>133</v>
      </c>
      <c r="C574" s="9"/>
      <c r="D574" s="9"/>
      <c r="E574" s="16" t="s">
        <v>58</v>
      </c>
      <c r="F574" s="16">
        <v>3</v>
      </c>
      <c r="G574" s="16">
        <f t="shared" si="30"/>
        <v>2</v>
      </c>
      <c r="H574" s="91">
        <v>1</v>
      </c>
      <c r="I574" s="98"/>
      <c r="J574" s="29"/>
    </row>
    <row r="575" spans="1:10" customFormat="1" ht="16.5" x14ac:dyDescent="0.3">
      <c r="A575" s="91">
        <f t="shared" si="31"/>
        <v>24768</v>
      </c>
      <c r="B575" s="9" t="s">
        <v>914</v>
      </c>
      <c r="C575" s="9"/>
      <c r="D575" s="9"/>
      <c r="E575" s="16" t="s">
        <v>58</v>
      </c>
      <c r="F575" s="16">
        <v>3</v>
      </c>
      <c r="G575" s="16">
        <f t="shared" si="30"/>
        <v>2</v>
      </c>
      <c r="H575" s="91">
        <v>1</v>
      </c>
      <c r="I575" s="98"/>
      <c r="J575" s="29"/>
    </row>
    <row r="576" spans="1:10" customFormat="1" ht="16.5" x14ac:dyDescent="0.3">
      <c r="A576" s="91">
        <f t="shared" si="31"/>
        <v>24770</v>
      </c>
      <c r="B576" s="9" t="s">
        <v>915</v>
      </c>
      <c r="C576" s="35"/>
      <c r="D576" s="91"/>
      <c r="E576" s="16" t="s">
        <v>58</v>
      </c>
      <c r="F576" s="16">
        <v>3</v>
      </c>
      <c r="G576" s="16">
        <f t="shared" si="30"/>
        <v>2</v>
      </c>
      <c r="H576" s="91">
        <v>1</v>
      </c>
      <c r="I576" s="98"/>
      <c r="J576" s="29"/>
    </row>
    <row r="577" spans="1:10" customFormat="1" ht="16.5" x14ac:dyDescent="0.3">
      <c r="A577" s="91">
        <f t="shared" si="31"/>
        <v>24772</v>
      </c>
      <c r="B577" s="9" t="s">
        <v>916</v>
      </c>
      <c r="C577" s="35"/>
      <c r="D577" s="91"/>
      <c r="E577" s="16" t="s">
        <v>58</v>
      </c>
      <c r="F577" s="16">
        <v>3</v>
      </c>
      <c r="G577" s="16">
        <f t="shared" si="30"/>
        <v>2</v>
      </c>
      <c r="H577" s="91">
        <v>1</v>
      </c>
      <c r="I577" s="98"/>
      <c r="J577" s="29"/>
    </row>
    <row r="578" spans="1:10" customFormat="1" ht="16.5" x14ac:dyDescent="0.3">
      <c r="A578" s="91">
        <f t="shared" si="31"/>
        <v>24774</v>
      </c>
      <c r="B578" s="9" t="s">
        <v>917</v>
      </c>
      <c r="C578" s="35"/>
      <c r="D578" s="91"/>
      <c r="E578" s="16" t="s">
        <v>58</v>
      </c>
      <c r="F578" s="16">
        <v>3</v>
      </c>
      <c r="G578" s="16">
        <f t="shared" si="30"/>
        <v>2</v>
      </c>
      <c r="H578" s="91">
        <v>1</v>
      </c>
      <c r="I578" s="98"/>
      <c r="J578" s="29"/>
    </row>
    <row r="579" spans="1:10" ht="16.5" customHeight="1" x14ac:dyDescent="0.3">
      <c r="A579" s="91">
        <f t="shared" si="31"/>
        <v>24776</v>
      </c>
      <c r="B579" s="9" t="s">
        <v>918</v>
      </c>
      <c r="C579" s="35"/>
      <c r="D579" s="91"/>
      <c r="E579" s="16" t="s">
        <v>58</v>
      </c>
      <c r="F579" s="16">
        <v>3</v>
      </c>
      <c r="G579" s="16">
        <f t="shared" si="30"/>
        <v>2</v>
      </c>
      <c r="H579" s="91">
        <v>1</v>
      </c>
      <c r="I579" s="98"/>
      <c r="J579" s="96" t="s">
        <v>560</v>
      </c>
    </row>
    <row r="580" spans="1:10" ht="16.5" customHeight="1" x14ac:dyDescent="0.3">
      <c r="A580" s="91">
        <f t="shared" si="31"/>
        <v>24778</v>
      </c>
      <c r="B580" s="9" t="s">
        <v>94</v>
      </c>
      <c r="C580" s="35"/>
      <c r="D580" s="91"/>
      <c r="E580" s="16" t="s">
        <v>114</v>
      </c>
      <c r="F580" s="16">
        <v>3</v>
      </c>
      <c r="G580" s="16">
        <f t="shared" si="30"/>
        <v>1</v>
      </c>
      <c r="H580" s="91">
        <v>24</v>
      </c>
      <c r="I580" s="98"/>
    </row>
    <row r="581" spans="1:10" ht="16.5" customHeight="1" x14ac:dyDescent="0.3">
      <c r="A581" s="91">
        <f t="shared" si="31"/>
        <v>24802</v>
      </c>
      <c r="B581" s="9" t="s">
        <v>95</v>
      </c>
      <c r="C581" s="35"/>
      <c r="D581" s="91"/>
      <c r="E581" s="16" t="s">
        <v>114</v>
      </c>
      <c r="F581" s="16">
        <v>3</v>
      </c>
      <c r="G581" s="16">
        <f t="shared" si="30"/>
        <v>1</v>
      </c>
      <c r="H581" s="91">
        <v>24</v>
      </c>
      <c r="I581" s="98"/>
      <c r="J581" s="96" t="s">
        <v>561</v>
      </c>
    </row>
    <row r="582" spans="1:10" ht="16.5" customHeight="1" x14ac:dyDescent="0.3">
      <c r="A582" s="91">
        <f t="shared" si="31"/>
        <v>24826</v>
      </c>
      <c r="B582" s="9" t="s">
        <v>96</v>
      </c>
      <c r="C582" s="35"/>
      <c r="D582" s="91"/>
      <c r="E582" s="16" t="s">
        <v>114</v>
      </c>
      <c r="F582" s="16">
        <v>3</v>
      </c>
      <c r="G582" s="16">
        <f t="shared" si="30"/>
        <v>1</v>
      </c>
      <c r="H582" s="91">
        <v>24</v>
      </c>
      <c r="I582" s="98"/>
    </row>
    <row r="583" spans="1:10" ht="16.5" customHeight="1" x14ac:dyDescent="0.3">
      <c r="A583" s="91">
        <f t="shared" si="31"/>
        <v>24850</v>
      </c>
      <c r="B583" s="9" t="s">
        <v>97</v>
      </c>
      <c r="C583" s="35"/>
      <c r="D583" s="91"/>
      <c r="E583" s="16" t="s">
        <v>114</v>
      </c>
      <c r="F583" s="16">
        <v>3</v>
      </c>
      <c r="G583" s="16">
        <f t="shared" si="30"/>
        <v>1</v>
      </c>
      <c r="H583" s="91">
        <v>24</v>
      </c>
      <c r="I583" s="98"/>
    </row>
    <row r="584" spans="1:10" ht="16.5" customHeight="1" x14ac:dyDescent="0.3">
      <c r="A584" s="91">
        <f t="shared" si="31"/>
        <v>24874</v>
      </c>
      <c r="B584" s="9" t="s">
        <v>98</v>
      </c>
      <c r="C584" s="35"/>
      <c r="D584" s="91"/>
      <c r="E584" s="16" t="s">
        <v>114</v>
      </c>
      <c r="F584" s="16">
        <v>3</v>
      </c>
      <c r="G584" s="16">
        <f t="shared" si="30"/>
        <v>1</v>
      </c>
      <c r="H584" s="91">
        <v>24</v>
      </c>
      <c r="I584" s="98"/>
    </row>
    <row r="585" spans="1:10" ht="16.5" customHeight="1" x14ac:dyDescent="0.3">
      <c r="A585" s="91">
        <f t="shared" si="31"/>
        <v>24898</v>
      </c>
      <c r="B585" s="9" t="s">
        <v>99</v>
      </c>
      <c r="C585" s="35"/>
      <c r="D585" s="91"/>
      <c r="E585" s="16" t="s">
        <v>114</v>
      </c>
      <c r="F585" s="16">
        <v>3</v>
      </c>
      <c r="G585" s="16">
        <f t="shared" si="30"/>
        <v>1</v>
      </c>
      <c r="H585" s="91">
        <v>24</v>
      </c>
      <c r="I585" s="98"/>
    </row>
    <row r="586" spans="1:10" ht="16.5" customHeight="1" x14ac:dyDescent="0.3">
      <c r="A586" s="91">
        <f t="shared" si="31"/>
        <v>24922</v>
      </c>
      <c r="B586" s="9" t="s">
        <v>100</v>
      </c>
      <c r="C586" s="35"/>
      <c r="D586" s="91"/>
      <c r="E586" s="16" t="s">
        <v>114</v>
      </c>
      <c r="F586" s="16">
        <v>3</v>
      </c>
      <c r="G586" s="16">
        <f t="shared" si="30"/>
        <v>1</v>
      </c>
      <c r="H586" s="91">
        <v>24</v>
      </c>
      <c r="I586" s="98"/>
    </row>
    <row r="587" spans="1:10" ht="16.5" customHeight="1" x14ac:dyDescent="0.3">
      <c r="A587" s="91">
        <f t="shared" si="31"/>
        <v>24946</v>
      </c>
      <c r="B587" s="9" t="s">
        <v>101</v>
      </c>
      <c r="C587" s="35"/>
      <c r="D587" s="91"/>
      <c r="E587" s="16" t="s">
        <v>114</v>
      </c>
      <c r="F587" s="16">
        <v>3</v>
      </c>
      <c r="G587" s="16">
        <f t="shared" si="30"/>
        <v>1</v>
      </c>
      <c r="H587" s="91">
        <v>24</v>
      </c>
      <c r="I587" s="98"/>
    </row>
    <row r="588" spans="1:10" ht="16.5" customHeight="1" x14ac:dyDescent="0.3">
      <c r="A588" s="91">
        <f t="shared" si="31"/>
        <v>24970</v>
      </c>
      <c r="B588" s="9" t="s">
        <v>102</v>
      </c>
      <c r="C588" s="35"/>
      <c r="D588" s="91"/>
      <c r="E588" s="16" t="s">
        <v>114</v>
      </c>
      <c r="F588" s="16">
        <v>3</v>
      </c>
      <c r="G588" s="16">
        <f t="shared" si="30"/>
        <v>1</v>
      </c>
      <c r="H588" s="91">
        <v>24</v>
      </c>
      <c r="I588" s="98"/>
    </row>
    <row r="589" spans="1:10" ht="16.5" customHeight="1" x14ac:dyDescent="0.3">
      <c r="A589" s="91">
        <f t="shared" si="31"/>
        <v>24994</v>
      </c>
      <c r="B589" s="9" t="s">
        <v>41</v>
      </c>
      <c r="C589" s="91"/>
      <c r="D589" s="91"/>
      <c r="E589" s="16" t="s">
        <v>123</v>
      </c>
      <c r="F589" s="16">
        <v>3</v>
      </c>
      <c r="G589" s="16">
        <f>IF(OR(E589="U16", E589="S16"),1,IF(E589="TS",6,2))</f>
        <v>1</v>
      </c>
      <c r="H589" s="91">
        <v>6</v>
      </c>
      <c r="I589" s="98"/>
    </row>
    <row r="590" spans="1:10" ht="16.5" customHeight="1" x14ac:dyDescent="0.3">
      <c r="A590" s="122" t="s">
        <v>559</v>
      </c>
      <c r="B590" s="122"/>
      <c r="C590" s="122"/>
      <c r="D590" s="122"/>
      <c r="E590" s="122"/>
      <c r="F590" s="122"/>
      <c r="G590" s="122"/>
      <c r="H590" s="122"/>
      <c r="I590" s="104"/>
    </row>
    <row r="591" spans="1:10" ht="16.5" customHeight="1" x14ac:dyDescent="0.3">
      <c r="A591" s="94">
        <f>A589+(G589*H589)</f>
        <v>25000</v>
      </c>
      <c r="B591" s="59" t="s">
        <v>90</v>
      </c>
      <c r="C591" s="94"/>
      <c r="D591" s="94"/>
      <c r="E591" s="94" t="s">
        <v>91</v>
      </c>
      <c r="F591" s="94">
        <v>3</v>
      </c>
      <c r="G591" s="94">
        <f t="shared" ref="G591:G598" si="32">IF(OR(E591="U16", E591="S16"),1,IF(E591="TS",6,2))</f>
        <v>2</v>
      </c>
      <c r="H591" s="94">
        <v>1</v>
      </c>
      <c r="I591" s="100"/>
    </row>
    <row r="592" spans="1:10" ht="16.5" customHeight="1" x14ac:dyDescent="0.3">
      <c r="A592" s="94">
        <f t="shared" ref="A592:A648" si="33">A591+(G591*H591)</f>
        <v>25002</v>
      </c>
      <c r="B592" s="59" t="s">
        <v>919</v>
      </c>
      <c r="C592" s="94"/>
      <c r="D592" s="94"/>
      <c r="E592" s="94" t="s">
        <v>58</v>
      </c>
      <c r="F592" s="94">
        <v>3</v>
      </c>
      <c r="G592" s="94">
        <f>IF(OR(E592="U16", E592="S16"),1,IF(E592="TS",6,2))</f>
        <v>2</v>
      </c>
      <c r="H592" s="94">
        <v>1</v>
      </c>
      <c r="I592" s="100"/>
    </row>
    <row r="593" spans="1:9" ht="16.5" customHeight="1" x14ac:dyDescent="0.3">
      <c r="A593" s="94">
        <f t="shared" si="33"/>
        <v>25004</v>
      </c>
      <c r="B593" s="59" t="s">
        <v>920</v>
      </c>
      <c r="C593" s="94"/>
      <c r="D593" s="94"/>
      <c r="E593" s="94" t="s">
        <v>58</v>
      </c>
      <c r="F593" s="94">
        <v>3</v>
      </c>
      <c r="G593" s="94">
        <f t="shared" si="32"/>
        <v>2</v>
      </c>
      <c r="H593" s="94">
        <v>1</v>
      </c>
      <c r="I593" s="100"/>
    </row>
    <row r="594" spans="1:9" ht="16.5" customHeight="1" x14ac:dyDescent="0.3">
      <c r="A594" s="94">
        <f t="shared" si="33"/>
        <v>25006</v>
      </c>
      <c r="B594" s="59" t="s">
        <v>921</v>
      </c>
      <c r="C594" s="59"/>
      <c r="D594" s="59"/>
      <c r="E594" s="94" t="s">
        <v>58</v>
      </c>
      <c r="F594" s="94">
        <v>3</v>
      </c>
      <c r="G594" s="94">
        <f t="shared" si="32"/>
        <v>2</v>
      </c>
      <c r="H594" s="94">
        <v>1</v>
      </c>
      <c r="I594" s="100"/>
    </row>
    <row r="595" spans="1:9" ht="16.5" customHeight="1" x14ac:dyDescent="0.3">
      <c r="A595" s="94">
        <f t="shared" si="33"/>
        <v>25008</v>
      </c>
      <c r="B595" s="59" t="s">
        <v>922</v>
      </c>
      <c r="C595" s="59"/>
      <c r="D595" s="59"/>
      <c r="E595" s="94" t="s">
        <v>58</v>
      </c>
      <c r="F595" s="94">
        <v>3</v>
      </c>
      <c r="G595" s="94">
        <f t="shared" si="32"/>
        <v>2</v>
      </c>
      <c r="H595" s="94">
        <v>1</v>
      </c>
      <c r="I595" s="100"/>
    </row>
    <row r="596" spans="1:9" ht="16.5" customHeight="1" x14ac:dyDescent="0.3">
      <c r="A596" s="94">
        <f t="shared" si="33"/>
        <v>25010</v>
      </c>
      <c r="B596" s="59" t="s">
        <v>923</v>
      </c>
      <c r="C596" s="59"/>
      <c r="D596" s="59"/>
      <c r="E596" s="94" t="s">
        <v>58</v>
      </c>
      <c r="F596" s="94">
        <v>3</v>
      </c>
      <c r="G596" s="94">
        <f t="shared" si="32"/>
        <v>2</v>
      </c>
      <c r="H596" s="94">
        <v>4</v>
      </c>
      <c r="I596" s="100"/>
    </row>
    <row r="597" spans="1:9" ht="16.5" customHeight="1" x14ac:dyDescent="0.3">
      <c r="A597" s="94">
        <f t="shared" si="33"/>
        <v>25018</v>
      </c>
      <c r="B597" s="59" t="s">
        <v>924</v>
      </c>
      <c r="C597" s="59"/>
      <c r="D597" s="59"/>
      <c r="E597" s="94" t="s">
        <v>58</v>
      </c>
      <c r="F597" s="94">
        <v>3</v>
      </c>
      <c r="G597" s="94">
        <f t="shared" si="32"/>
        <v>2</v>
      </c>
      <c r="H597" s="94">
        <v>4</v>
      </c>
      <c r="I597" s="100"/>
    </row>
    <row r="598" spans="1:9" ht="16.5" customHeight="1" x14ac:dyDescent="0.3">
      <c r="A598" s="94">
        <f t="shared" si="33"/>
        <v>25026</v>
      </c>
      <c r="B598" s="59" t="s">
        <v>925</v>
      </c>
      <c r="C598" s="59"/>
      <c r="D598" s="59"/>
      <c r="E598" s="94" t="s">
        <v>58</v>
      </c>
      <c r="F598" s="94">
        <v>3</v>
      </c>
      <c r="G598" s="94">
        <f t="shared" si="32"/>
        <v>2</v>
      </c>
      <c r="H598" s="94">
        <v>4</v>
      </c>
      <c r="I598" s="100"/>
    </row>
    <row r="599" spans="1:9" ht="16.5" customHeight="1" x14ac:dyDescent="0.3">
      <c r="A599" s="94">
        <f t="shared" si="33"/>
        <v>25034</v>
      </c>
      <c r="B599" s="59" t="s">
        <v>926</v>
      </c>
      <c r="C599" s="59"/>
      <c r="D599" s="59"/>
      <c r="E599" s="94" t="s">
        <v>58</v>
      </c>
      <c r="F599" s="94">
        <v>3</v>
      </c>
      <c r="G599" s="94">
        <f>IF(OR(E599="U16", E599="S16"),1,IF(E599="TS",6,2))</f>
        <v>2</v>
      </c>
      <c r="H599" s="94">
        <v>4</v>
      </c>
      <c r="I599" s="100"/>
    </row>
    <row r="600" spans="1:9" ht="16.5" customHeight="1" x14ac:dyDescent="0.3">
      <c r="A600" s="94">
        <f t="shared" si="33"/>
        <v>25042</v>
      </c>
      <c r="B600" s="59" t="s">
        <v>927</v>
      </c>
      <c r="C600" s="59"/>
      <c r="D600" s="59"/>
      <c r="E600" s="94" t="s">
        <v>58</v>
      </c>
      <c r="F600" s="94">
        <v>3</v>
      </c>
      <c r="G600" s="94">
        <f>IF(OR(E600="U16", E600="S16"),1,IF(E600="TS",6,2))</f>
        <v>2</v>
      </c>
      <c r="H600" s="94">
        <v>4</v>
      </c>
      <c r="I600" s="100"/>
    </row>
    <row r="601" spans="1:9" ht="16.5" customHeight="1" x14ac:dyDescent="0.3">
      <c r="A601" s="94">
        <f t="shared" si="33"/>
        <v>25050</v>
      </c>
      <c r="B601" s="59" t="s">
        <v>928</v>
      </c>
      <c r="C601" s="59"/>
      <c r="D601" s="59"/>
      <c r="E601" s="94" t="s">
        <v>58</v>
      </c>
      <c r="F601" s="94">
        <v>3</v>
      </c>
      <c r="G601" s="94">
        <f>IF(OR(E601="U16", E601="S16"),1,IF(E601="TS",6,2))</f>
        <v>2</v>
      </c>
      <c r="H601" s="94">
        <v>4</v>
      </c>
      <c r="I601" s="100"/>
    </row>
    <row r="602" spans="1:9" ht="16.5" customHeight="1" x14ac:dyDescent="0.3">
      <c r="A602" s="94">
        <f t="shared" si="33"/>
        <v>25058</v>
      </c>
      <c r="B602" s="59" t="s">
        <v>929</v>
      </c>
      <c r="C602" s="59"/>
      <c r="D602" s="59"/>
      <c r="E602" s="94" t="s">
        <v>58</v>
      </c>
      <c r="F602" s="94">
        <v>3</v>
      </c>
      <c r="G602" s="94">
        <f t="shared" ref="G602:G652" si="34">IF(OR(E602="U16", E602="S16"),1,IF(E602="TS",6,2))</f>
        <v>2</v>
      </c>
      <c r="H602" s="94">
        <v>4</v>
      </c>
      <c r="I602" s="100"/>
    </row>
    <row r="603" spans="1:9" ht="16.5" customHeight="1" x14ac:dyDescent="0.3">
      <c r="A603" s="94">
        <f t="shared" si="33"/>
        <v>25066</v>
      </c>
      <c r="B603" s="59" t="s">
        <v>930</v>
      </c>
      <c r="C603" s="59"/>
      <c r="D603" s="59"/>
      <c r="E603" s="94" t="s">
        <v>58</v>
      </c>
      <c r="F603" s="94">
        <v>3</v>
      </c>
      <c r="G603" s="94">
        <f t="shared" si="34"/>
        <v>2</v>
      </c>
      <c r="H603" s="94">
        <v>4</v>
      </c>
      <c r="I603" s="100"/>
    </row>
    <row r="604" spans="1:9" ht="16.5" customHeight="1" x14ac:dyDescent="0.3">
      <c r="A604" s="94">
        <f t="shared" si="33"/>
        <v>25074</v>
      </c>
      <c r="B604" s="59" t="s">
        <v>931</v>
      </c>
      <c r="C604" s="59"/>
      <c r="D604" s="59"/>
      <c r="E604" s="94" t="s">
        <v>58</v>
      </c>
      <c r="F604" s="94">
        <v>3</v>
      </c>
      <c r="G604" s="94">
        <f t="shared" si="34"/>
        <v>2</v>
      </c>
      <c r="H604" s="94">
        <v>4</v>
      </c>
      <c r="I604" s="100"/>
    </row>
    <row r="605" spans="1:9" ht="16.5" customHeight="1" x14ac:dyDescent="0.3">
      <c r="A605" s="94">
        <f t="shared" si="33"/>
        <v>25082</v>
      </c>
      <c r="B605" s="59" t="s">
        <v>932</v>
      </c>
      <c r="C605" s="59"/>
      <c r="D605" s="59"/>
      <c r="E605" s="94" t="s">
        <v>58</v>
      </c>
      <c r="F605" s="94">
        <v>3</v>
      </c>
      <c r="G605" s="94">
        <f t="shared" si="34"/>
        <v>2</v>
      </c>
      <c r="H605" s="94">
        <v>4</v>
      </c>
      <c r="I605" s="100"/>
    </row>
    <row r="606" spans="1:9" ht="16.5" customHeight="1" x14ac:dyDescent="0.3">
      <c r="A606" s="94">
        <f t="shared" si="33"/>
        <v>25090</v>
      </c>
      <c r="B606" s="59" t="s">
        <v>933</v>
      </c>
      <c r="C606" s="59"/>
      <c r="D606" s="59"/>
      <c r="E606" s="94" t="s">
        <v>58</v>
      </c>
      <c r="F606" s="94">
        <v>3</v>
      </c>
      <c r="G606" s="94">
        <f t="shared" si="34"/>
        <v>2</v>
      </c>
      <c r="H606" s="94">
        <v>4</v>
      </c>
      <c r="I606" s="100"/>
    </row>
    <row r="607" spans="1:9" ht="16.5" customHeight="1" x14ac:dyDescent="0.3">
      <c r="A607" s="94">
        <f t="shared" si="33"/>
        <v>25098</v>
      </c>
      <c r="B607" s="59" t="s">
        <v>934</v>
      </c>
      <c r="C607" s="59"/>
      <c r="D607" s="59"/>
      <c r="E607" s="94" t="s">
        <v>58</v>
      </c>
      <c r="F607" s="94">
        <v>3</v>
      </c>
      <c r="G607" s="94">
        <f t="shared" si="34"/>
        <v>2</v>
      </c>
      <c r="H607" s="94">
        <v>4</v>
      </c>
      <c r="I607" s="100"/>
    </row>
    <row r="608" spans="1:9" ht="16.5" customHeight="1" x14ac:dyDescent="0.3">
      <c r="A608" s="94">
        <f t="shared" si="33"/>
        <v>25106</v>
      </c>
      <c r="B608" s="59" t="s">
        <v>935</v>
      </c>
      <c r="C608" s="59"/>
      <c r="D608" s="59"/>
      <c r="E608" s="94" t="s">
        <v>58</v>
      </c>
      <c r="F608" s="94">
        <v>3</v>
      </c>
      <c r="G608" s="94">
        <f t="shared" si="34"/>
        <v>2</v>
      </c>
      <c r="H608" s="94">
        <v>4</v>
      </c>
      <c r="I608" s="100"/>
    </row>
    <row r="609" spans="1:9" ht="16.5" customHeight="1" x14ac:dyDescent="0.3">
      <c r="A609" s="94">
        <f t="shared" si="33"/>
        <v>25114</v>
      </c>
      <c r="B609" s="59" t="s">
        <v>936</v>
      </c>
      <c r="C609" s="59"/>
      <c r="D609" s="59"/>
      <c r="E609" s="94" t="s">
        <v>58</v>
      </c>
      <c r="F609" s="94">
        <v>3</v>
      </c>
      <c r="G609" s="94">
        <f t="shared" si="34"/>
        <v>2</v>
      </c>
      <c r="H609" s="94">
        <v>4</v>
      </c>
      <c r="I609" s="100"/>
    </row>
    <row r="610" spans="1:9" ht="16.5" customHeight="1" x14ac:dyDescent="0.3">
      <c r="A610" s="94">
        <f t="shared" si="33"/>
        <v>25122</v>
      </c>
      <c r="B610" s="59" t="s">
        <v>937</v>
      </c>
      <c r="C610" s="59"/>
      <c r="D610" s="59"/>
      <c r="E610" s="94" t="s">
        <v>58</v>
      </c>
      <c r="F610" s="94">
        <v>3</v>
      </c>
      <c r="G610" s="94">
        <f t="shared" si="34"/>
        <v>2</v>
      </c>
      <c r="H610" s="94">
        <v>4</v>
      </c>
      <c r="I610" s="100"/>
    </row>
    <row r="611" spans="1:9" ht="16.5" customHeight="1" x14ac:dyDescent="0.3">
      <c r="A611" s="94">
        <f t="shared" si="33"/>
        <v>25130</v>
      </c>
      <c r="B611" s="59" t="s">
        <v>938</v>
      </c>
      <c r="C611" s="59"/>
      <c r="D611" s="59"/>
      <c r="E611" s="94" t="s">
        <v>58</v>
      </c>
      <c r="F611" s="94">
        <v>3</v>
      </c>
      <c r="G611" s="94">
        <f t="shared" si="34"/>
        <v>2</v>
      </c>
      <c r="H611" s="94">
        <v>4</v>
      </c>
      <c r="I611" s="100"/>
    </row>
    <row r="612" spans="1:9" ht="16.5" customHeight="1" x14ac:dyDescent="0.3">
      <c r="A612" s="94">
        <f t="shared" si="33"/>
        <v>25138</v>
      </c>
      <c r="B612" s="59" t="s">
        <v>939</v>
      </c>
      <c r="C612" s="59"/>
      <c r="D612" s="59"/>
      <c r="E612" s="94" t="s">
        <v>58</v>
      </c>
      <c r="F612" s="94">
        <v>3</v>
      </c>
      <c r="G612" s="94">
        <f t="shared" si="34"/>
        <v>2</v>
      </c>
      <c r="H612" s="94">
        <v>4</v>
      </c>
      <c r="I612" s="100"/>
    </row>
    <row r="613" spans="1:9" ht="16.5" customHeight="1" x14ac:dyDescent="0.3">
      <c r="A613" s="94">
        <f t="shared" si="33"/>
        <v>25146</v>
      </c>
      <c r="B613" s="59" t="s">
        <v>940</v>
      </c>
      <c r="C613" s="94"/>
      <c r="D613" s="94"/>
      <c r="E613" s="94" t="s">
        <v>58</v>
      </c>
      <c r="F613" s="94">
        <v>3</v>
      </c>
      <c r="G613" s="94">
        <f t="shared" si="34"/>
        <v>2</v>
      </c>
      <c r="H613" s="94">
        <v>4</v>
      </c>
      <c r="I613" s="100"/>
    </row>
    <row r="614" spans="1:9" ht="16.5" customHeight="1" x14ac:dyDescent="0.3">
      <c r="A614" s="94">
        <f t="shared" si="33"/>
        <v>25154</v>
      </c>
      <c r="B614" s="59" t="s">
        <v>941</v>
      </c>
      <c r="C614" s="94"/>
      <c r="D614" s="94"/>
      <c r="E614" s="94" t="s">
        <v>58</v>
      </c>
      <c r="F614" s="94">
        <v>3</v>
      </c>
      <c r="G614" s="94">
        <f t="shared" si="34"/>
        <v>2</v>
      </c>
      <c r="H614" s="94">
        <v>4</v>
      </c>
      <c r="I614" s="100"/>
    </row>
    <row r="615" spans="1:9" ht="16.5" customHeight="1" x14ac:dyDescent="0.3">
      <c r="A615" s="94">
        <f t="shared" si="33"/>
        <v>25162</v>
      </c>
      <c r="B615" s="59" t="s">
        <v>942</v>
      </c>
      <c r="C615" s="94"/>
      <c r="D615" s="94"/>
      <c r="E615" s="94" t="s">
        <v>58</v>
      </c>
      <c r="F615" s="94">
        <v>3</v>
      </c>
      <c r="G615" s="94">
        <f t="shared" si="34"/>
        <v>2</v>
      </c>
      <c r="H615" s="94">
        <v>4</v>
      </c>
      <c r="I615" s="100"/>
    </row>
    <row r="616" spans="1:9" ht="16.5" customHeight="1" x14ac:dyDescent="0.3">
      <c r="A616" s="94">
        <f t="shared" si="33"/>
        <v>25170</v>
      </c>
      <c r="B616" s="59" t="s">
        <v>943</v>
      </c>
      <c r="C616" s="94"/>
      <c r="D616" s="94"/>
      <c r="E616" s="94" t="s">
        <v>58</v>
      </c>
      <c r="F616" s="94">
        <v>3</v>
      </c>
      <c r="G616" s="94">
        <f t="shared" si="34"/>
        <v>2</v>
      </c>
      <c r="H616" s="94">
        <v>4</v>
      </c>
      <c r="I616" s="100"/>
    </row>
    <row r="617" spans="1:9" ht="16.5" customHeight="1" x14ac:dyDescent="0.3">
      <c r="A617" s="94">
        <f t="shared" si="33"/>
        <v>25178</v>
      </c>
      <c r="B617" s="59" t="s">
        <v>944</v>
      </c>
      <c r="C617" s="94"/>
      <c r="D617" s="94"/>
      <c r="E617" s="94" t="s">
        <v>58</v>
      </c>
      <c r="F617" s="94">
        <v>3</v>
      </c>
      <c r="G617" s="94">
        <f t="shared" si="34"/>
        <v>2</v>
      </c>
      <c r="H617" s="94">
        <v>4</v>
      </c>
      <c r="I617" s="100"/>
    </row>
    <row r="618" spans="1:9" ht="16.5" customHeight="1" x14ac:dyDescent="0.3">
      <c r="A618" s="94">
        <f t="shared" si="33"/>
        <v>25186</v>
      </c>
      <c r="B618" s="59" t="s">
        <v>945</v>
      </c>
      <c r="C618" s="94"/>
      <c r="D618" s="94"/>
      <c r="E618" s="94" t="s">
        <v>58</v>
      </c>
      <c r="F618" s="94">
        <v>3</v>
      </c>
      <c r="G618" s="94">
        <f t="shared" si="34"/>
        <v>2</v>
      </c>
      <c r="H618" s="94">
        <v>4</v>
      </c>
      <c r="I618" s="100"/>
    </row>
    <row r="619" spans="1:9" ht="16.5" customHeight="1" x14ac:dyDescent="0.3">
      <c r="A619" s="94">
        <f t="shared" si="33"/>
        <v>25194</v>
      </c>
      <c r="B619" s="59"/>
      <c r="C619" s="94"/>
      <c r="D619" s="94"/>
      <c r="E619" s="94" t="s">
        <v>123</v>
      </c>
      <c r="F619" s="94">
        <v>3</v>
      </c>
      <c r="G619" s="94">
        <f t="shared" si="34"/>
        <v>1</v>
      </c>
      <c r="H619" s="94">
        <v>6</v>
      </c>
      <c r="I619" s="100"/>
    </row>
    <row r="620" spans="1:9" ht="16.5" customHeight="1" x14ac:dyDescent="0.3">
      <c r="A620" s="94">
        <f t="shared" si="33"/>
        <v>25200</v>
      </c>
      <c r="B620" s="59" t="s">
        <v>90</v>
      </c>
      <c r="C620" s="94"/>
      <c r="D620" s="94"/>
      <c r="E620" s="94" t="s">
        <v>91</v>
      </c>
      <c r="F620" s="94">
        <v>3</v>
      </c>
      <c r="G620" s="94">
        <f>IF(OR(E620="U16", E620="S16"),1,IF(E620="TS",6,2))</f>
        <v>2</v>
      </c>
      <c r="H620" s="94">
        <v>1</v>
      </c>
      <c r="I620" s="100"/>
    </row>
    <row r="621" spans="1:9" ht="16.5" customHeight="1" x14ac:dyDescent="0.3">
      <c r="A621" s="94">
        <f t="shared" si="33"/>
        <v>25202</v>
      </c>
      <c r="B621" s="59" t="s">
        <v>919</v>
      </c>
      <c r="C621" s="94"/>
      <c r="D621" s="94"/>
      <c r="E621" s="94" t="s">
        <v>58</v>
      </c>
      <c r="F621" s="94">
        <v>3</v>
      </c>
      <c r="G621" s="94">
        <f t="shared" si="34"/>
        <v>2</v>
      </c>
      <c r="H621" s="94">
        <v>1</v>
      </c>
      <c r="I621" s="100"/>
    </row>
    <row r="622" spans="1:9" ht="16.5" customHeight="1" x14ac:dyDescent="0.3">
      <c r="A622" s="94">
        <f t="shared" si="33"/>
        <v>25204</v>
      </c>
      <c r="B622" s="59" t="s">
        <v>920</v>
      </c>
      <c r="C622" s="94"/>
      <c r="D622" s="94"/>
      <c r="E622" s="94" t="s">
        <v>58</v>
      </c>
      <c r="F622" s="94">
        <v>3</v>
      </c>
      <c r="G622" s="94">
        <f t="shared" si="34"/>
        <v>2</v>
      </c>
      <c r="H622" s="94">
        <v>1</v>
      </c>
      <c r="I622" s="100"/>
    </row>
    <row r="623" spans="1:9" ht="16.5" customHeight="1" x14ac:dyDescent="0.3">
      <c r="A623" s="94">
        <f t="shared" si="33"/>
        <v>25206</v>
      </c>
      <c r="B623" s="59" t="s">
        <v>921</v>
      </c>
      <c r="C623" s="59"/>
      <c r="D623" s="59"/>
      <c r="E623" s="94" t="s">
        <v>58</v>
      </c>
      <c r="F623" s="94">
        <v>3</v>
      </c>
      <c r="G623" s="94">
        <f t="shared" si="34"/>
        <v>2</v>
      </c>
      <c r="H623" s="94">
        <v>1</v>
      </c>
      <c r="I623" s="100"/>
    </row>
    <row r="624" spans="1:9" ht="16.5" customHeight="1" x14ac:dyDescent="0.3">
      <c r="A624" s="94">
        <f t="shared" si="33"/>
        <v>25208</v>
      </c>
      <c r="B624" s="59" t="s">
        <v>922</v>
      </c>
      <c r="C624" s="59"/>
      <c r="D624" s="59"/>
      <c r="E624" s="94" t="s">
        <v>58</v>
      </c>
      <c r="F624" s="94">
        <v>3</v>
      </c>
      <c r="G624" s="94">
        <f t="shared" si="34"/>
        <v>2</v>
      </c>
      <c r="H624" s="94">
        <v>1</v>
      </c>
      <c r="I624" s="100"/>
    </row>
    <row r="625" spans="1:10" ht="16.5" customHeight="1" x14ac:dyDescent="0.3">
      <c r="A625" s="94">
        <f t="shared" si="33"/>
        <v>25210</v>
      </c>
      <c r="B625" s="59" t="s">
        <v>946</v>
      </c>
      <c r="C625" s="59"/>
      <c r="D625" s="59"/>
      <c r="E625" s="94" t="s">
        <v>58</v>
      </c>
      <c r="F625" s="94">
        <v>3</v>
      </c>
      <c r="G625" s="94">
        <f t="shared" si="34"/>
        <v>2</v>
      </c>
      <c r="H625" s="94">
        <v>4</v>
      </c>
      <c r="I625" s="100"/>
    </row>
    <row r="626" spans="1:10" ht="16.5" customHeight="1" x14ac:dyDescent="0.3">
      <c r="A626" s="94">
        <f t="shared" si="33"/>
        <v>25218</v>
      </c>
      <c r="B626" s="59" t="s">
        <v>947</v>
      </c>
      <c r="C626" s="59"/>
      <c r="D626" s="59"/>
      <c r="E626" s="94" t="s">
        <v>58</v>
      </c>
      <c r="F626" s="94">
        <v>3</v>
      </c>
      <c r="G626" s="94">
        <f t="shared" si="34"/>
        <v>2</v>
      </c>
      <c r="H626" s="94">
        <v>4</v>
      </c>
      <c r="I626" s="100"/>
    </row>
    <row r="627" spans="1:10" ht="16.5" customHeight="1" x14ac:dyDescent="0.3">
      <c r="A627" s="94">
        <f t="shared" si="33"/>
        <v>25226</v>
      </c>
      <c r="B627" s="59" t="s">
        <v>948</v>
      </c>
      <c r="C627" s="59"/>
      <c r="D627" s="59"/>
      <c r="E627" s="94" t="s">
        <v>58</v>
      </c>
      <c r="F627" s="94">
        <v>3</v>
      </c>
      <c r="G627" s="94">
        <f t="shared" si="34"/>
        <v>2</v>
      </c>
      <c r="H627" s="94">
        <v>4</v>
      </c>
      <c r="I627" s="100"/>
    </row>
    <row r="628" spans="1:10" ht="16.5" customHeight="1" x14ac:dyDescent="0.3">
      <c r="A628" s="94">
        <f t="shared" si="33"/>
        <v>25234</v>
      </c>
      <c r="B628" s="59" t="s">
        <v>949</v>
      </c>
      <c r="C628" s="59"/>
      <c r="D628" s="59"/>
      <c r="E628" s="94" t="s">
        <v>58</v>
      </c>
      <c r="F628" s="94">
        <v>3</v>
      </c>
      <c r="G628" s="94">
        <f t="shared" si="34"/>
        <v>2</v>
      </c>
      <c r="H628" s="94">
        <v>4</v>
      </c>
      <c r="I628" s="100"/>
    </row>
    <row r="629" spans="1:10" ht="16.5" customHeight="1" x14ac:dyDescent="0.3">
      <c r="A629" s="94">
        <f t="shared" si="33"/>
        <v>25242</v>
      </c>
      <c r="B629" s="59" t="s">
        <v>950</v>
      </c>
      <c r="C629" s="59"/>
      <c r="D629" s="59"/>
      <c r="E629" s="94" t="s">
        <v>58</v>
      </c>
      <c r="F629" s="94">
        <v>3</v>
      </c>
      <c r="G629" s="94">
        <f t="shared" si="34"/>
        <v>2</v>
      </c>
      <c r="H629" s="94">
        <v>4</v>
      </c>
      <c r="I629" s="100"/>
    </row>
    <row r="630" spans="1:10" ht="16.5" customHeight="1" x14ac:dyDescent="0.3">
      <c r="A630" s="94">
        <f t="shared" si="33"/>
        <v>25250</v>
      </c>
      <c r="B630" s="59" t="s">
        <v>951</v>
      </c>
      <c r="C630" s="59"/>
      <c r="D630" s="59"/>
      <c r="E630" s="94" t="s">
        <v>58</v>
      </c>
      <c r="F630" s="94">
        <v>3</v>
      </c>
      <c r="G630" s="94">
        <f t="shared" si="34"/>
        <v>2</v>
      </c>
      <c r="H630" s="94">
        <v>4</v>
      </c>
      <c r="I630" s="100"/>
    </row>
    <row r="631" spans="1:10" ht="16.5" customHeight="1" x14ac:dyDescent="0.3">
      <c r="A631" s="94">
        <f t="shared" si="33"/>
        <v>25258</v>
      </c>
      <c r="B631" s="59" t="s">
        <v>952</v>
      </c>
      <c r="C631" s="59"/>
      <c r="D631" s="59"/>
      <c r="E631" s="94" t="s">
        <v>58</v>
      </c>
      <c r="F631" s="94">
        <v>3</v>
      </c>
      <c r="G631" s="94">
        <f t="shared" si="34"/>
        <v>2</v>
      </c>
      <c r="H631" s="94">
        <v>4</v>
      </c>
      <c r="I631" s="100"/>
    </row>
    <row r="632" spans="1:10" ht="16.5" customHeight="1" x14ac:dyDescent="0.3">
      <c r="A632" s="94">
        <f t="shared" si="33"/>
        <v>25266</v>
      </c>
      <c r="B632" s="59" t="s">
        <v>953</v>
      </c>
      <c r="C632" s="59"/>
      <c r="D632" s="59"/>
      <c r="E632" s="94" t="s">
        <v>58</v>
      </c>
      <c r="F632" s="94">
        <v>3</v>
      </c>
      <c r="G632" s="94">
        <f t="shared" si="34"/>
        <v>2</v>
      </c>
      <c r="H632" s="94">
        <v>4</v>
      </c>
      <c r="I632" s="100"/>
    </row>
    <row r="633" spans="1:10" ht="16.5" customHeight="1" x14ac:dyDescent="0.3">
      <c r="A633" s="94">
        <f t="shared" si="33"/>
        <v>25274</v>
      </c>
      <c r="B633" s="59" t="s">
        <v>954</v>
      </c>
      <c r="C633" s="59"/>
      <c r="D633" s="59"/>
      <c r="E633" s="94" t="s">
        <v>58</v>
      </c>
      <c r="F633" s="94">
        <v>3</v>
      </c>
      <c r="G633" s="94">
        <f t="shared" si="34"/>
        <v>2</v>
      </c>
      <c r="H633" s="94">
        <v>4</v>
      </c>
      <c r="I633" s="100"/>
    </row>
    <row r="634" spans="1:10" ht="16.5" customHeight="1" x14ac:dyDescent="0.3">
      <c r="A634" s="94">
        <f t="shared" si="33"/>
        <v>25282</v>
      </c>
      <c r="B634" s="59" t="s">
        <v>955</v>
      </c>
      <c r="C634" s="59"/>
      <c r="D634" s="59"/>
      <c r="E634" s="94" t="s">
        <v>58</v>
      </c>
      <c r="F634" s="94">
        <v>3</v>
      </c>
      <c r="G634" s="94">
        <f t="shared" si="34"/>
        <v>2</v>
      </c>
      <c r="H634" s="94">
        <v>4</v>
      </c>
      <c r="I634" s="100"/>
    </row>
    <row r="635" spans="1:10" ht="16.5" customHeight="1" x14ac:dyDescent="0.3">
      <c r="A635" s="94">
        <f t="shared" si="33"/>
        <v>25290</v>
      </c>
      <c r="B635" s="59" t="s">
        <v>956</v>
      </c>
      <c r="C635" s="59"/>
      <c r="D635" s="59"/>
      <c r="E635" s="94" t="s">
        <v>58</v>
      </c>
      <c r="F635" s="94">
        <v>3</v>
      </c>
      <c r="G635" s="94">
        <f t="shared" si="34"/>
        <v>2</v>
      </c>
      <c r="H635" s="94">
        <v>4</v>
      </c>
      <c r="I635" s="100"/>
    </row>
    <row r="636" spans="1:10" ht="16.5" customHeight="1" x14ac:dyDescent="0.3">
      <c r="A636" s="94">
        <f t="shared" si="33"/>
        <v>25298</v>
      </c>
      <c r="B636" s="59" t="s">
        <v>957</v>
      </c>
      <c r="C636" s="59"/>
      <c r="D636" s="59"/>
      <c r="E636" s="94" t="s">
        <v>58</v>
      </c>
      <c r="F636" s="94">
        <v>3</v>
      </c>
      <c r="G636" s="94">
        <f t="shared" si="34"/>
        <v>2</v>
      </c>
      <c r="H636" s="94">
        <v>4</v>
      </c>
      <c r="I636" s="100"/>
    </row>
    <row r="637" spans="1:10" ht="16.5" customHeight="1" x14ac:dyDescent="0.3">
      <c r="A637" s="94">
        <f t="shared" si="33"/>
        <v>25306</v>
      </c>
      <c r="B637" s="59" t="s">
        <v>958</v>
      </c>
      <c r="C637" s="59"/>
      <c r="D637" s="59"/>
      <c r="E637" s="94" t="s">
        <v>58</v>
      </c>
      <c r="F637" s="94">
        <v>3</v>
      </c>
      <c r="G637" s="94">
        <f t="shared" si="34"/>
        <v>2</v>
      </c>
      <c r="H637" s="94">
        <v>4</v>
      </c>
      <c r="I637" s="100"/>
    </row>
    <row r="638" spans="1:10" customFormat="1" ht="16.5" x14ac:dyDescent="0.3">
      <c r="A638" s="94">
        <f t="shared" si="33"/>
        <v>25314</v>
      </c>
      <c r="B638" s="59" t="s">
        <v>959</v>
      </c>
      <c r="C638" s="59"/>
      <c r="D638" s="59"/>
      <c r="E638" s="94" t="s">
        <v>58</v>
      </c>
      <c r="F638" s="94">
        <v>3</v>
      </c>
      <c r="G638" s="94">
        <f t="shared" si="34"/>
        <v>2</v>
      </c>
      <c r="H638" s="94">
        <v>4</v>
      </c>
      <c r="I638" s="100"/>
      <c r="J638" s="29" t="s">
        <v>566</v>
      </c>
    </row>
    <row r="639" spans="1:10" ht="15.95" customHeight="1" x14ac:dyDescent="0.3">
      <c r="A639" s="94">
        <f t="shared" si="33"/>
        <v>25322</v>
      </c>
      <c r="B639" s="59" t="s">
        <v>960</v>
      </c>
      <c r="C639" s="59"/>
      <c r="D639" s="59"/>
      <c r="E639" s="94" t="s">
        <v>58</v>
      </c>
      <c r="F639" s="94">
        <v>3</v>
      </c>
      <c r="G639" s="94">
        <f t="shared" si="34"/>
        <v>2</v>
      </c>
      <c r="H639" s="94">
        <v>4</v>
      </c>
      <c r="I639" s="100"/>
    </row>
    <row r="640" spans="1:10" ht="15.95" customHeight="1" x14ac:dyDescent="0.3">
      <c r="A640" s="94">
        <f t="shared" si="33"/>
        <v>25330</v>
      </c>
      <c r="B640" s="59" t="s">
        <v>961</v>
      </c>
      <c r="C640" s="59"/>
      <c r="D640" s="59"/>
      <c r="E640" s="94" t="s">
        <v>58</v>
      </c>
      <c r="F640" s="94">
        <v>3</v>
      </c>
      <c r="G640" s="94">
        <f t="shared" si="34"/>
        <v>2</v>
      </c>
      <c r="H640" s="94">
        <v>4</v>
      </c>
      <c r="I640" s="100"/>
    </row>
    <row r="641" spans="1:10" ht="15.95" customHeight="1" x14ac:dyDescent="0.3">
      <c r="A641" s="94">
        <f t="shared" si="33"/>
        <v>25338</v>
      </c>
      <c r="B641" s="59" t="s">
        <v>962</v>
      </c>
      <c r="C641" s="59"/>
      <c r="D641" s="59"/>
      <c r="E641" s="94" t="s">
        <v>58</v>
      </c>
      <c r="F641" s="94">
        <v>3</v>
      </c>
      <c r="G641" s="94">
        <f t="shared" si="34"/>
        <v>2</v>
      </c>
      <c r="H641" s="94">
        <v>4</v>
      </c>
      <c r="I641" s="100"/>
    </row>
    <row r="642" spans="1:10" customFormat="1" ht="16.5" x14ac:dyDescent="0.3">
      <c r="A642" s="94">
        <f t="shared" si="33"/>
        <v>25346</v>
      </c>
      <c r="B642" s="59" t="s">
        <v>963</v>
      </c>
      <c r="C642" s="94"/>
      <c r="D642" s="94"/>
      <c r="E642" s="94" t="s">
        <v>58</v>
      </c>
      <c r="F642" s="94">
        <v>3</v>
      </c>
      <c r="G642" s="94">
        <f t="shared" si="34"/>
        <v>2</v>
      </c>
      <c r="H642" s="94">
        <v>4</v>
      </c>
      <c r="I642" s="100"/>
      <c r="J642" s="29"/>
    </row>
    <row r="643" spans="1:10" customFormat="1" ht="16.5" customHeight="1" x14ac:dyDescent="0.3">
      <c r="A643" s="94">
        <f t="shared" si="33"/>
        <v>25354</v>
      </c>
      <c r="B643" s="59" t="s">
        <v>964</v>
      </c>
      <c r="C643" s="94"/>
      <c r="D643" s="94"/>
      <c r="E643" s="94" t="s">
        <v>58</v>
      </c>
      <c r="F643" s="94">
        <v>3</v>
      </c>
      <c r="G643" s="94">
        <f t="shared" si="34"/>
        <v>2</v>
      </c>
      <c r="H643" s="94">
        <v>4</v>
      </c>
      <c r="I643" s="100"/>
      <c r="J643" s="29"/>
    </row>
    <row r="644" spans="1:10" customFormat="1" ht="16.5" x14ac:dyDescent="0.3">
      <c r="A644" s="94">
        <f t="shared" si="33"/>
        <v>25362</v>
      </c>
      <c r="B644" s="59" t="s">
        <v>965</v>
      </c>
      <c r="C644" s="94"/>
      <c r="D644" s="94"/>
      <c r="E644" s="94" t="s">
        <v>58</v>
      </c>
      <c r="F644" s="94">
        <v>3</v>
      </c>
      <c r="G644" s="94">
        <f t="shared" si="34"/>
        <v>2</v>
      </c>
      <c r="H644" s="94">
        <v>4</v>
      </c>
      <c r="I644" s="100"/>
      <c r="J644" s="29"/>
    </row>
    <row r="645" spans="1:10" customFormat="1" ht="16.5" x14ac:dyDescent="0.3">
      <c r="A645" s="94">
        <f t="shared" si="33"/>
        <v>25370</v>
      </c>
      <c r="B645" s="59" t="s">
        <v>966</v>
      </c>
      <c r="C645" s="94"/>
      <c r="D645" s="94"/>
      <c r="E645" s="94" t="s">
        <v>58</v>
      </c>
      <c r="F645" s="94">
        <v>3</v>
      </c>
      <c r="G645" s="94">
        <f t="shared" si="34"/>
        <v>2</v>
      </c>
      <c r="H645" s="94">
        <v>4</v>
      </c>
      <c r="I645" s="100"/>
      <c r="J645" s="29"/>
    </row>
    <row r="646" spans="1:10" customFormat="1" ht="16.5" x14ac:dyDescent="0.3">
      <c r="A646" s="94">
        <f t="shared" si="33"/>
        <v>25378</v>
      </c>
      <c r="B646" s="59" t="s">
        <v>967</v>
      </c>
      <c r="C646" s="94"/>
      <c r="D646" s="94"/>
      <c r="E646" s="94" t="s">
        <v>58</v>
      </c>
      <c r="F646" s="94">
        <v>3</v>
      </c>
      <c r="G646" s="94">
        <f t="shared" si="34"/>
        <v>2</v>
      </c>
      <c r="H646" s="94">
        <v>4</v>
      </c>
      <c r="I646" s="100"/>
      <c r="J646" s="29"/>
    </row>
    <row r="647" spans="1:10" customFormat="1" ht="16.5" x14ac:dyDescent="0.3">
      <c r="A647" s="94">
        <f t="shared" si="33"/>
        <v>25386</v>
      </c>
      <c r="B647" s="59" t="s">
        <v>968</v>
      </c>
      <c r="C647" s="94"/>
      <c r="D647" s="94"/>
      <c r="E647" s="94" t="s">
        <v>58</v>
      </c>
      <c r="F647" s="94">
        <v>3</v>
      </c>
      <c r="G647" s="94">
        <f t="shared" si="34"/>
        <v>2</v>
      </c>
      <c r="H647" s="94">
        <v>4</v>
      </c>
      <c r="I647" s="100"/>
      <c r="J647" s="29"/>
    </row>
    <row r="648" spans="1:10" customFormat="1" ht="16.5" x14ac:dyDescent="0.3">
      <c r="A648" s="94">
        <f t="shared" si="33"/>
        <v>25394</v>
      </c>
      <c r="B648" s="59"/>
      <c r="C648" s="94"/>
      <c r="D648" s="94"/>
      <c r="E648" s="94" t="s">
        <v>123</v>
      </c>
      <c r="F648" s="94">
        <v>3</v>
      </c>
      <c r="G648" s="94">
        <f t="shared" si="34"/>
        <v>1</v>
      </c>
      <c r="H648" s="94">
        <v>6</v>
      </c>
      <c r="I648" s="100"/>
      <c r="J648" s="29"/>
    </row>
    <row r="649" spans="1:10" customFormat="1" ht="16.5" x14ac:dyDescent="0.3">
      <c r="A649" s="122" t="s">
        <v>562</v>
      </c>
      <c r="B649" s="122"/>
      <c r="C649" s="122"/>
      <c r="D649" s="122"/>
      <c r="E649" s="122"/>
      <c r="F649" s="122"/>
      <c r="G649" s="122"/>
      <c r="H649" s="122"/>
      <c r="I649" s="104"/>
      <c r="J649" s="29"/>
    </row>
    <row r="650" spans="1:10" customFormat="1" ht="16.5" x14ac:dyDescent="0.3">
      <c r="A650" s="91">
        <f>A648+(G648*H648)</f>
        <v>25400</v>
      </c>
      <c r="B650" s="9" t="s">
        <v>90</v>
      </c>
      <c r="C650" s="91"/>
      <c r="D650" s="91"/>
      <c r="E650" s="16" t="s">
        <v>145</v>
      </c>
      <c r="F650" s="16">
        <v>3</v>
      </c>
      <c r="G650" s="16">
        <f t="shared" si="34"/>
        <v>2</v>
      </c>
      <c r="H650" s="91">
        <v>1</v>
      </c>
      <c r="I650" s="98"/>
      <c r="J650" s="29"/>
    </row>
    <row r="651" spans="1:10" customFormat="1" ht="16.5" x14ac:dyDescent="0.3">
      <c r="A651" s="91">
        <f>A650+(G650*H650)</f>
        <v>25402</v>
      </c>
      <c r="B651" s="9" t="s">
        <v>265</v>
      </c>
      <c r="C651" s="91"/>
      <c r="D651" s="91"/>
      <c r="E651" s="16" t="s">
        <v>58</v>
      </c>
      <c r="F651" s="16">
        <v>3</v>
      </c>
      <c r="G651" s="16">
        <f>IF(OR(E651="U16", E651="S16"),1,IF(E651="TS",6,2))</f>
        <v>2</v>
      </c>
      <c r="H651" s="91">
        <v>96</v>
      </c>
      <c r="I651" s="98"/>
      <c r="J651" s="29"/>
    </row>
    <row r="652" spans="1:10" customFormat="1" ht="16.5" x14ac:dyDescent="0.3">
      <c r="A652" s="91">
        <f>A651+(G651*H651)</f>
        <v>25594</v>
      </c>
      <c r="B652" s="9" t="s">
        <v>41</v>
      </c>
      <c r="C652" s="91"/>
      <c r="D652" s="91"/>
      <c r="E652" s="16" t="s">
        <v>123</v>
      </c>
      <c r="F652" s="16">
        <v>3</v>
      </c>
      <c r="G652" s="16">
        <f t="shared" si="34"/>
        <v>1</v>
      </c>
      <c r="H652" s="91">
        <v>6</v>
      </c>
      <c r="I652" s="98"/>
      <c r="J652" s="29"/>
    </row>
    <row r="653" spans="1:10" customFormat="1" ht="16.5" x14ac:dyDescent="0.3">
      <c r="A653" s="122" t="s">
        <v>569</v>
      </c>
      <c r="B653" s="122"/>
      <c r="C653" s="122"/>
      <c r="D653" s="122"/>
      <c r="E653" s="122"/>
      <c r="F653" s="122"/>
      <c r="G653" s="122"/>
      <c r="H653" s="122"/>
      <c r="I653" s="104"/>
      <c r="J653" s="29"/>
    </row>
    <row r="654" spans="1:10" customFormat="1" ht="16.5" x14ac:dyDescent="0.3">
      <c r="A654" s="91">
        <f>A652+(G652*H652)</f>
        <v>25600</v>
      </c>
      <c r="B654" s="9" t="s">
        <v>400</v>
      </c>
      <c r="C654" s="91"/>
      <c r="D654" s="91"/>
      <c r="E654" s="16" t="s">
        <v>114</v>
      </c>
      <c r="F654" s="16">
        <v>3</v>
      </c>
      <c r="G654" s="16">
        <f t="shared" ref="G654:G678" si="35">IF(OR(E654="U16", E654="S16"),1,IF(E654="TS",6,2))</f>
        <v>1</v>
      </c>
      <c r="H654" s="91">
        <v>1</v>
      </c>
      <c r="I654" s="98"/>
      <c r="J654" s="29"/>
    </row>
    <row r="655" spans="1:10" customFormat="1" ht="15.95" customHeight="1" x14ac:dyDescent="0.3">
      <c r="A655" s="91">
        <f t="shared" ref="A655:A705" si="36">A654+(G654*H654)</f>
        <v>25601</v>
      </c>
      <c r="B655" s="9" t="s">
        <v>401</v>
      </c>
      <c r="C655" s="91"/>
      <c r="D655" s="91"/>
      <c r="E655" s="16" t="s">
        <v>114</v>
      </c>
      <c r="F655" s="16">
        <v>3</v>
      </c>
      <c r="G655" s="16">
        <f t="shared" si="35"/>
        <v>1</v>
      </c>
      <c r="H655" s="91">
        <v>1</v>
      </c>
      <c r="I655" s="98"/>
      <c r="J655" s="29"/>
    </row>
    <row r="656" spans="1:10" customFormat="1" ht="16.5" x14ac:dyDescent="0.3">
      <c r="A656" s="91">
        <f t="shared" si="36"/>
        <v>25602</v>
      </c>
      <c r="B656" s="9" t="s">
        <v>117</v>
      </c>
      <c r="C656" s="91"/>
      <c r="D656" s="91"/>
      <c r="E656" s="16" t="s">
        <v>91</v>
      </c>
      <c r="F656" s="16">
        <v>3</v>
      </c>
      <c r="G656" s="16">
        <f t="shared" si="35"/>
        <v>2</v>
      </c>
      <c r="H656" s="91">
        <v>1</v>
      </c>
      <c r="I656" s="98"/>
      <c r="J656" s="29"/>
    </row>
    <row r="657" spans="1:10" customFormat="1" ht="16.5" x14ac:dyDescent="0.3">
      <c r="A657" s="91">
        <f t="shared" si="36"/>
        <v>25604</v>
      </c>
      <c r="B657" s="146" t="s">
        <v>30</v>
      </c>
      <c r="C657" s="91" t="s">
        <v>1153</v>
      </c>
      <c r="D657" s="91"/>
      <c r="E657" s="16" t="s">
        <v>437</v>
      </c>
      <c r="F657" s="16">
        <v>3</v>
      </c>
      <c r="G657" s="16">
        <v>2</v>
      </c>
      <c r="H657" s="91">
        <v>1</v>
      </c>
      <c r="I657" s="98"/>
      <c r="J657" s="29"/>
    </row>
    <row r="658" spans="1:10" customFormat="1" ht="16.5" x14ac:dyDescent="0.3">
      <c r="A658" s="117">
        <f t="shared" si="36"/>
        <v>25606</v>
      </c>
      <c r="B658" s="147"/>
      <c r="C658" s="117" t="s">
        <v>1152</v>
      </c>
      <c r="D658" s="117"/>
      <c r="E658" s="16" t="s">
        <v>259</v>
      </c>
      <c r="F658" s="16">
        <v>3</v>
      </c>
      <c r="G658" s="16">
        <v>2</v>
      </c>
      <c r="H658" s="117">
        <v>1</v>
      </c>
      <c r="I658" s="98"/>
      <c r="J658" s="29"/>
    </row>
    <row r="659" spans="1:10" customFormat="1" ht="16.5" x14ac:dyDescent="0.3">
      <c r="A659" s="117">
        <f t="shared" si="36"/>
        <v>25608</v>
      </c>
      <c r="B659" s="147"/>
      <c r="C659" s="117" t="s">
        <v>1154</v>
      </c>
      <c r="D659" s="117"/>
      <c r="E659" s="16" t="s">
        <v>437</v>
      </c>
      <c r="F659" s="16">
        <v>3</v>
      </c>
      <c r="G659" s="16">
        <v>2</v>
      </c>
      <c r="H659" s="117">
        <v>1</v>
      </c>
      <c r="I659" s="98"/>
      <c r="J659" s="29"/>
    </row>
    <row r="660" spans="1:10" customFormat="1" ht="16.5" x14ac:dyDescent="0.3">
      <c r="A660" s="117">
        <f t="shared" si="36"/>
        <v>25610</v>
      </c>
      <c r="B660" s="148"/>
      <c r="C660" s="117" t="s">
        <v>1155</v>
      </c>
      <c r="D660" s="117"/>
      <c r="E660" s="16" t="s">
        <v>259</v>
      </c>
      <c r="F660" s="16">
        <v>3</v>
      </c>
      <c r="G660" s="16">
        <v>2</v>
      </c>
      <c r="H660" s="117">
        <v>1</v>
      </c>
      <c r="I660" s="98"/>
      <c r="J660" s="29"/>
    </row>
    <row r="661" spans="1:10" customFormat="1" ht="16.5" x14ac:dyDescent="0.3">
      <c r="A661" s="117">
        <f t="shared" si="36"/>
        <v>25612</v>
      </c>
      <c r="B661" s="9" t="s">
        <v>198</v>
      </c>
      <c r="C661" s="91"/>
      <c r="D661" s="91"/>
      <c r="E661" s="16" t="s">
        <v>58</v>
      </c>
      <c r="F661" s="16">
        <v>3</v>
      </c>
      <c r="G661" s="16">
        <f t="shared" si="35"/>
        <v>2</v>
      </c>
      <c r="H661" s="91">
        <v>4</v>
      </c>
      <c r="I661" s="98"/>
      <c r="J661" s="29"/>
    </row>
    <row r="662" spans="1:10" customFormat="1" ht="16.5" x14ac:dyDescent="0.3">
      <c r="A662" s="117">
        <f t="shared" si="36"/>
        <v>25620</v>
      </c>
      <c r="B662" s="9" t="s">
        <v>154</v>
      </c>
      <c r="C662" s="91"/>
      <c r="D662" s="91"/>
      <c r="E662" s="16" t="s">
        <v>58</v>
      </c>
      <c r="F662" s="16">
        <v>3</v>
      </c>
      <c r="G662" s="16">
        <f t="shared" si="35"/>
        <v>2</v>
      </c>
      <c r="H662" s="91">
        <v>4</v>
      </c>
      <c r="I662" s="98"/>
      <c r="J662" s="29"/>
    </row>
    <row r="663" spans="1:10" customFormat="1" ht="16.5" x14ac:dyDescent="0.3">
      <c r="A663" s="117">
        <f t="shared" si="36"/>
        <v>25628</v>
      </c>
      <c r="B663" s="9" t="s">
        <v>155</v>
      </c>
      <c r="C663" s="91"/>
      <c r="D663" s="91"/>
      <c r="E663" s="16" t="s">
        <v>58</v>
      </c>
      <c r="F663" s="16">
        <v>3</v>
      </c>
      <c r="G663" s="16">
        <f t="shared" si="35"/>
        <v>2</v>
      </c>
      <c r="H663" s="91">
        <v>4</v>
      </c>
      <c r="I663" s="98"/>
      <c r="J663" s="29"/>
    </row>
    <row r="664" spans="1:10" customFormat="1" ht="16.5" x14ac:dyDescent="0.3">
      <c r="A664" s="91">
        <f t="shared" si="36"/>
        <v>25636</v>
      </c>
      <c r="B664" s="9" t="s">
        <v>156</v>
      </c>
      <c r="C664" s="91"/>
      <c r="D664" s="91"/>
      <c r="E664" s="16" t="s">
        <v>58</v>
      </c>
      <c r="F664" s="16">
        <v>3</v>
      </c>
      <c r="G664" s="16">
        <f t="shared" si="35"/>
        <v>2</v>
      </c>
      <c r="H664" s="91">
        <v>4</v>
      </c>
      <c r="I664" s="98"/>
      <c r="J664" s="29"/>
    </row>
    <row r="665" spans="1:10" customFormat="1" ht="16.5" x14ac:dyDescent="0.3">
      <c r="A665" s="91">
        <f t="shared" si="36"/>
        <v>25644</v>
      </c>
      <c r="B665" s="9" t="s">
        <v>157</v>
      </c>
      <c r="C665" s="91"/>
      <c r="D665" s="91"/>
      <c r="E665" s="16" t="s">
        <v>58</v>
      </c>
      <c r="F665" s="16">
        <v>3</v>
      </c>
      <c r="G665" s="16">
        <f t="shared" si="35"/>
        <v>2</v>
      </c>
      <c r="H665" s="91">
        <v>4</v>
      </c>
      <c r="I665" s="98"/>
      <c r="J665" s="29"/>
    </row>
    <row r="666" spans="1:10" customFormat="1" ht="16.5" x14ac:dyDescent="0.3">
      <c r="A666" s="91">
        <f t="shared" si="36"/>
        <v>25652</v>
      </c>
      <c r="B666" s="9" t="s">
        <v>158</v>
      </c>
      <c r="C666" s="91"/>
      <c r="D666" s="91"/>
      <c r="E666" s="16" t="s">
        <v>58</v>
      </c>
      <c r="F666" s="16">
        <v>3</v>
      </c>
      <c r="G666" s="16">
        <f t="shared" si="35"/>
        <v>2</v>
      </c>
      <c r="H666" s="91">
        <v>4</v>
      </c>
      <c r="I666" s="98"/>
      <c r="J666" s="29"/>
    </row>
    <row r="667" spans="1:10" customFormat="1" ht="16.5" x14ac:dyDescent="0.3">
      <c r="A667" s="91">
        <f t="shared" si="36"/>
        <v>25660</v>
      </c>
      <c r="B667" s="9" t="s">
        <v>159</v>
      </c>
      <c r="C667" s="91"/>
      <c r="D667" s="91"/>
      <c r="E667" s="16" t="s">
        <v>58</v>
      </c>
      <c r="F667" s="16">
        <v>3</v>
      </c>
      <c r="G667" s="16">
        <f t="shared" si="35"/>
        <v>2</v>
      </c>
      <c r="H667" s="91">
        <v>4</v>
      </c>
      <c r="I667" s="98"/>
      <c r="J667" s="29"/>
    </row>
    <row r="668" spans="1:10" customFormat="1" ht="16.5" x14ac:dyDescent="0.3">
      <c r="A668" s="91">
        <f t="shared" si="36"/>
        <v>25668</v>
      </c>
      <c r="B668" s="9" t="s">
        <v>160</v>
      </c>
      <c r="C668" s="91"/>
      <c r="D668" s="91"/>
      <c r="E668" s="16" t="s">
        <v>58</v>
      </c>
      <c r="F668" s="16">
        <v>3</v>
      </c>
      <c r="G668" s="16">
        <f t="shared" si="35"/>
        <v>2</v>
      </c>
      <c r="H668" s="91">
        <v>4</v>
      </c>
      <c r="I668" s="98"/>
      <c r="J668" s="29"/>
    </row>
    <row r="669" spans="1:10" customFormat="1" ht="16.5" x14ac:dyDescent="0.3">
      <c r="A669" s="91">
        <f t="shared" si="36"/>
        <v>25676</v>
      </c>
      <c r="B669" s="9" t="s">
        <v>161</v>
      </c>
      <c r="C669" s="91"/>
      <c r="D669" s="91"/>
      <c r="E669" s="16" t="s">
        <v>58</v>
      </c>
      <c r="F669" s="16">
        <v>3</v>
      </c>
      <c r="G669" s="16">
        <f t="shared" si="35"/>
        <v>2</v>
      </c>
      <c r="H669" s="91">
        <v>4</v>
      </c>
      <c r="I669" s="98"/>
      <c r="J669" s="29"/>
    </row>
    <row r="670" spans="1:10" customFormat="1" ht="16.5" x14ac:dyDescent="0.3">
      <c r="A670" s="91">
        <f t="shared" si="36"/>
        <v>25684</v>
      </c>
      <c r="B670" s="9" t="s">
        <v>0</v>
      </c>
      <c r="C670" s="91"/>
      <c r="D670" s="91"/>
      <c r="E670" s="16" t="s">
        <v>58</v>
      </c>
      <c r="F670" s="16">
        <v>3</v>
      </c>
      <c r="G670" s="16">
        <f t="shared" si="35"/>
        <v>2</v>
      </c>
      <c r="H670" s="91">
        <v>4</v>
      </c>
      <c r="I670" s="98"/>
      <c r="J670" s="29"/>
    </row>
    <row r="671" spans="1:10" customFormat="1" ht="16.5" x14ac:dyDescent="0.3">
      <c r="A671" s="91">
        <f t="shared" si="36"/>
        <v>25692</v>
      </c>
      <c r="B671" s="9" t="s">
        <v>119</v>
      </c>
      <c r="C671" s="91"/>
      <c r="D671" s="91"/>
      <c r="E671" s="16" t="s">
        <v>58</v>
      </c>
      <c r="F671" s="16">
        <v>3</v>
      </c>
      <c r="G671" s="16">
        <f t="shared" si="35"/>
        <v>2</v>
      </c>
      <c r="H671" s="91">
        <v>4</v>
      </c>
      <c r="I671" s="98"/>
      <c r="J671" s="29"/>
    </row>
    <row r="672" spans="1:10" customFormat="1" ht="16.5" x14ac:dyDescent="0.3">
      <c r="A672" s="91">
        <f t="shared" si="36"/>
        <v>25700</v>
      </c>
      <c r="B672" s="9" t="s">
        <v>120</v>
      </c>
      <c r="C672" s="91"/>
      <c r="D672" s="91"/>
      <c r="E672" s="16" t="s">
        <v>58</v>
      </c>
      <c r="F672" s="16">
        <v>3</v>
      </c>
      <c r="G672" s="16">
        <f t="shared" si="35"/>
        <v>2</v>
      </c>
      <c r="H672" s="91">
        <v>4</v>
      </c>
      <c r="I672" s="98"/>
      <c r="J672" s="29"/>
    </row>
    <row r="673" spans="1:10" customFormat="1" ht="16.5" x14ac:dyDescent="0.3">
      <c r="A673" s="91">
        <f t="shared" si="36"/>
        <v>25708</v>
      </c>
      <c r="B673" s="9" t="s">
        <v>129</v>
      </c>
      <c r="C673" s="91"/>
      <c r="D673" s="91"/>
      <c r="E673" s="16" t="s">
        <v>58</v>
      </c>
      <c r="F673" s="16">
        <v>3</v>
      </c>
      <c r="G673" s="16">
        <f t="shared" si="35"/>
        <v>2</v>
      </c>
      <c r="H673" s="91">
        <v>4</v>
      </c>
      <c r="I673" s="98"/>
      <c r="J673" s="29"/>
    </row>
    <row r="674" spans="1:10" customFormat="1" ht="16.5" x14ac:dyDescent="0.3">
      <c r="A674" s="91">
        <f t="shared" si="36"/>
        <v>25716</v>
      </c>
      <c r="B674" s="9" t="s">
        <v>131</v>
      </c>
      <c r="C674" s="91"/>
      <c r="D674" s="91"/>
      <c r="E674" s="16" t="s">
        <v>58</v>
      </c>
      <c r="F674" s="16">
        <v>3</v>
      </c>
      <c r="G674" s="16">
        <f t="shared" si="35"/>
        <v>2</v>
      </c>
      <c r="H674" s="91">
        <v>4</v>
      </c>
      <c r="I674" s="98"/>
      <c r="J674" s="29"/>
    </row>
    <row r="675" spans="1:10" customFormat="1" ht="16.5" x14ac:dyDescent="0.3">
      <c r="A675" s="91">
        <f t="shared" si="36"/>
        <v>25724</v>
      </c>
      <c r="B675" s="9" t="s">
        <v>122</v>
      </c>
      <c r="C675" s="91"/>
      <c r="D675" s="91"/>
      <c r="E675" s="16" t="s">
        <v>58</v>
      </c>
      <c r="F675" s="16">
        <v>3</v>
      </c>
      <c r="G675" s="16">
        <f t="shared" si="35"/>
        <v>2</v>
      </c>
      <c r="H675" s="91">
        <v>4</v>
      </c>
      <c r="I675" s="98"/>
      <c r="J675" s="29"/>
    </row>
    <row r="676" spans="1:10" customFormat="1" ht="16.5" x14ac:dyDescent="0.3">
      <c r="A676" s="91">
        <f t="shared" si="36"/>
        <v>25732</v>
      </c>
      <c r="B676" s="9" t="s">
        <v>130</v>
      </c>
      <c r="C676" s="91"/>
      <c r="D676" s="91"/>
      <c r="E676" s="16" t="s">
        <v>58</v>
      </c>
      <c r="F676" s="16">
        <v>3</v>
      </c>
      <c r="G676" s="16">
        <f t="shared" si="35"/>
        <v>2</v>
      </c>
      <c r="H676" s="91">
        <v>4</v>
      </c>
      <c r="I676" s="98"/>
      <c r="J676" s="29"/>
    </row>
    <row r="677" spans="1:10" customFormat="1" ht="16.5" x14ac:dyDescent="0.3">
      <c r="A677" s="91">
        <f t="shared" si="36"/>
        <v>25740</v>
      </c>
      <c r="B677" s="9" t="s">
        <v>60</v>
      </c>
      <c r="C677" s="91"/>
      <c r="D677" s="91"/>
      <c r="E677" s="16" t="s">
        <v>58</v>
      </c>
      <c r="F677" s="16">
        <v>3</v>
      </c>
      <c r="G677" s="16">
        <f t="shared" si="35"/>
        <v>2</v>
      </c>
      <c r="H677" s="91">
        <v>4</v>
      </c>
      <c r="I677" s="98"/>
      <c r="J677" s="29"/>
    </row>
    <row r="678" spans="1:10" customFormat="1" ht="16.5" x14ac:dyDescent="0.3">
      <c r="A678" s="91">
        <f t="shared" si="36"/>
        <v>25748</v>
      </c>
      <c r="B678" s="9" t="s">
        <v>3</v>
      </c>
      <c r="C678" s="91"/>
      <c r="D678" s="91"/>
      <c r="E678" s="16" t="s">
        <v>58</v>
      </c>
      <c r="F678" s="16">
        <v>3</v>
      </c>
      <c r="G678" s="16">
        <f t="shared" si="35"/>
        <v>2</v>
      </c>
      <c r="H678" s="91">
        <v>4</v>
      </c>
      <c r="I678" s="98"/>
      <c r="J678" s="29"/>
    </row>
    <row r="679" spans="1:10" customFormat="1" ht="16.5" x14ac:dyDescent="0.3">
      <c r="A679" s="91">
        <f t="shared" si="36"/>
        <v>25756</v>
      </c>
      <c r="B679" s="9" t="s">
        <v>4</v>
      </c>
      <c r="C679" s="91"/>
      <c r="D679" s="91"/>
      <c r="E679" s="16" t="s">
        <v>58</v>
      </c>
      <c r="F679" s="16">
        <v>3</v>
      </c>
      <c r="G679" s="16">
        <f>IF(OR(E679="U16", E679="S16"),1,IF(E679="TS",6,2))</f>
        <v>2</v>
      </c>
      <c r="H679" s="91">
        <v>4</v>
      </c>
      <c r="I679" s="98"/>
      <c r="J679" s="29"/>
    </row>
    <row r="680" spans="1:10" customFormat="1" ht="16.5" x14ac:dyDescent="0.3">
      <c r="A680" s="91">
        <f t="shared" si="36"/>
        <v>25764</v>
      </c>
      <c r="B680" s="9" t="s">
        <v>61</v>
      </c>
      <c r="C680" s="91"/>
      <c r="D680" s="91"/>
      <c r="E680" s="16" t="s">
        <v>58</v>
      </c>
      <c r="F680" s="16">
        <v>3</v>
      </c>
      <c r="G680" s="16">
        <f>IF(OR(E680="U16", E680="S16"),1,IF(E680="TS",6,2))</f>
        <v>2</v>
      </c>
      <c r="H680" s="91">
        <v>4</v>
      </c>
      <c r="I680" s="98"/>
      <c r="J680" s="29"/>
    </row>
    <row r="681" spans="1:10" customFormat="1" ht="16.5" x14ac:dyDescent="0.3">
      <c r="A681" s="91">
        <f t="shared" si="36"/>
        <v>25772</v>
      </c>
      <c r="B681" s="9" t="s">
        <v>62</v>
      </c>
      <c r="C681" s="91"/>
      <c r="D681" s="91"/>
      <c r="E681" s="16" t="s">
        <v>58</v>
      </c>
      <c r="F681" s="16">
        <v>3</v>
      </c>
      <c r="G681" s="16">
        <f>IF(OR(E681="U16", E681="S16"),1,IF(E681="TS",6,2))</f>
        <v>2</v>
      </c>
      <c r="H681" s="91">
        <v>4</v>
      </c>
      <c r="I681" s="98"/>
      <c r="J681" s="29"/>
    </row>
    <row r="682" spans="1:10" customFormat="1" ht="16.5" x14ac:dyDescent="0.3">
      <c r="A682" s="91">
        <f t="shared" si="36"/>
        <v>25780</v>
      </c>
      <c r="B682" s="9" t="s">
        <v>63</v>
      </c>
      <c r="C682" s="91"/>
      <c r="D682" s="91"/>
      <c r="E682" s="16" t="s">
        <v>58</v>
      </c>
      <c r="F682" s="16">
        <v>3</v>
      </c>
      <c r="G682" s="16">
        <f>IF(OR(E682="U16", E682="S16"),1,IF(E682="TS",6,2))</f>
        <v>2</v>
      </c>
      <c r="H682" s="91">
        <v>4</v>
      </c>
      <c r="I682" s="98"/>
      <c r="J682" s="29"/>
    </row>
    <row r="683" spans="1:10" customFormat="1" ht="16.5" x14ac:dyDescent="0.3">
      <c r="A683" s="91">
        <f t="shared" si="36"/>
        <v>25788</v>
      </c>
      <c r="B683" s="9" t="s">
        <v>64</v>
      </c>
      <c r="C683" s="91"/>
      <c r="D683" s="91"/>
      <c r="E683" s="16" t="s">
        <v>58</v>
      </c>
      <c r="F683" s="16">
        <v>3</v>
      </c>
      <c r="G683" s="16">
        <f t="shared" ref="G683:G700" si="37">IF(OR(E683="U16", E683="S16"),1,IF(E683="TS",6,2))</f>
        <v>2</v>
      </c>
      <c r="H683" s="91">
        <v>4</v>
      </c>
      <c r="I683" s="98"/>
      <c r="J683" s="29"/>
    </row>
    <row r="684" spans="1:10" customFormat="1" ht="16.5" x14ac:dyDescent="0.3">
      <c r="A684" s="91">
        <f t="shared" si="36"/>
        <v>25796</v>
      </c>
      <c r="B684" s="9" t="s">
        <v>65</v>
      </c>
      <c r="C684" s="91"/>
      <c r="D684" s="91"/>
      <c r="E684" s="16" t="s">
        <v>58</v>
      </c>
      <c r="F684" s="16">
        <v>3</v>
      </c>
      <c r="G684" s="16">
        <f t="shared" si="37"/>
        <v>2</v>
      </c>
      <c r="H684" s="91">
        <v>4</v>
      </c>
      <c r="I684" s="98"/>
      <c r="J684" s="29"/>
    </row>
    <row r="685" spans="1:10" customFormat="1" ht="16.5" x14ac:dyDescent="0.3">
      <c r="A685" s="91">
        <f t="shared" si="36"/>
        <v>25804</v>
      </c>
      <c r="B685" s="9" t="s">
        <v>66</v>
      </c>
      <c r="C685" s="91"/>
      <c r="D685" s="91"/>
      <c r="E685" s="16" t="s">
        <v>58</v>
      </c>
      <c r="F685" s="16">
        <v>3</v>
      </c>
      <c r="G685" s="16">
        <f t="shared" si="37"/>
        <v>2</v>
      </c>
      <c r="H685" s="91">
        <v>4</v>
      </c>
      <c r="I685" s="98"/>
      <c r="J685" s="29"/>
    </row>
    <row r="686" spans="1:10" ht="15.95" customHeight="1" x14ac:dyDescent="0.3">
      <c r="A686" s="91">
        <f t="shared" si="36"/>
        <v>25812</v>
      </c>
      <c r="B686" s="9" t="s">
        <v>6</v>
      </c>
      <c r="C686" s="91"/>
      <c r="D686" s="91"/>
      <c r="E686" s="16" t="s">
        <v>58</v>
      </c>
      <c r="F686" s="16">
        <v>3</v>
      </c>
      <c r="G686" s="16">
        <f t="shared" si="37"/>
        <v>2</v>
      </c>
      <c r="H686" s="91">
        <v>4</v>
      </c>
      <c r="I686" s="98"/>
    </row>
    <row r="687" spans="1:10" customFormat="1" ht="16.5" x14ac:dyDescent="0.3">
      <c r="A687" s="91">
        <f t="shared" si="36"/>
        <v>25820</v>
      </c>
      <c r="B687" s="9" t="s">
        <v>7</v>
      </c>
      <c r="C687" s="91"/>
      <c r="D687" s="91"/>
      <c r="E687" s="16" t="s">
        <v>58</v>
      </c>
      <c r="F687" s="16">
        <v>3</v>
      </c>
      <c r="G687" s="16">
        <f t="shared" si="37"/>
        <v>2</v>
      </c>
      <c r="H687" s="91">
        <v>4</v>
      </c>
      <c r="I687" s="98"/>
      <c r="J687" s="29"/>
    </row>
    <row r="688" spans="1:10" customFormat="1" ht="16.5" x14ac:dyDescent="0.3">
      <c r="A688" s="91">
        <f t="shared" si="36"/>
        <v>25828</v>
      </c>
      <c r="B688" s="9" t="s">
        <v>67</v>
      </c>
      <c r="C688" s="91"/>
      <c r="D688" s="91"/>
      <c r="E688" s="16" t="s">
        <v>58</v>
      </c>
      <c r="F688" s="16">
        <v>3</v>
      </c>
      <c r="G688" s="16">
        <f t="shared" si="37"/>
        <v>2</v>
      </c>
      <c r="H688" s="91">
        <v>4</v>
      </c>
      <c r="I688" s="98"/>
      <c r="J688" s="29"/>
    </row>
    <row r="689" spans="1:10" customFormat="1" ht="16.5" x14ac:dyDescent="0.3">
      <c r="A689" s="91">
        <f t="shared" si="36"/>
        <v>25836</v>
      </c>
      <c r="B689" s="9" t="s">
        <v>135</v>
      </c>
      <c r="C689" s="91"/>
      <c r="D689" s="91"/>
      <c r="E689" s="16" t="s">
        <v>58</v>
      </c>
      <c r="F689" s="16">
        <v>3</v>
      </c>
      <c r="G689" s="16">
        <f t="shared" si="37"/>
        <v>2</v>
      </c>
      <c r="H689" s="91">
        <v>4</v>
      </c>
      <c r="I689" s="98"/>
      <c r="J689" s="29"/>
    </row>
    <row r="690" spans="1:10" customFormat="1" ht="16.5" x14ac:dyDescent="0.3">
      <c r="A690" s="91">
        <f t="shared" si="36"/>
        <v>25844</v>
      </c>
      <c r="B690" s="9" t="s">
        <v>136</v>
      </c>
      <c r="C690" s="91"/>
      <c r="D690" s="91"/>
      <c r="E690" s="16" t="s">
        <v>58</v>
      </c>
      <c r="F690" s="16">
        <v>3</v>
      </c>
      <c r="G690" s="16">
        <f t="shared" si="37"/>
        <v>2</v>
      </c>
      <c r="H690" s="91">
        <v>4</v>
      </c>
      <c r="I690" s="98"/>
      <c r="J690" s="29"/>
    </row>
    <row r="691" spans="1:10" customFormat="1" ht="16.5" x14ac:dyDescent="0.3">
      <c r="A691" s="91">
        <f t="shared" si="36"/>
        <v>25852</v>
      </c>
      <c r="B691" s="9" t="s">
        <v>137</v>
      </c>
      <c r="C691" s="91"/>
      <c r="D691" s="91"/>
      <c r="E691" s="16" t="s">
        <v>58</v>
      </c>
      <c r="F691" s="16">
        <v>3</v>
      </c>
      <c r="G691" s="16">
        <f t="shared" si="37"/>
        <v>2</v>
      </c>
      <c r="H691" s="91">
        <v>4</v>
      </c>
      <c r="I691" s="98"/>
      <c r="J691" s="29"/>
    </row>
    <row r="692" spans="1:10" customFormat="1" ht="16.5" x14ac:dyDescent="0.3">
      <c r="A692" s="91">
        <f t="shared" si="36"/>
        <v>25860</v>
      </c>
      <c r="B692" s="9" t="s">
        <v>81</v>
      </c>
      <c r="C692" s="91"/>
      <c r="D692" s="91"/>
      <c r="E692" s="16" t="s">
        <v>58</v>
      </c>
      <c r="F692" s="16">
        <v>3</v>
      </c>
      <c r="G692" s="16">
        <f t="shared" si="37"/>
        <v>2</v>
      </c>
      <c r="H692" s="91">
        <v>4</v>
      </c>
      <c r="I692" s="98"/>
      <c r="J692" s="29"/>
    </row>
    <row r="693" spans="1:10" customFormat="1" ht="16.5" x14ac:dyDescent="0.3">
      <c r="A693" s="91">
        <f t="shared" si="36"/>
        <v>25868</v>
      </c>
      <c r="B693" s="9" t="s">
        <v>237</v>
      </c>
      <c r="C693" s="91"/>
      <c r="D693" s="91"/>
      <c r="E693" s="16" t="s">
        <v>58</v>
      </c>
      <c r="F693" s="16">
        <v>3</v>
      </c>
      <c r="G693" s="16">
        <f t="shared" si="37"/>
        <v>2</v>
      </c>
      <c r="H693" s="91">
        <v>4</v>
      </c>
      <c r="I693" s="98"/>
      <c r="J693" s="29"/>
    </row>
    <row r="694" spans="1:10" customFormat="1" ht="16.5" x14ac:dyDescent="0.3">
      <c r="A694" s="91">
        <f t="shared" si="36"/>
        <v>25876</v>
      </c>
      <c r="B694" s="9" t="s">
        <v>238</v>
      </c>
      <c r="C694" s="91"/>
      <c r="D694" s="91"/>
      <c r="E694" s="16" t="s">
        <v>58</v>
      </c>
      <c r="F694" s="16">
        <v>3</v>
      </c>
      <c r="G694" s="16">
        <f t="shared" si="37"/>
        <v>2</v>
      </c>
      <c r="H694" s="91">
        <v>4</v>
      </c>
      <c r="I694" s="98"/>
      <c r="J694" s="29"/>
    </row>
    <row r="695" spans="1:10" customFormat="1" ht="16.5" x14ac:dyDescent="0.3">
      <c r="A695" s="91">
        <f t="shared" si="36"/>
        <v>25884</v>
      </c>
      <c r="B695" s="9" t="s">
        <v>239</v>
      </c>
      <c r="C695" s="91"/>
      <c r="D695" s="91"/>
      <c r="E695" s="16" t="s">
        <v>58</v>
      </c>
      <c r="F695" s="16">
        <v>3</v>
      </c>
      <c r="G695" s="16">
        <f t="shared" si="37"/>
        <v>2</v>
      </c>
      <c r="H695" s="91">
        <v>4</v>
      </c>
      <c r="I695" s="98"/>
      <c r="J695" s="29"/>
    </row>
    <row r="696" spans="1:10" customFormat="1" ht="16.5" x14ac:dyDescent="0.3">
      <c r="A696" s="91">
        <f t="shared" si="36"/>
        <v>25892</v>
      </c>
      <c r="B696" s="9" t="s">
        <v>240</v>
      </c>
      <c r="C696" s="91"/>
      <c r="D696" s="91"/>
      <c r="E696" s="16" t="s">
        <v>58</v>
      </c>
      <c r="F696" s="16">
        <v>3</v>
      </c>
      <c r="G696" s="16">
        <f t="shared" si="37"/>
        <v>2</v>
      </c>
      <c r="H696" s="91">
        <v>4</v>
      </c>
      <c r="I696" s="98"/>
      <c r="J696" s="29"/>
    </row>
    <row r="697" spans="1:10" customFormat="1" ht="16.5" x14ac:dyDescent="0.3">
      <c r="A697" s="91">
        <f t="shared" si="36"/>
        <v>25900</v>
      </c>
      <c r="B697" s="9" t="s">
        <v>241</v>
      </c>
      <c r="C697" s="91"/>
      <c r="D697" s="91"/>
      <c r="E697" s="16" t="s">
        <v>58</v>
      </c>
      <c r="F697" s="16">
        <v>3</v>
      </c>
      <c r="G697" s="16">
        <f t="shared" si="37"/>
        <v>2</v>
      </c>
      <c r="H697" s="91">
        <v>4</v>
      </c>
      <c r="I697" s="98"/>
      <c r="J697" s="29"/>
    </row>
    <row r="698" spans="1:10" customFormat="1" ht="16.5" x14ac:dyDescent="0.3">
      <c r="A698" s="91">
        <f t="shared" si="36"/>
        <v>25908</v>
      </c>
      <c r="B698" s="9" t="s">
        <v>242</v>
      </c>
      <c r="C698" s="91"/>
      <c r="D698" s="91"/>
      <c r="E698" s="16" t="s">
        <v>58</v>
      </c>
      <c r="F698" s="16">
        <v>3</v>
      </c>
      <c r="G698" s="16">
        <f t="shared" si="37"/>
        <v>2</v>
      </c>
      <c r="H698" s="91">
        <v>4</v>
      </c>
      <c r="I698" s="98"/>
      <c r="J698" s="29"/>
    </row>
    <row r="699" spans="1:10" customFormat="1" ht="16.5" customHeight="1" x14ac:dyDescent="0.3">
      <c r="A699" s="91">
        <f t="shared" si="36"/>
        <v>25916</v>
      </c>
      <c r="B699" s="9" t="s">
        <v>243</v>
      </c>
      <c r="C699" s="91"/>
      <c r="D699" s="91"/>
      <c r="E699" s="16" t="s">
        <v>58</v>
      </c>
      <c r="F699" s="16">
        <v>3</v>
      </c>
      <c r="G699" s="16">
        <f t="shared" si="37"/>
        <v>2</v>
      </c>
      <c r="H699" s="91">
        <v>4</v>
      </c>
      <c r="I699" s="98"/>
      <c r="J699" s="29"/>
    </row>
    <row r="700" spans="1:10" customFormat="1" ht="16.5" x14ac:dyDescent="0.3">
      <c r="A700" s="91">
        <f t="shared" si="36"/>
        <v>25924</v>
      </c>
      <c r="B700" s="9" t="s">
        <v>25</v>
      </c>
      <c r="C700" s="91"/>
      <c r="D700" s="91"/>
      <c r="E700" s="16" t="s">
        <v>58</v>
      </c>
      <c r="F700" s="16">
        <v>3</v>
      </c>
      <c r="G700" s="16">
        <f t="shared" si="37"/>
        <v>2</v>
      </c>
      <c r="H700" s="91">
        <v>4</v>
      </c>
      <c r="I700" s="98"/>
      <c r="J700" s="29"/>
    </row>
    <row r="701" spans="1:10" customFormat="1" ht="16.5" customHeight="1" x14ac:dyDescent="0.3">
      <c r="A701" s="91">
        <f t="shared" si="36"/>
        <v>25932</v>
      </c>
      <c r="B701" s="9" t="s">
        <v>26</v>
      </c>
      <c r="C701" s="91"/>
      <c r="D701" s="91"/>
      <c r="E701" s="16" t="s">
        <v>58</v>
      </c>
      <c r="F701" s="16">
        <v>3</v>
      </c>
      <c r="G701" s="16">
        <f>IF(OR(E701="U16", E701="S16"),1,IF(E701="TS",6,2))</f>
        <v>2</v>
      </c>
      <c r="H701" s="91">
        <v>4</v>
      </c>
      <c r="I701" s="98"/>
      <c r="J701" s="29"/>
    </row>
    <row r="702" spans="1:10" customFormat="1" ht="16.5" customHeight="1" x14ac:dyDescent="0.3">
      <c r="A702" s="91">
        <f t="shared" si="36"/>
        <v>25940</v>
      </c>
      <c r="B702" s="9" t="s">
        <v>402</v>
      </c>
      <c r="C702" s="91"/>
      <c r="D702" s="91"/>
      <c r="E702" s="16" t="s">
        <v>259</v>
      </c>
      <c r="F702" s="16">
        <v>3</v>
      </c>
      <c r="G702" s="16">
        <f>IF(OR(E702="U16", E702="S16"),1,IF(E702="TS",6,2))</f>
        <v>2</v>
      </c>
      <c r="H702" s="91">
        <v>1</v>
      </c>
      <c r="I702" s="98"/>
      <c r="J702" s="29"/>
    </row>
    <row r="703" spans="1:10" customFormat="1" ht="16.5" customHeight="1" x14ac:dyDescent="0.3">
      <c r="A703" s="91">
        <f t="shared" si="36"/>
        <v>25942</v>
      </c>
      <c r="B703" s="9" t="s">
        <v>196</v>
      </c>
      <c r="C703" s="91"/>
      <c r="D703" s="91"/>
      <c r="E703" s="16" t="s">
        <v>123</v>
      </c>
      <c r="F703" s="16">
        <v>3</v>
      </c>
      <c r="G703" s="16">
        <f>IF(OR(E703="U16", E703="S16"),1,IF(E703="TS",6,2))</f>
        <v>1</v>
      </c>
      <c r="H703" s="91">
        <v>1</v>
      </c>
      <c r="I703" s="98"/>
      <c r="J703" s="29"/>
    </row>
    <row r="704" spans="1:10" customFormat="1" ht="16.5" customHeight="1" x14ac:dyDescent="0.3">
      <c r="A704" s="91">
        <f t="shared" si="36"/>
        <v>25943</v>
      </c>
      <c r="B704" s="9" t="s">
        <v>398</v>
      </c>
      <c r="C704" s="91"/>
      <c r="D704" s="91"/>
      <c r="E704" s="16" t="s">
        <v>123</v>
      </c>
      <c r="F704" s="16">
        <v>3</v>
      </c>
      <c r="G704" s="16">
        <f>IF(OR(E704="U16", E704="S16"),1,IF(E704="TS",6,2))</f>
        <v>1</v>
      </c>
      <c r="H704" s="91">
        <v>1</v>
      </c>
      <c r="I704" s="98"/>
      <c r="J704" s="29"/>
    </row>
    <row r="705" spans="1:10" customFormat="1" ht="16.5" customHeight="1" x14ac:dyDescent="0.3">
      <c r="A705" s="91">
        <f t="shared" si="36"/>
        <v>25944</v>
      </c>
      <c r="B705" s="9"/>
      <c r="C705" s="91"/>
      <c r="D705" s="91"/>
      <c r="E705" s="16" t="s">
        <v>123</v>
      </c>
      <c r="F705" s="16">
        <v>3</v>
      </c>
      <c r="G705" s="16">
        <f>IF(OR(E705="U16", E705="S16"),1,IF(E705="TS",6,2))</f>
        <v>1</v>
      </c>
      <c r="H705" s="91">
        <v>6</v>
      </c>
      <c r="I705" s="98"/>
      <c r="J705" s="29"/>
    </row>
    <row r="706" spans="1:10" ht="13.5" customHeight="1" x14ac:dyDescent="0.3">
      <c r="A706" s="122" t="s">
        <v>1063</v>
      </c>
      <c r="B706" s="122"/>
      <c r="C706" s="122"/>
      <c r="D706" s="122"/>
      <c r="E706" s="122"/>
      <c r="F706" s="122"/>
      <c r="G706" s="122"/>
      <c r="H706" s="122"/>
      <c r="I706" s="104"/>
    </row>
    <row r="707" spans="1:10" ht="13.5" customHeight="1" x14ac:dyDescent="0.3">
      <c r="A707" s="91">
        <f>A705+(G705*H705)</f>
        <v>25950</v>
      </c>
      <c r="B707" s="15" t="s">
        <v>400</v>
      </c>
      <c r="C707" s="91"/>
      <c r="D707" s="91"/>
      <c r="E707" s="16" t="s">
        <v>123</v>
      </c>
      <c r="F707" s="16">
        <v>3</v>
      </c>
      <c r="G707" s="16">
        <f t="shared" ref="G707:G719" si="38">IF(OR(E707="U16", E707="S16"),1,IF(E707="TS",6,2))</f>
        <v>1</v>
      </c>
      <c r="H707" s="91">
        <v>1</v>
      </c>
      <c r="I707" s="98"/>
    </row>
    <row r="708" spans="1:10" ht="13.5" customHeight="1" x14ac:dyDescent="0.3">
      <c r="A708" s="91">
        <f t="shared" ref="A708:A751" si="39">A707+(G707*H707)</f>
        <v>25951</v>
      </c>
      <c r="B708" s="15" t="s">
        <v>401</v>
      </c>
      <c r="C708" s="91"/>
      <c r="D708" s="91"/>
      <c r="E708" s="16" t="s">
        <v>123</v>
      </c>
      <c r="F708" s="16">
        <v>3</v>
      </c>
      <c r="G708" s="16">
        <f t="shared" si="38"/>
        <v>1</v>
      </c>
      <c r="H708" s="91">
        <v>1</v>
      </c>
      <c r="I708" s="98"/>
    </row>
    <row r="709" spans="1:10" ht="13.5" customHeight="1" x14ac:dyDescent="0.3">
      <c r="A709" s="91">
        <f t="shared" si="39"/>
        <v>25952</v>
      </c>
      <c r="B709" s="22" t="s">
        <v>1064</v>
      </c>
      <c r="C709" s="91"/>
      <c r="D709" s="91"/>
      <c r="E709" s="16" t="s">
        <v>123</v>
      </c>
      <c r="F709" s="16">
        <v>3</v>
      </c>
      <c r="G709" s="16">
        <f t="shared" si="38"/>
        <v>1</v>
      </c>
      <c r="H709" s="91">
        <v>1</v>
      </c>
      <c r="I709" s="98"/>
    </row>
    <row r="710" spans="1:10" ht="13.5" customHeight="1" x14ac:dyDescent="0.3">
      <c r="A710" s="91">
        <f t="shared" si="39"/>
        <v>25953</v>
      </c>
      <c r="B710" s="15" t="s">
        <v>1111</v>
      </c>
      <c r="C710" s="91"/>
      <c r="D710" s="91"/>
      <c r="E710" s="16" t="s">
        <v>123</v>
      </c>
      <c r="F710" s="16">
        <v>3</v>
      </c>
      <c r="G710" s="16">
        <f t="shared" si="38"/>
        <v>1</v>
      </c>
      <c r="H710" s="91">
        <v>1</v>
      </c>
      <c r="I710" s="98"/>
    </row>
    <row r="711" spans="1:10" ht="13.5" customHeight="1" x14ac:dyDescent="0.3">
      <c r="A711" s="91">
        <f t="shared" si="39"/>
        <v>25954</v>
      </c>
      <c r="B711" s="128" t="s">
        <v>1065</v>
      </c>
      <c r="C711" s="3" t="s">
        <v>1066</v>
      </c>
      <c r="D711" s="91"/>
      <c r="E711" s="91" t="s">
        <v>91</v>
      </c>
      <c r="F711" s="91">
        <v>3</v>
      </c>
      <c r="G711" s="91">
        <f t="shared" si="38"/>
        <v>2</v>
      </c>
      <c r="H711" s="91">
        <v>1</v>
      </c>
      <c r="I711" s="98"/>
    </row>
    <row r="712" spans="1:10" ht="13.5" customHeight="1" x14ac:dyDescent="0.3">
      <c r="A712" s="91">
        <f t="shared" si="39"/>
        <v>25956</v>
      </c>
      <c r="B712" s="128"/>
      <c r="C712" s="3" t="s">
        <v>442</v>
      </c>
      <c r="D712" s="91"/>
      <c r="E712" s="91" t="s">
        <v>123</v>
      </c>
      <c r="F712" s="91">
        <v>3</v>
      </c>
      <c r="G712" s="91">
        <f t="shared" si="38"/>
        <v>1</v>
      </c>
      <c r="H712" s="91">
        <v>1</v>
      </c>
      <c r="I712" s="98"/>
    </row>
    <row r="713" spans="1:10" ht="13.5" customHeight="1" x14ac:dyDescent="0.3">
      <c r="A713" s="91">
        <f t="shared" si="39"/>
        <v>25957</v>
      </c>
      <c r="B713" s="128"/>
      <c r="C713" s="3" t="s">
        <v>443</v>
      </c>
      <c r="D713" s="91"/>
      <c r="E713" s="91" t="s">
        <v>123</v>
      </c>
      <c r="F713" s="91">
        <v>3</v>
      </c>
      <c r="G713" s="91">
        <f t="shared" si="38"/>
        <v>1</v>
      </c>
      <c r="H713" s="91">
        <v>1</v>
      </c>
      <c r="I713" s="98"/>
    </row>
    <row r="714" spans="1:10" ht="13.5" customHeight="1" x14ac:dyDescent="0.3">
      <c r="A714" s="91">
        <f t="shared" si="39"/>
        <v>25958</v>
      </c>
      <c r="B714" s="128"/>
      <c r="C714" s="3" t="s">
        <v>1067</v>
      </c>
      <c r="D714" s="9" t="s">
        <v>1068</v>
      </c>
      <c r="E714" s="91" t="s">
        <v>123</v>
      </c>
      <c r="F714" s="91">
        <v>3</v>
      </c>
      <c r="G714" s="91">
        <f t="shared" si="38"/>
        <v>1</v>
      </c>
      <c r="H714" s="91">
        <v>1</v>
      </c>
      <c r="I714" s="98"/>
    </row>
    <row r="715" spans="1:10" ht="13.5" customHeight="1" x14ac:dyDescent="0.3">
      <c r="A715" s="91">
        <f t="shared" si="39"/>
        <v>25959</v>
      </c>
      <c r="B715" s="128"/>
      <c r="C715" s="3" t="s">
        <v>440</v>
      </c>
      <c r="D715" s="91"/>
      <c r="E715" s="91" t="s">
        <v>123</v>
      </c>
      <c r="F715" s="91">
        <v>3</v>
      </c>
      <c r="G715" s="91">
        <f t="shared" si="38"/>
        <v>1</v>
      </c>
      <c r="H715" s="91">
        <v>1</v>
      </c>
      <c r="I715" s="98"/>
    </row>
    <row r="716" spans="1:10" ht="13.5" customHeight="1" x14ac:dyDescent="0.3">
      <c r="A716" s="91">
        <f t="shared" si="39"/>
        <v>25960</v>
      </c>
      <c r="B716" s="128"/>
      <c r="C716" s="3" t="s">
        <v>441</v>
      </c>
      <c r="D716" s="91"/>
      <c r="E716" s="91" t="s">
        <v>437</v>
      </c>
      <c r="F716" s="91">
        <v>3</v>
      </c>
      <c r="G716" s="91">
        <f t="shared" si="38"/>
        <v>2</v>
      </c>
      <c r="H716" s="91">
        <v>1</v>
      </c>
      <c r="I716" s="98"/>
    </row>
    <row r="717" spans="1:10" ht="13.5" customHeight="1" x14ac:dyDescent="0.3">
      <c r="A717" s="91">
        <f t="shared" si="39"/>
        <v>25962</v>
      </c>
      <c r="B717" s="128"/>
      <c r="C717" s="3" t="s">
        <v>272</v>
      </c>
      <c r="D717" s="91"/>
      <c r="E717" s="91" t="s">
        <v>437</v>
      </c>
      <c r="F717" s="91">
        <v>3</v>
      </c>
      <c r="G717" s="91">
        <f t="shared" si="38"/>
        <v>2</v>
      </c>
      <c r="H717" s="91">
        <v>1</v>
      </c>
      <c r="I717" s="98"/>
    </row>
    <row r="718" spans="1:10" ht="13.5" customHeight="1" x14ac:dyDescent="0.3">
      <c r="A718" s="91">
        <f t="shared" si="39"/>
        <v>25964</v>
      </c>
      <c r="B718" s="128"/>
      <c r="C718" s="3" t="s">
        <v>273</v>
      </c>
      <c r="D718" s="91"/>
      <c r="E718" s="91" t="s">
        <v>437</v>
      </c>
      <c r="F718" s="91">
        <v>3</v>
      </c>
      <c r="G718" s="91">
        <f t="shared" si="38"/>
        <v>2</v>
      </c>
      <c r="H718" s="91">
        <v>1</v>
      </c>
      <c r="I718" s="98"/>
    </row>
    <row r="719" spans="1:10" ht="13.5" customHeight="1" x14ac:dyDescent="0.3">
      <c r="A719" s="91">
        <f t="shared" si="39"/>
        <v>25966</v>
      </c>
      <c r="B719" s="128"/>
      <c r="C719" s="3" t="s">
        <v>1069</v>
      </c>
      <c r="D719" s="91"/>
      <c r="E719" s="91" t="s">
        <v>437</v>
      </c>
      <c r="F719" s="91">
        <v>3</v>
      </c>
      <c r="G719" s="91">
        <f t="shared" si="38"/>
        <v>2</v>
      </c>
      <c r="H719" s="91">
        <v>1</v>
      </c>
      <c r="I719" s="98"/>
    </row>
    <row r="720" spans="1:10" ht="13.5" customHeight="1" x14ac:dyDescent="0.3">
      <c r="A720" s="91">
        <f t="shared" si="39"/>
        <v>25968</v>
      </c>
      <c r="B720" s="9" t="s">
        <v>1070</v>
      </c>
      <c r="C720" s="91"/>
      <c r="D720" s="91"/>
      <c r="E720" s="91" t="s">
        <v>123</v>
      </c>
      <c r="F720" s="16">
        <v>3</v>
      </c>
      <c r="G720" s="91">
        <v>1</v>
      </c>
      <c r="H720" s="91">
        <v>14</v>
      </c>
      <c r="I720" s="98"/>
    </row>
    <row r="721" spans="1:9" ht="13.5" customHeight="1" x14ac:dyDescent="0.3">
      <c r="A721" s="91">
        <f t="shared" si="39"/>
        <v>25982</v>
      </c>
      <c r="B721" s="9" t="s">
        <v>1071</v>
      </c>
      <c r="C721" s="91"/>
      <c r="D721" s="91"/>
      <c r="E721" s="91" t="s">
        <v>123</v>
      </c>
      <c r="F721" s="16">
        <v>3</v>
      </c>
      <c r="G721" s="91">
        <v>1</v>
      </c>
      <c r="H721" s="91">
        <v>14</v>
      </c>
      <c r="I721" s="98"/>
    </row>
    <row r="722" spans="1:9" ht="13.5" customHeight="1" x14ac:dyDescent="0.3">
      <c r="A722" s="91">
        <f t="shared" si="39"/>
        <v>25996</v>
      </c>
      <c r="B722" s="9" t="s">
        <v>1072</v>
      </c>
      <c r="C722" s="91"/>
      <c r="D722" s="91"/>
      <c r="E722" s="91" t="s">
        <v>123</v>
      </c>
      <c r="F722" s="16">
        <v>3</v>
      </c>
      <c r="G722" s="91">
        <v>1</v>
      </c>
      <c r="H722" s="91">
        <v>14</v>
      </c>
      <c r="I722" s="98"/>
    </row>
    <row r="723" spans="1:9" ht="13.5" customHeight="1" x14ac:dyDescent="0.3">
      <c r="A723" s="91">
        <f t="shared" si="39"/>
        <v>26010</v>
      </c>
      <c r="B723" s="9" t="s">
        <v>1073</v>
      </c>
      <c r="C723" s="91"/>
      <c r="D723" s="91"/>
      <c r="E723" s="91" t="s">
        <v>123</v>
      </c>
      <c r="F723" s="16">
        <v>3</v>
      </c>
      <c r="G723" s="91">
        <v>1</v>
      </c>
      <c r="H723" s="91">
        <v>14</v>
      </c>
      <c r="I723" s="98"/>
    </row>
    <row r="724" spans="1:9" ht="13.5" customHeight="1" x14ac:dyDescent="0.3">
      <c r="A724" s="91">
        <f t="shared" si="39"/>
        <v>26024</v>
      </c>
      <c r="B724" s="9" t="s">
        <v>1074</v>
      </c>
      <c r="C724" s="91"/>
      <c r="D724" s="91"/>
      <c r="E724" s="91" t="s">
        <v>123</v>
      </c>
      <c r="F724" s="16">
        <v>3</v>
      </c>
      <c r="G724" s="91">
        <v>1</v>
      </c>
      <c r="H724" s="91">
        <v>14</v>
      </c>
      <c r="I724" s="98"/>
    </row>
    <row r="725" spans="1:9" ht="13.5" customHeight="1" x14ac:dyDescent="0.3">
      <c r="A725" s="91">
        <f t="shared" si="39"/>
        <v>26038</v>
      </c>
      <c r="B725" s="9" t="s">
        <v>1075</v>
      </c>
      <c r="C725" s="91"/>
      <c r="D725" s="91"/>
      <c r="E725" s="91" t="s">
        <v>123</v>
      </c>
      <c r="F725" s="16">
        <v>3</v>
      </c>
      <c r="G725" s="91">
        <v>1</v>
      </c>
      <c r="H725" s="91">
        <v>14</v>
      </c>
      <c r="I725" s="98"/>
    </row>
    <row r="726" spans="1:9" ht="13.5" customHeight="1" x14ac:dyDescent="0.3">
      <c r="A726" s="91">
        <f t="shared" si="39"/>
        <v>26052</v>
      </c>
      <c r="B726" s="9" t="s">
        <v>1076</v>
      </c>
      <c r="C726" s="91"/>
      <c r="D726" s="91"/>
      <c r="E726" s="91" t="s">
        <v>123</v>
      </c>
      <c r="F726" s="16">
        <v>3</v>
      </c>
      <c r="G726" s="91">
        <v>1</v>
      </c>
      <c r="H726" s="91">
        <v>14</v>
      </c>
      <c r="I726" s="98"/>
    </row>
    <row r="727" spans="1:9" ht="13.5" customHeight="1" x14ac:dyDescent="0.3">
      <c r="A727" s="91">
        <f t="shared" si="39"/>
        <v>26066</v>
      </c>
      <c r="B727" s="9" t="s">
        <v>1077</v>
      </c>
      <c r="C727" s="91"/>
      <c r="D727" s="91"/>
      <c r="E727" s="91" t="s">
        <v>123</v>
      </c>
      <c r="F727" s="16">
        <v>3</v>
      </c>
      <c r="G727" s="91">
        <v>1</v>
      </c>
      <c r="H727" s="91">
        <v>14</v>
      </c>
      <c r="I727" s="98"/>
    </row>
    <row r="728" spans="1:9" ht="13.5" customHeight="1" x14ac:dyDescent="0.3">
      <c r="A728" s="91">
        <f t="shared" si="39"/>
        <v>26080</v>
      </c>
      <c r="B728" s="9" t="s">
        <v>1078</v>
      </c>
      <c r="C728" s="91"/>
      <c r="D728" s="91"/>
      <c r="E728" s="91" t="s">
        <v>123</v>
      </c>
      <c r="F728" s="16">
        <v>3</v>
      </c>
      <c r="G728" s="91">
        <v>1</v>
      </c>
      <c r="H728" s="91">
        <v>14</v>
      </c>
      <c r="I728" s="98"/>
    </row>
    <row r="729" spans="1:9" ht="13.5" customHeight="1" x14ac:dyDescent="0.3">
      <c r="A729" s="91">
        <f t="shared" si="39"/>
        <v>26094</v>
      </c>
      <c r="B729" s="9" t="s">
        <v>1079</v>
      </c>
      <c r="C729" s="91"/>
      <c r="D729" s="91"/>
      <c r="E729" s="91" t="s">
        <v>123</v>
      </c>
      <c r="F729" s="16">
        <v>3</v>
      </c>
      <c r="G729" s="91">
        <v>1</v>
      </c>
      <c r="H729" s="91">
        <v>14</v>
      </c>
      <c r="I729" s="98"/>
    </row>
    <row r="730" spans="1:9" ht="13.5" customHeight="1" x14ac:dyDescent="0.3">
      <c r="A730" s="91">
        <f t="shared" si="39"/>
        <v>26108</v>
      </c>
      <c r="B730" s="9" t="s">
        <v>1080</v>
      </c>
      <c r="C730" s="91"/>
      <c r="D730" s="91"/>
      <c r="E730" s="91" t="s">
        <v>123</v>
      </c>
      <c r="F730" s="16">
        <v>3</v>
      </c>
      <c r="G730" s="91">
        <v>1</v>
      </c>
      <c r="H730" s="91">
        <v>14</v>
      </c>
      <c r="I730" s="98"/>
    </row>
    <row r="731" spans="1:9" ht="13.5" customHeight="1" x14ac:dyDescent="0.3">
      <c r="A731" s="91">
        <f t="shared" si="39"/>
        <v>26122</v>
      </c>
      <c r="B731" s="9" t="s">
        <v>1081</v>
      </c>
      <c r="C731" s="91"/>
      <c r="D731" s="91"/>
      <c r="E731" s="91" t="s">
        <v>123</v>
      </c>
      <c r="F731" s="16">
        <v>3</v>
      </c>
      <c r="G731" s="91">
        <v>1</v>
      </c>
      <c r="H731" s="91">
        <v>14</v>
      </c>
      <c r="I731" s="98"/>
    </row>
    <row r="732" spans="1:9" ht="13.5" customHeight="1" x14ac:dyDescent="0.3">
      <c r="A732" s="91">
        <f t="shared" si="39"/>
        <v>26136</v>
      </c>
      <c r="B732" s="9" t="s">
        <v>1082</v>
      </c>
      <c r="C732" s="91"/>
      <c r="D732" s="91"/>
      <c r="E732" s="91" t="s">
        <v>123</v>
      </c>
      <c r="F732" s="16">
        <v>3</v>
      </c>
      <c r="G732" s="91">
        <v>1</v>
      </c>
      <c r="H732" s="91">
        <v>14</v>
      </c>
      <c r="I732" s="98"/>
    </row>
    <row r="733" spans="1:9" ht="13.5" customHeight="1" x14ac:dyDescent="0.3">
      <c r="A733" s="91">
        <f t="shared" si="39"/>
        <v>26150</v>
      </c>
      <c r="B733" s="9" t="s">
        <v>1083</v>
      </c>
      <c r="C733" s="91"/>
      <c r="D733" s="91"/>
      <c r="E733" s="91" t="s">
        <v>123</v>
      </c>
      <c r="F733" s="16">
        <v>3</v>
      </c>
      <c r="G733" s="91">
        <v>1</v>
      </c>
      <c r="H733" s="91">
        <v>14</v>
      </c>
      <c r="I733" s="98"/>
    </row>
    <row r="734" spans="1:9" ht="13.5" customHeight="1" x14ac:dyDescent="0.3">
      <c r="A734" s="91">
        <f t="shared" si="39"/>
        <v>26164</v>
      </c>
      <c r="B734" s="9" t="s">
        <v>1084</v>
      </c>
      <c r="C734" s="91"/>
      <c r="D734" s="91"/>
      <c r="E734" s="91" t="s">
        <v>123</v>
      </c>
      <c r="F734" s="16">
        <v>3</v>
      </c>
      <c r="G734" s="91">
        <v>1</v>
      </c>
      <c r="H734" s="91">
        <v>14</v>
      </c>
      <c r="I734" s="98"/>
    </row>
    <row r="735" spans="1:9" ht="13.5" customHeight="1" x14ac:dyDescent="0.3">
      <c r="A735" s="91">
        <f t="shared" si="39"/>
        <v>26178</v>
      </c>
      <c r="B735" s="9" t="s">
        <v>1085</v>
      </c>
      <c r="C735" s="91"/>
      <c r="D735" s="91"/>
      <c r="E735" s="91" t="s">
        <v>123</v>
      </c>
      <c r="F735" s="16">
        <v>3</v>
      </c>
      <c r="G735" s="91">
        <v>1</v>
      </c>
      <c r="H735" s="91">
        <v>14</v>
      </c>
      <c r="I735" s="98"/>
    </row>
    <row r="736" spans="1:9" ht="13.5" customHeight="1" x14ac:dyDescent="0.3">
      <c r="A736" s="91">
        <f t="shared" si="39"/>
        <v>26192</v>
      </c>
      <c r="B736" s="9" t="s">
        <v>1086</v>
      </c>
      <c r="C736" s="91"/>
      <c r="D736" s="91"/>
      <c r="E736" s="91" t="s">
        <v>123</v>
      </c>
      <c r="F736" s="16">
        <v>3</v>
      </c>
      <c r="G736" s="91">
        <v>1</v>
      </c>
      <c r="H736" s="91">
        <v>14</v>
      </c>
      <c r="I736" s="98"/>
    </row>
    <row r="737" spans="1:9" ht="13.5" customHeight="1" x14ac:dyDescent="0.3">
      <c r="A737" s="91">
        <f t="shared" si="39"/>
        <v>26206</v>
      </c>
      <c r="B737" s="9" t="s">
        <v>1087</v>
      </c>
      <c r="C737" s="91"/>
      <c r="D737" s="91"/>
      <c r="E737" s="91" t="s">
        <v>123</v>
      </c>
      <c r="F737" s="16">
        <v>3</v>
      </c>
      <c r="G737" s="91">
        <v>1</v>
      </c>
      <c r="H737" s="91">
        <v>14</v>
      </c>
      <c r="I737" s="98"/>
    </row>
    <row r="738" spans="1:9" ht="13.5" customHeight="1" x14ac:dyDescent="0.3">
      <c r="A738" s="91">
        <f t="shared" si="39"/>
        <v>26220</v>
      </c>
      <c r="B738" s="9" t="s">
        <v>1088</v>
      </c>
      <c r="C738" s="91"/>
      <c r="D738" s="91"/>
      <c r="E738" s="91" t="s">
        <v>123</v>
      </c>
      <c r="F738" s="16">
        <v>3</v>
      </c>
      <c r="G738" s="91">
        <v>1</v>
      </c>
      <c r="H738" s="91">
        <v>14</v>
      </c>
      <c r="I738" s="98"/>
    </row>
    <row r="739" spans="1:9" ht="13.5" customHeight="1" x14ac:dyDescent="0.3">
      <c r="A739" s="91">
        <f t="shared" si="39"/>
        <v>26234</v>
      </c>
      <c r="B739" s="9" t="s">
        <v>1089</v>
      </c>
      <c r="C739" s="91"/>
      <c r="D739" s="91"/>
      <c r="E739" s="91" t="s">
        <v>123</v>
      </c>
      <c r="F739" s="16">
        <v>3</v>
      </c>
      <c r="G739" s="91">
        <v>1</v>
      </c>
      <c r="H739" s="91">
        <v>14</v>
      </c>
      <c r="I739" s="98"/>
    </row>
    <row r="740" spans="1:9" ht="13.5" customHeight="1" x14ac:dyDescent="0.3">
      <c r="A740" s="91">
        <f t="shared" si="39"/>
        <v>26248</v>
      </c>
      <c r="B740" s="9" t="s">
        <v>1090</v>
      </c>
      <c r="C740" s="91"/>
      <c r="D740" s="91"/>
      <c r="E740" s="91" t="s">
        <v>123</v>
      </c>
      <c r="F740" s="16">
        <v>3</v>
      </c>
      <c r="G740" s="91">
        <v>1</v>
      </c>
      <c r="H740" s="91">
        <v>14</v>
      </c>
      <c r="I740" s="98"/>
    </row>
    <row r="741" spans="1:9" ht="13.5" customHeight="1" x14ac:dyDescent="0.3">
      <c r="A741" s="91">
        <f t="shared" si="39"/>
        <v>26262</v>
      </c>
      <c r="B741" s="9" t="s">
        <v>1091</v>
      </c>
      <c r="C741" s="91"/>
      <c r="D741" s="91"/>
      <c r="E741" s="91" t="s">
        <v>123</v>
      </c>
      <c r="F741" s="16">
        <v>3</v>
      </c>
      <c r="G741" s="91">
        <v>1</v>
      </c>
      <c r="H741" s="91">
        <v>14</v>
      </c>
      <c r="I741" s="98"/>
    </row>
    <row r="742" spans="1:9" ht="13.5" customHeight="1" x14ac:dyDescent="0.3">
      <c r="A742" s="91">
        <f t="shared" si="39"/>
        <v>26276</v>
      </c>
      <c r="B742" s="9" t="s">
        <v>1092</v>
      </c>
      <c r="C742" s="91"/>
      <c r="D742" s="91"/>
      <c r="E742" s="91" t="s">
        <v>123</v>
      </c>
      <c r="F742" s="16">
        <v>3</v>
      </c>
      <c r="G742" s="91">
        <v>1</v>
      </c>
      <c r="H742" s="91">
        <v>14</v>
      </c>
      <c r="I742" s="98"/>
    </row>
    <row r="743" spans="1:9" ht="13.5" customHeight="1" x14ac:dyDescent="0.3">
      <c r="A743" s="91">
        <f t="shared" si="39"/>
        <v>26290</v>
      </c>
      <c r="B743" s="9" t="s">
        <v>1093</v>
      </c>
      <c r="C743" s="91"/>
      <c r="D743" s="91"/>
      <c r="E743" s="91" t="s">
        <v>123</v>
      </c>
      <c r="F743" s="16">
        <v>3</v>
      </c>
      <c r="G743" s="91">
        <v>1</v>
      </c>
      <c r="H743" s="91">
        <v>14</v>
      </c>
      <c r="I743" s="98"/>
    </row>
    <row r="744" spans="1:9" ht="13.5" customHeight="1" x14ac:dyDescent="0.3">
      <c r="A744" s="91">
        <f t="shared" si="39"/>
        <v>26304</v>
      </c>
      <c r="B744" s="9" t="s">
        <v>1094</v>
      </c>
      <c r="C744" s="91"/>
      <c r="D744" s="91"/>
      <c r="E744" s="91" t="s">
        <v>123</v>
      </c>
      <c r="F744" s="16">
        <v>3</v>
      </c>
      <c r="G744" s="91">
        <v>1</v>
      </c>
      <c r="H744" s="91">
        <v>14</v>
      </c>
      <c r="I744" s="98"/>
    </row>
    <row r="745" spans="1:9" ht="13.5" customHeight="1" x14ac:dyDescent="0.3">
      <c r="A745" s="91">
        <f t="shared" si="39"/>
        <v>26318</v>
      </c>
      <c r="B745" s="9" t="s">
        <v>1095</v>
      </c>
      <c r="C745" s="91"/>
      <c r="D745" s="91"/>
      <c r="E745" s="91" t="s">
        <v>123</v>
      </c>
      <c r="F745" s="16">
        <v>3</v>
      </c>
      <c r="G745" s="91">
        <v>1</v>
      </c>
      <c r="H745" s="91">
        <v>14</v>
      </c>
      <c r="I745" s="98"/>
    </row>
    <row r="746" spans="1:9" ht="13.5" customHeight="1" x14ac:dyDescent="0.3">
      <c r="A746" s="91">
        <f t="shared" si="39"/>
        <v>26332</v>
      </c>
      <c r="B746" s="9" t="s">
        <v>1096</v>
      </c>
      <c r="C746" s="91"/>
      <c r="D746" s="91"/>
      <c r="E746" s="91" t="s">
        <v>123</v>
      </c>
      <c r="F746" s="16">
        <v>3</v>
      </c>
      <c r="G746" s="91">
        <v>1</v>
      </c>
      <c r="H746" s="91">
        <v>14</v>
      </c>
      <c r="I746" s="98"/>
    </row>
    <row r="747" spans="1:9" ht="13.5" customHeight="1" x14ac:dyDescent="0.3">
      <c r="A747" s="91">
        <f t="shared" si="39"/>
        <v>26346</v>
      </c>
      <c r="B747" s="9" t="s">
        <v>1097</v>
      </c>
      <c r="C747" s="91"/>
      <c r="D747" s="91"/>
      <c r="E747" s="91" t="s">
        <v>123</v>
      </c>
      <c r="F747" s="16">
        <v>3</v>
      </c>
      <c r="G747" s="91">
        <v>1</v>
      </c>
      <c r="H747" s="91">
        <v>14</v>
      </c>
      <c r="I747" s="98"/>
    </row>
    <row r="748" spans="1:9" ht="13.5" customHeight="1" x14ac:dyDescent="0.3">
      <c r="A748" s="91">
        <f t="shared" si="39"/>
        <v>26360</v>
      </c>
      <c r="B748" s="9" t="s">
        <v>1098</v>
      </c>
      <c r="C748" s="91"/>
      <c r="D748" s="91"/>
      <c r="E748" s="91" t="s">
        <v>123</v>
      </c>
      <c r="F748" s="16">
        <v>3</v>
      </c>
      <c r="G748" s="91">
        <v>1</v>
      </c>
      <c r="H748" s="91">
        <v>14</v>
      </c>
      <c r="I748" s="98"/>
    </row>
    <row r="749" spans="1:9" ht="13.5" customHeight="1" x14ac:dyDescent="0.3">
      <c r="A749" s="91">
        <f t="shared" si="39"/>
        <v>26374</v>
      </c>
      <c r="B749" s="9" t="s">
        <v>1099</v>
      </c>
      <c r="C749" s="91"/>
      <c r="D749" s="91"/>
      <c r="E749" s="91" t="s">
        <v>123</v>
      </c>
      <c r="F749" s="16">
        <v>3</v>
      </c>
      <c r="G749" s="91">
        <v>1</v>
      </c>
      <c r="H749" s="91">
        <v>14</v>
      </c>
      <c r="I749" s="98"/>
    </row>
    <row r="750" spans="1:9" ht="13.5" customHeight="1" x14ac:dyDescent="0.3">
      <c r="A750" s="91">
        <f t="shared" si="39"/>
        <v>26388</v>
      </c>
      <c r="B750" s="9" t="s">
        <v>1100</v>
      </c>
      <c r="C750" s="91"/>
      <c r="D750" s="91"/>
      <c r="E750" s="91" t="s">
        <v>123</v>
      </c>
      <c r="F750" s="16">
        <v>3</v>
      </c>
      <c r="G750" s="91">
        <v>1</v>
      </c>
      <c r="H750" s="91">
        <v>14</v>
      </c>
      <c r="I750" s="98"/>
    </row>
    <row r="751" spans="1:9" ht="13.5" customHeight="1" x14ac:dyDescent="0.3">
      <c r="A751" s="91">
        <f t="shared" si="39"/>
        <v>26402</v>
      </c>
      <c r="B751" s="9"/>
      <c r="C751" s="91"/>
      <c r="D751" s="91"/>
      <c r="E751" s="91" t="s">
        <v>123</v>
      </c>
      <c r="F751" s="16">
        <v>3</v>
      </c>
      <c r="G751" s="91">
        <v>1</v>
      </c>
      <c r="H751" s="91">
        <v>8</v>
      </c>
      <c r="I751" s="98"/>
    </row>
    <row r="752" spans="1:9" ht="13.5" customHeight="1" x14ac:dyDescent="0.3">
      <c r="A752" s="122" t="s">
        <v>1101</v>
      </c>
      <c r="B752" s="122"/>
      <c r="C752" s="122"/>
      <c r="D752" s="122"/>
      <c r="E752" s="122"/>
      <c r="F752" s="122"/>
      <c r="G752" s="122"/>
      <c r="H752" s="122"/>
      <c r="I752" s="104"/>
    </row>
    <row r="753" spans="1:9" ht="13.5" customHeight="1" x14ac:dyDescent="0.3">
      <c r="A753" s="91">
        <f>A751+G751*H751</f>
        <v>26410</v>
      </c>
      <c r="B753" s="15" t="s">
        <v>400</v>
      </c>
      <c r="C753" s="91"/>
      <c r="D753" s="91"/>
      <c r="E753" s="16" t="s">
        <v>123</v>
      </c>
      <c r="F753" s="16">
        <v>3</v>
      </c>
      <c r="G753" s="16">
        <f t="shared" ref="G753:G765" si="40">IF(OR(E753="U16", E753="S16"),1,IF(E753="TS",6,2))</f>
        <v>1</v>
      </c>
      <c r="H753" s="91">
        <v>1</v>
      </c>
      <c r="I753" s="98"/>
    </row>
    <row r="754" spans="1:9" ht="13.5" customHeight="1" x14ac:dyDescent="0.3">
      <c r="A754" s="91">
        <f t="shared" ref="A754:A797" si="41">A753+(G753*H753)</f>
        <v>26411</v>
      </c>
      <c r="B754" s="15" t="s">
        <v>401</v>
      </c>
      <c r="C754" s="91"/>
      <c r="D754" s="91"/>
      <c r="E754" s="16" t="s">
        <v>123</v>
      </c>
      <c r="F754" s="16">
        <v>3</v>
      </c>
      <c r="G754" s="16">
        <f t="shared" si="40"/>
        <v>1</v>
      </c>
      <c r="H754" s="91">
        <v>1</v>
      </c>
      <c r="I754" s="98"/>
    </row>
    <row r="755" spans="1:9" ht="13.5" customHeight="1" x14ac:dyDescent="0.3">
      <c r="A755" s="91">
        <f t="shared" si="41"/>
        <v>26412</v>
      </c>
      <c r="B755" s="22" t="s">
        <v>1064</v>
      </c>
      <c r="C755" s="91"/>
      <c r="D755" s="91"/>
      <c r="E755" s="16" t="s">
        <v>123</v>
      </c>
      <c r="F755" s="16">
        <v>3</v>
      </c>
      <c r="G755" s="16">
        <f t="shared" si="40"/>
        <v>1</v>
      </c>
      <c r="H755" s="91">
        <v>1</v>
      </c>
      <c r="I755" s="98"/>
    </row>
    <row r="756" spans="1:9" ht="13.5" customHeight="1" x14ac:dyDescent="0.3">
      <c r="A756" s="91">
        <f t="shared" si="41"/>
        <v>26413</v>
      </c>
      <c r="B756" s="15" t="s">
        <v>196</v>
      </c>
      <c r="C756" s="91"/>
      <c r="D756" s="91"/>
      <c r="E756" s="16" t="s">
        <v>123</v>
      </c>
      <c r="F756" s="16">
        <v>3</v>
      </c>
      <c r="G756" s="16">
        <f t="shared" si="40"/>
        <v>1</v>
      </c>
      <c r="H756" s="91">
        <v>1</v>
      </c>
      <c r="I756" s="98"/>
    </row>
    <row r="757" spans="1:9" ht="13.5" customHeight="1" x14ac:dyDescent="0.3">
      <c r="A757" s="91">
        <f t="shared" si="41"/>
        <v>26414</v>
      </c>
      <c r="B757" s="128" t="s">
        <v>1065</v>
      </c>
      <c r="C757" s="3" t="s">
        <v>1066</v>
      </c>
      <c r="D757" s="91"/>
      <c r="E757" s="91" t="s">
        <v>91</v>
      </c>
      <c r="F757" s="91">
        <v>3</v>
      </c>
      <c r="G757" s="91">
        <f t="shared" si="40"/>
        <v>2</v>
      </c>
      <c r="H757" s="91">
        <v>1</v>
      </c>
      <c r="I757" s="98"/>
    </row>
    <row r="758" spans="1:9" ht="13.5" customHeight="1" x14ac:dyDescent="0.3">
      <c r="A758" s="91">
        <f t="shared" si="41"/>
        <v>26416</v>
      </c>
      <c r="B758" s="128"/>
      <c r="C758" s="3" t="s">
        <v>442</v>
      </c>
      <c r="D758" s="91"/>
      <c r="E758" s="91" t="s">
        <v>123</v>
      </c>
      <c r="F758" s="91">
        <v>3</v>
      </c>
      <c r="G758" s="91">
        <f t="shared" si="40"/>
        <v>1</v>
      </c>
      <c r="H758" s="91">
        <v>1</v>
      </c>
      <c r="I758" s="98"/>
    </row>
    <row r="759" spans="1:9" ht="13.5" customHeight="1" x14ac:dyDescent="0.3">
      <c r="A759" s="91">
        <f t="shared" si="41"/>
        <v>26417</v>
      </c>
      <c r="B759" s="128"/>
      <c r="C759" s="3" t="s">
        <v>443</v>
      </c>
      <c r="D759" s="91"/>
      <c r="E759" s="91" t="s">
        <v>123</v>
      </c>
      <c r="F759" s="91">
        <v>3</v>
      </c>
      <c r="G759" s="91">
        <f t="shared" si="40"/>
        <v>1</v>
      </c>
      <c r="H759" s="91">
        <v>1</v>
      </c>
      <c r="I759" s="98"/>
    </row>
    <row r="760" spans="1:9" ht="13.5" customHeight="1" x14ac:dyDescent="0.3">
      <c r="A760" s="91">
        <f t="shared" si="41"/>
        <v>26418</v>
      </c>
      <c r="B760" s="128"/>
      <c r="C760" s="3" t="s">
        <v>1067</v>
      </c>
      <c r="D760" s="9" t="s">
        <v>1068</v>
      </c>
      <c r="E760" s="91" t="s">
        <v>123</v>
      </c>
      <c r="F760" s="91">
        <v>3</v>
      </c>
      <c r="G760" s="91">
        <f t="shared" si="40"/>
        <v>1</v>
      </c>
      <c r="H760" s="91">
        <v>1</v>
      </c>
      <c r="I760" s="98"/>
    </row>
    <row r="761" spans="1:9" ht="13.5" customHeight="1" x14ac:dyDescent="0.3">
      <c r="A761" s="91">
        <f t="shared" si="41"/>
        <v>26419</v>
      </c>
      <c r="B761" s="128"/>
      <c r="C761" s="3" t="s">
        <v>440</v>
      </c>
      <c r="D761" s="91"/>
      <c r="E761" s="91" t="s">
        <v>123</v>
      </c>
      <c r="F761" s="91">
        <v>3</v>
      </c>
      <c r="G761" s="91">
        <f t="shared" si="40"/>
        <v>1</v>
      </c>
      <c r="H761" s="91">
        <v>1</v>
      </c>
      <c r="I761" s="98"/>
    </row>
    <row r="762" spans="1:9" ht="13.5" customHeight="1" x14ac:dyDescent="0.3">
      <c r="A762" s="91">
        <f t="shared" si="41"/>
        <v>26420</v>
      </c>
      <c r="B762" s="128"/>
      <c r="C762" s="3" t="s">
        <v>441</v>
      </c>
      <c r="D762" s="91"/>
      <c r="E762" s="91" t="s">
        <v>437</v>
      </c>
      <c r="F762" s="91">
        <v>3</v>
      </c>
      <c r="G762" s="91">
        <f t="shared" si="40"/>
        <v>2</v>
      </c>
      <c r="H762" s="91">
        <v>1</v>
      </c>
      <c r="I762" s="98"/>
    </row>
    <row r="763" spans="1:9" ht="13.5" customHeight="1" x14ac:dyDescent="0.3">
      <c r="A763" s="91">
        <f t="shared" si="41"/>
        <v>26422</v>
      </c>
      <c r="B763" s="128"/>
      <c r="C763" s="3" t="s">
        <v>272</v>
      </c>
      <c r="D763" s="91"/>
      <c r="E763" s="91" t="s">
        <v>437</v>
      </c>
      <c r="F763" s="91">
        <v>3</v>
      </c>
      <c r="G763" s="91">
        <f t="shared" si="40"/>
        <v>2</v>
      </c>
      <c r="H763" s="91">
        <v>1</v>
      </c>
      <c r="I763" s="98"/>
    </row>
    <row r="764" spans="1:9" ht="13.5" customHeight="1" x14ac:dyDescent="0.3">
      <c r="A764" s="91">
        <f t="shared" si="41"/>
        <v>26424</v>
      </c>
      <c r="B764" s="128"/>
      <c r="C764" s="3" t="s">
        <v>273</v>
      </c>
      <c r="D764" s="91"/>
      <c r="E764" s="91" t="s">
        <v>437</v>
      </c>
      <c r="F764" s="91">
        <v>3</v>
      </c>
      <c r="G764" s="91">
        <f t="shared" si="40"/>
        <v>2</v>
      </c>
      <c r="H764" s="91">
        <v>1</v>
      </c>
      <c r="I764" s="98"/>
    </row>
    <row r="765" spans="1:9" ht="13.5" customHeight="1" x14ac:dyDescent="0.3">
      <c r="A765" s="91">
        <f t="shared" si="41"/>
        <v>26426</v>
      </c>
      <c r="B765" s="128"/>
      <c r="C765" s="3" t="s">
        <v>1069</v>
      </c>
      <c r="D765" s="91"/>
      <c r="E765" s="91" t="s">
        <v>437</v>
      </c>
      <c r="F765" s="91">
        <v>3</v>
      </c>
      <c r="G765" s="91">
        <f t="shared" si="40"/>
        <v>2</v>
      </c>
      <c r="H765" s="91">
        <v>1</v>
      </c>
      <c r="I765" s="98"/>
    </row>
    <row r="766" spans="1:9" ht="13.5" customHeight="1" x14ac:dyDescent="0.3">
      <c r="A766" s="91">
        <f t="shared" si="41"/>
        <v>26428</v>
      </c>
      <c r="B766" s="9" t="s">
        <v>1070</v>
      </c>
      <c r="C766" s="91"/>
      <c r="D766" s="91"/>
      <c r="E766" s="91" t="s">
        <v>123</v>
      </c>
      <c r="F766" s="16">
        <v>3</v>
      </c>
      <c r="G766" s="91">
        <v>1</v>
      </c>
      <c r="H766" s="91">
        <v>14</v>
      </c>
      <c r="I766" s="98"/>
    </row>
    <row r="767" spans="1:9" ht="13.5" customHeight="1" x14ac:dyDescent="0.3">
      <c r="A767" s="91">
        <f t="shared" si="41"/>
        <v>26442</v>
      </c>
      <c r="B767" s="9" t="s">
        <v>1071</v>
      </c>
      <c r="C767" s="91"/>
      <c r="D767" s="91"/>
      <c r="E767" s="91" t="s">
        <v>123</v>
      </c>
      <c r="F767" s="16">
        <v>3</v>
      </c>
      <c r="G767" s="91">
        <v>1</v>
      </c>
      <c r="H767" s="91">
        <v>14</v>
      </c>
      <c r="I767" s="98"/>
    </row>
    <row r="768" spans="1:9" ht="13.5" customHeight="1" x14ac:dyDescent="0.3">
      <c r="A768" s="91">
        <f t="shared" si="41"/>
        <v>26456</v>
      </c>
      <c r="B768" s="9" t="s">
        <v>1072</v>
      </c>
      <c r="C768" s="91"/>
      <c r="D768" s="91"/>
      <c r="E768" s="91" t="s">
        <v>123</v>
      </c>
      <c r="F768" s="16">
        <v>3</v>
      </c>
      <c r="G768" s="91">
        <v>1</v>
      </c>
      <c r="H768" s="91">
        <v>14</v>
      </c>
      <c r="I768" s="98"/>
    </row>
    <row r="769" spans="1:9" ht="13.5" customHeight="1" x14ac:dyDescent="0.3">
      <c r="A769" s="91">
        <f t="shared" si="41"/>
        <v>26470</v>
      </c>
      <c r="B769" s="9" t="s">
        <v>1073</v>
      </c>
      <c r="C769" s="91"/>
      <c r="D769" s="91"/>
      <c r="E769" s="91" t="s">
        <v>123</v>
      </c>
      <c r="F769" s="16">
        <v>3</v>
      </c>
      <c r="G769" s="91">
        <v>1</v>
      </c>
      <c r="H769" s="91">
        <v>14</v>
      </c>
      <c r="I769" s="98"/>
    </row>
    <row r="770" spans="1:9" ht="13.5" customHeight="1" x14ac:dyDescent="0.3">
      <c r="A770" s="91">
        <f t="shared" si="41"/>
        <v>26484</v>
      </c>
      <c r="B770" s="9" t="s">
        <v>1074</v>
      </c>
      <c r="C770" s="91"/>
      <c r="D770" s="91"/>
      <c r="E770" s="91" t="s">
        <v>123</v>
      </c>
      <c r="F770" s="16">
        <v>3</v>
      </c>
      <c r="G770" s="91">
        <v>1</v>
      </c>
      <c r="H770" s="91">
        <v>14</v>
      </c>
      <c r="I770" s="98"/>
    </row>
    <row r="771" spans="1:9" ht="13.5" customHeight="1" x14ac:dyDescent="0.3">
      <c r="A771" s="91">
        <f t="shared" si="41"/>
        <v>26498</v>
      </c>
      <c r="B771" s="9" t="s">
        <v>1075</v>
      </c>
      <c r="C771" s="91"/>
      <c r="D771" s="91"/>
      <c r="E771" s="91" t="s">
        <v>123</v>
      </c>
      <c r="F771" s="16">
        <v>3</v>
      </c>
      <c r="G771" s="91">
        <v>1</v>
      </c>
      <c r="H771" s="91">
        <v>14</v>
      </c>
      <c r="I771" s="98"/>
    </row>
    <row r="772" spans="1:9" ht="13.5" customHeight="1" x14ac:dyDescent="0.3">
      <c r="A772" s="91">
        <f t="shared" si="41"/>
        <v>26512</v>
      </c>
      <c r="B772" s="9" t="s">
        <v>1076</v>
      </c>
      <c r="C772" s="91"/>
      <c r="D772" s="91"/>
      <c r="E772" s="91" t="s">
        <v>123</v>
      </c>
      <c r="F772" s="16">
        <v>3</v>
      </c>
      <c r="G772" s="91">
        <v>1</v>
      </c>
      <c r="H772" s="91">
        <v>14</v>
      </c>
      <c r="I772" s="98"/>
    </row>
    <row r="773" spans="1:9" ht="13.5" customHeight="1" x14ac:dyDescent="0.3">
      <c r="A773" s="91">
        <f t="shared" si="41"/>
        <v>26526</v>
      </c>
      <c r="B773" s="9" t="s">
        <v>1077</v>
      </c>
      <c r="C773" s="91"/>
      <c r="D773" s="91"/>
      <c r="E773" s="91" t="s">
        <v>123</v>
      </c>
      <c r="F773" s="16">
        <v>3</v>
      </c>
      <c r="G773" s="91">
        <v>1</v>
      </c>
      <c r="H773" s="91">
        <v>14</v>
      </c>
      <c r="I773" s="98"/>
    </row>
    <row r="774" spans="1:9" ht="13.5" customHeight="1" x14ac:dyDescent="0.3">
      <c r="A774" s="91">
        <f t="shared" si="41"/>
        <v>26540</v>
      </c>
      <c r="B774" s="9" t="s">
        <v>1078</v>
      </c>
      <c r="C774" s="91"/>
      <c r="D774" s="91"/>
      <c r="E774" s="91" t="s">
        <v>123</v>
      </c>
      <c r="F774" s="16">
        <v>3</v>
      </c>
      <c r="G774" s="91">
        <v>1</v>
      </c>
      <c r="H774" s="91">
        <v>14</v>
      </c>
      <c r="I774" s="98"/>
    </row>
    <row r="775" spans="1:9" ht="13.5" customHeight="1" x14ac:dyDescent="0.3">
      <c r="A775" s="91">
        <f t="shared" si="41"/>
        <v>26554</v>
      </c>
      <c r="B775" s="9" t="s">
        <v>1079</v>
      </c>
      <c r="C775" s="91"/>
      <c r="D775" s="91"/>
      <c r="E775" s="91" t="s">
        <v>123</v>
      </c>
      <c r="F775" s="16">
        <v>3</v>
      </c>
      <c r="G775" s="91">
        <v>1</v>
      </c>
      <c r="H775" s="91">
        <v>14</v>
      </c>
      <c r="I775" s="98"/>
    </row>
    <row r="776" spans="1:9" ht="13.5" customHeight="1" x14ac:dyDescent="0.3">
      <c r="A776" s="91">
        <f t="shared" si="41"/>
        <v>26568</v>
      </c>
      <c r="B776" s="9" t="s">
        <v>1080</v>
      </c>
      <c r="C776" s="91"/>
      <c r="D776" s="91"/>
      <c r="E776" s="91" t="s">
        <v>123</v>
      </c>
      <c r="F776" s="16">
        <v>3</v>
      </c>
      <c r="G776" s="91">
        <v>1</v>
      </c>
      <c r="H776" s="91">
        <v>14</v>
      </c>
      <c r="I776" s="98"/>
    </row>
    <row r="777" spans="1:9" ht="13.5" customHeight="1" x14ac:dyDescent="0.3">
      <c r="A777" s="91">
        <f t="shared" si="41"/>
        <v>26582</v>
      </c>
      <c r="B777" s="9" t="s">
        <v>1081</v>
      </c>
      <c r="C777" s="91"/>
      <c r="D777" s="91"/>
      <c r="E777" s="91" t="s">
        <v>123</v>
      </c>
      <c r="F777" s="16">
        <v>3</v>
      </c>
      <c r="G777" s="91">
        <v>1</v>
      </c>
      <c r="H777" s="91">
        <v>14</v>
      </c>
      <c r="I777" s="98"/>
    </row>
    <row r="778" spans="1:9" ht="13.5" customHeight="1" x14ac:dyDescent="0.3">
      <c r="A778" s="91">
        <f t="shared" si="41"/>
        <v>26596</v>
      </c>
      <c r="B778" s="9" t="s">
        <v>1082</v>
      </c>
      <c r="C778" s="91"/>
      <c r="D778" s="91"/>
      <c r="E778" s="91" t="s">
        <v>123</v>
      </c>
      <c r="F778" s="16">
        <v>3</v>
      </c>
      <c r="G778" s="91">
        <v>1</v>
      </c>
      <c r="H778" s="91">
        <v>14</v>
      </c>
      <c r="I778" s="98"/>
    </row>
    <row r="779" spans="1:9" ht="13.5" customHeight="1" x14ac:dyDescent="0.3">
      <c r="A779" s="91">
        <f t="shared" si="41"/>
        <v>26610</v>
      </c>
      <c r="B779" s="9" t="s">
        <v>1083</v>
      </c>
      <c r="C779" s="91"/>
      <c r="D779" s="91"/>
      <c r="E779" s="91" t="s">
        <v>123</v>
      </c>
      <c r="F779" s="16">
        <v>3</v>
      </c>
      <c r="G779" s="91">
        <v>1</v>
      </c>
      <c r="H779" s="91">
        <v>14</v>
      </c>
      <c r="I779" s="98"/>
    </row>
    <row r="780" spans="1:9" ht="13.5" customHeight="1" x14ac:dyDescent="0.3">
      <c r="A780" s="91">
        <f t="shared" si="41"/>
        <v>26624</v>
      </c>
      <c r="B780" s="9" t="s">
        <v>1084</v>
      </c>
      <c r="C780" s="91"/>
      <c r="D780" s="91"/>
      <c r="E780" s="91" t="s">
        <v>123</v>
      </c>
      <c r="F780" s="16">
        <v>3</v>
      </c>
      <c r="G780" s="91">
        <v>1</v>
      </c>
      <c r="H780" s="91">
        <v>14</v>
      </c>
      <c r="I780" s="98"/>
    </row>
    <row r="781" spans="1:9" ht="13.5" customHeight="1" x14ac:dyDescent="0.3">
      <c r="A781" s="91">
        <f t="shared" si="41"/>
        <v>26638</v>
      </c>
      <c r="B781" s="9" t="s">
        <v>1085</v>
      </c>
      <c r="C781" s="91"/>
      <c r="D781" s="91"/>
      <c r="E781" s="91" t="s">
        <v>123</v>
      </c>
      <c r="F781" s="16">
        <v>3</v>
      </c>
      <c r="G781" s="91">
        <v>1</v>
      </c>
      <c r="H781" s="91">
        <v>14</v>
      </c>
      <c r="I781" s="98"/>
    </row>
    <row r="782" spans="1:9" ht="13.5" customHeight="1" x14ac:dyDescent="0.3">
      <c r="A782" s="91">
        <f t="shared" si="41"/>
        <v>26652</v>
      </c>
      <c r="B782" s="9" t="s">
        <v>1086</v>
      </c>
      <c r="C782" s="91"/>
      <c r="D782" s="91"/>
      <c r="E782" s="91" t="s">
        <v>123</v>
      </c>
      <c r="F782" s="16">
        <v>3</v>
      </c>
      <c r="G782" s="91">
        <v>1</v>
      </c>
      <c r="H782" s="91">
        <v>14</v>
      </c>
      <c r="I782" s="98"/>
    </row>
    <row r="783" spans="1:9" ht="13.5" customHeight="1" x14ac:dyDescent="0.3">
      <c r="A783" s="91">
        <f t="shared" si="41"/>
        <v>26666</v>
      </c>
      <c r="B783" s="9" t="s">
        <v>1087</v>
      </c>
      <c r="C783" s="91"/>
      <c r="D783" s="91"/>
      <c r="E783" s="91" t="s">
        <v>123</v>
      </c>
      <c r="F783" s="16">
        <v>3</v>
      </c>
      <c r="G783" s="91">
        <v>1</v>
      </c>
      <c r="H783" s="91">
        <v>14</v>
      </c>
      <c r="I783" s="98"/>
    </row>
    <row r="784" spans="1:9" ht="13.5" customHeight="1" x14ac:dyDescent="0.3">
      <c r="A784" s="91">
        <f t="shared" si="41"/>
        <v>26680</v>
      </c>
      <c r="B784" s="9" t="s">
        <v>1088</v>
      </c>
      <c r="C784" s="91"/>
      <c r="D784" s="91"/>
      <c r="E784" s="91" t="s">
        <v>123</v>
      </c>
      <c r="F784" s="16">
        <v>3</v>
      </c>
      <c r="G784" s="91">
        <v>1</v>
      </c>
      <c r="H784" s="91">
        <v>14</v>
      </c>
      <c r="I784" s="98"/>
    </row>
    <row r="785" spans="1:9" ht="13.5" customHeight="1" x14ac:dyDescent="0.3">
      <c r="A785" s="91">
        <f t="shared" si="41"/>
        <v>26694</v>
      </c>
      <c r="B785" s="9" t="s">
        <v>1089</v>
      </c>
      <c r="C785" s="91"/>
      <c r="D785" s="91"/>
      <c r="E785" s="91" t="s">
        <v>123</v>
      </c>
      <c r="F785" s="16">
        <v>3</v>
      </c>
      <c r="G785" s="91">
        <v>1</v>
      </c>
      <c r="H785" s="91">
        <v>14</v>
      </c>
      <c r="I785" s="98"/>
    </row>
    <row r="786" spans="1:9" ht="13.5" customHeight="1" x14ac:dyDescent="0.3">
      <c r="A786" s="91">
        <f t="shared" si="41"/>
        <v>26708</v>
      </c>
      <c r="B786" s="9" t="s">
        <v>1090</v>
      </c>
      <c r="C786" s="91"/>
      <c r="D786" s="91"/>
      <c r="E786" s="91" t="s">
        <v>123</v>
      </c>
      <c r="F786" s="16">
        <v>3</v>
      </c>
      <c r="G786" s="91">
        <v>1</v>
      </c>
      <c r="H786" s="91">
        <v>14</v>
      </c>
      <c r="I786" s="98"/>
    </row>
    <row r="787" spans="1:9" ht="13.5" customHeight="1" x14ac:dyDescent="0.3">
      <c r="A787" s="91">
        <f t="shared" si="41"/>
        <v>26722</v>
      </c>
      <c r="B787" s="9" t="s">
        <v>1091</v>
      </c>
      <c r="C787" s="91"/>
      <c r="D787" s="91"/>
      <c r="E787" s="91" t="s">
        <v>123</v>
      </c>
      <c r="F787" s="16">
        <v>3</v>
      </c>
      <c r="G787" s="91">
        <v>1</v>
      </c>
      <c r="H787" s="91">
        <v>14</v>
      </c>
      <c r="I787" s="98"/>
    </row>
    <row r="788" spans="1:9" ht="13.5" customHeight="1" x14ac:dyDescent="0.3">
      <c r="A788" s="91">
        <f t="shared" si="41"/>
        <v>26736</v>
      </c>
      <c r="B788" s="9" t="s">
        <v>1092</v>
      </c>
      <c r="C788" s="91"/>
      <c r="D788" s="91"/>
      <c r="E788" s="91" t="s">
        <v>123</v>
      </c>
      <c r="F788" s="16">
        <v>3</v>
      </c>
      <c r="G788" s="91">
        <v>1</v>
      </c>
      <c r="H788" s="91">
        <v>14</v>
      </c>
      <c r="I788" s="98"/>
    </row>
    <row r="789" spans="1:9" ht="13.5" customHeight="1" x14ac:dyDescent="0.3">
      <c r="A789" s="91">
        <f t="shared" si="41"/>
        <v>26750</v>
      </c>
      <c r="B789" s="9" t="s">
        <v>1093</v>
      </c>
      <c r="C789" s="91"/>
      <c r="D789" s="91"/>
      <c r="E789" s="91" t="s">
        <v>123</v>
      </c>
      <c r="F789" s="16">
        <v>3</v>
      </c>
      <c r="G789" s="91">
        <v>1</v>
      </c>
      <c r="H789" s="91">
        <v>14</v>
      </c>
      <c r="I789" s="98"/>
    </row>
    <row r="790" spans="1:9" ht="13.5" customHeight="1" x14ac:dyDescent="0.3">
      <c r="A790" s="91">
        <f t="shared" si="41"/>
        <v>26764</v>
      </c>
      <c r="B790" s="9" t="s">
        <v>1094</v>
      </c>
      <c r="C790" s="91"/>
      <c r="D790" s="91"/>
      <c r="E790" s="91" t="s">
        <v>123</v>
      </c>
      <c r="F790" s="16">
        <v>3</v>
      </c>
      <c r="G790" s="91">
        <v>1</v>
      </c>
      <c r="H790" s="91">
        <v>14</v>
      </c>
      <c r="I790" s="98"/>
    </row>
    <row r="791" spans="1:9" ht="13.5" customHeight="1" x14ac:dyDescent="0.3">
      <c r="A791" s="91">
        <f t="shared" si="41"/>
        <v>26778</v>
      </c>
      <c r="B791" s="9" t="s">
        <v>1095</v>
      </c>
      <c r="C791" s="91"/>
      <c r="D791" s="91"/>
      <c r="E791" s="91" t="s">
        <v>123</v>
      </c>
      <c r="F791" s="16">
        <v>3</v>
      </c>
      <c r="G791" s="91">
        <v>1</v>
      </c>
      <c r="H791" s="91">
        <v>14</v>
      </c>
      <c r="I791" s="98"/>
    </row>
    <row r="792" spans="1:9" ht="13.5" customHeight="1" x14ac:dyDescent="0.3">
      <c r="A792" s="91">
        <f t="shared" si="41"/>
        <v>26792</v>
      </c>
      <c r="B792" s="9" t="s">
        <v>1096</v>
      </c>
      <c r="C792" s="91"/>
      <c r="D792" s="91"/>
      <c r="E792" s="91" t="s">
        <v>123</v>
      </c>
      <c r="F792" s="16">
        <v>3</v>
      </c>
      <c r="G792" s="91">
        <v>1</v>
      </c>
      <c r="H792" s="91">
        <v>14</v>
      </c>
      <c r="I792" s="98"/>
    </row>
    <row r="793" spans="1:9" ht="13.5" customHeight="1" x14ac:dyDescent="0.3">
      <c r="A793" s="91">
        <f t="shared" si="41"/>
        <v>26806</v>
      </c>
      <c r="B793" s="9" t="s">
        <v>1097</v>
      </c>
      <c r="C793" s="91"/>
      <c r="D793" s="91"/>
      <c r="E793" s="91" t="s">
        <v>123</v>
      </c>
      <c r="F793" s="16">
        <v>3</v>
      </c>
      <c r="G793" s="91">
        <v>1</v>
      </c>
      <c r="H793" s="91">
        <v>14</v>
      </c>
      <c r="I793" s="98"/>
    </row>
    <row r="794" spans="1:9" ht="13.5" customHeight="1" x14ac:dyDescent="0.3">
      <c r="A794" s="91">
        <f t="shared" si="41"/>
        <v>26820</v>
      </c>
      <c r="B794" s="9" t="s">
        <v>1098</v>
      </c>
      <c r="C794" s="91"/>
      <c r="D794" s="91"/>
      <c r="E794" s="91" t="s">
        <v>123</v>
      </c>
      <c r="F794" s="16">
        <v>3</v>
      </c>
      <c r="G794" s="91">
        <v>1</v>
      </c>
      <c r="H794" s="91">
        <v>14</v>
      </c>
      <c r="I794" s="98"/>
    </row>
    <row r="795" spans="1:9" ht="13.5" customHeight="1" x14ac:dyDescent="0.3">
      <c r="A795" s="91">
        <f t="shared" si="41"/>
        <v>26834</v>
      </c>
      <c r="B795" s="9" t="s">
        <v>1099</v>
      </c>
      <c r="C795" s="91"/>
      <c r="D795" s="91"/>
      <c r="E795" s="91" t="s">
        <v>123</v>
      </c>
      <c r="F795" s="16">
        <v>3</v>
      </c>
      <c r="G795" s="91">
        <v>1</v>
      </c>
      <c r="H795" s="91">
        <v>14</v>
      </c>
      <c r="I795" s="98"/>
    </row>
    <row r="796" spans="1:9" ht="13.5" customHeight="1" x14ac:dyDescent="0.3">
      <c r="A796" s="91">
        <f t="shared" si="41"/>
        <v>26848</v>
      </c>
      <c r="B796" s="9" t="s">
        <v>1100</v>
      </c>
      <c r="C796" s="91"/>
      <c r="D796" s="91"/>
      <c r="E796" s="91" t="s">
        <v>123</v>
      </c>
      <c r="F796" s="16">
        <v>3</v>
      </c>
      <c r="G796" s="91">
        <v>1</v>
      </c>
      <c r="H796" s="91">
        <v>14</v>
      </c>
      <c r="I796" s="98"/>
    </row>
    <row r="797" spans="1:9" ht="13.5" customHeight="1" x14ac:dyDescent="0.3">
      <c r="A797" s="91">
        <f t="shared" si="41"/>
        <v>26862</v>
      </c>
      <c r="B797" s="9"/>
      <c r="C797" s="91"/>
      <c r="D797" s="91"/>
      <c r="E797" s="91" t="s">
        <v>123</v>
      </c>
      <c r="F797" s="16">
        <v>3</v>
      </c>
      <c r="G797" s="91">
        <v>1</v>
      </c>
      <c r="H797" s="91">
        <v>8</v>
      </c>
      <c r="I797" s="98"/>
    </row>
    <row r="798" spans="1:9" ht="15.95" customHeight="1" x14ac:dyDescent="0.3">
      <c r="A798" s="127" t="s">
        <v>657</v>
      </c>
      <c r="B798" s="127"/>
      <c r="C798" s="127"/>
      <c r="D798" s="127"/>
      <c r="E798" s="127"/>
      <c r="F798" s="127"/>
      <c r="G798" s="127"/>
      <c r="H798" s="127"/>
      <c r="I798" s="110"/>
    </row>
    <row r="799" spans="1:9" ht="13.5" customHeight="1" thickBot="1" x14ac:dyDescent="0.35">
      <c r="A799" s="132" t="s">
        <v>515</v>
      </c>
      <c r="B799" s="132"/>
      <c r="C799" s="132"/>
      <c r="D799" s="132"/>
      <c r="E799" s="132"/>
      <c r="F799" s="132"/>
      <c r="G799" s="132"/>
      <c r="H799" s="132"/>
      <c r="I799" s="104"/>
    </row>
    <row r="800" spans="1:9" ht="15" customHeight="1" x14ac:dyDescent="0.3">
      <c r="A800" s="78">
        <f>A797+(G797*H797)</f>
        <v>26870</v>
      </c>
      <c r="B800" s="79" t="s">
        <v>204</v>
      </c>
      <c r="C800" s="80" t="s">
        <v>582</v>
      </c>
      <c r="D800" s="80"/>
      <c r="E800" s="81" t="s">
        <v>123</v>
      </c>
      <c r="F800" s="81" t="s">
        <v>1062</v>
      </c>
      <c r="G800" s="81">
        <f t="shared" ref="G800:G814" si="42">IF(OR(E800="U16", E800="S16"),1,IF(E800="TS",6,2))</f>
        <v>1</v>
      </c>
      <c r="H800" s="82">
        <v>1</v>
      </c>
      <c r="I800" s="98"/>
    </row>
    <row r="801" spans="1:10" ht="15" customHeight="1" x14ac:dyDescent="0.3">
      <c r="A801" s="83">
        <f t="shared" ref="A801:A819" si="43">A800+(G800*H800)</f>
        <v>26871</v>
      </c>
      <c r="B801" s="11" t="s">
        <v>205</v>
      </c>
      <c r="C801" s="35" t="s">
        <v>587</v>
      </c>
      <c r="D801" s="35"/>
      <c r="E801" s="16" t="s">
        <v>123</v>
      </c>
      <c r="F801" s="16" t="s">
        <v>1062</v>
      </c>
      <c r="G801" s="16">
        <f t="shared" si="42"/>
        <v>1</v>
      </c>
      <c r="H801" s="84">
        <v>1</v>
      </c>
      <c r="I801" s="98"/>
    </row>
    <row r="802" spans="1:10" ht="48.75" customHeight="1" x14ac:dyDescent="0.3">
      <c r="A802" s="83">
        <f t="shared" si="43"/>
        <v>26872</v>
      </c>
      <c r="B802" s="11" t="s">
        <v>208</v>
      </c>
      <c r="C802" s="35" t="s">
        <v>596</v>
      </c>
      <c r="D802" s="35"/>
      <c r="E802" s="16" t="s">
        <v>123</v>
      </c>
      <c r="F802" s="16" t="s">
        <v>1061</v>
      </c>
      <c r="G802" s="16">
        <f t="shared" si="42"/>
        <v>1</v>
      </c>
      <c r="H802" s="84">
        <v>1</v>
      </c>
      <c r="I802" s="98"/>
    </row>
    <row r="803" spans="1:10" ht="15" customHeight="1" x14ac:dyDescent="0.3">
      <c r="A803" s="83">
        <f t="shared" si="43"/>
        <v>26873</v>
      </c>
      <c r="B803" s="11" t="s">
        <v>588</v>
      </c>
      <c r="C803" s="35"/>
      <c r="D803" s="35"/>
      <c r="E803" s="16" t="s">
        <v>123</v>
      </c>
      <c r="F803" s="16" t="s">
        <v>1061</v>
      </c>
      <c r="G803" s="16">
        <f>IF(OR(E803="U16", E803="S16"),1,IF(E803="TS",6,2))</f>
        <v>1</v>
      </c>
      <c r="H803" s="84">
        <v>1</v>
      </c>
      <c r="I803" s="98"/>
    </row>
    <row r="804" spans="1:10" ht="15" customHeight="1" thickBot="1" x14ac:dyDescent="0.35">
      <c r="A804" s="85">
        <f t="shared" si="43"/>
        <v>26874</v>
      </c>
      <c r="B804" s="86" t="s">
        <v>41</v>
      </c>
      <c r="C804" s="87"/>
      <c r="D804" s="87"/>
      <c r="E804" s="88" t="s">
        <v>123</v>
      </c>
      <c r="F804" s="88" t="s">
        <v>1061</v>
      </c>
      <c r="G804" s="88">
        <f>IF(OR(E804="U16", E804="S16"),1,IF(E804="TS",6,2))</f>
        <v>1</v>
      </c>
      <c r="H804" s="89">
        <v>2</v>
      </c>
      <c r="I804" s="98"/>
    </row>
    <row r="805" spans="1:10" ht="15" customHeight="1" x14ac:dyDescent="0.3">
      <c r="A805" s="78">
        <f t="shared" si="43"/>
        <v>26876</v>
      </c>
      <c r="B805" s="79" t="s">
        <v>218</v>
      </c>
      <c r="C805" s="80" t="s">
        <v>584</v>
      </c>
      <c r="D805" s="80"/>
      <c r="E805" s="81" t="s">
        <v>123</v>
      </c>
      <c r="F805" s="81" t="s">
        <v>1061</v>
      </c>
      <c r="G805" s="81">
        <f t="shared" si="42"/>
        <v>1</v>
      </c>
      <c r="H805" s="82">
        <v>1</v>
      </c>
      <c r="I805" s="98"/>
    </row>
    <row r="806" spans="1:10" ht="15" customHeight="1" x14ac:dyDescent="0.3">
      <c r="A806" s="83">
        <f t="shared" si="43"/>
        <v>26877</v>
      </c>
      <c r="B806" s="11" t="s">
        <v>206</v>
      </c>
      <c r="C806" s="35" t="s">
        <v>587</v>
      </c>
      <c r="D806" s="35"/>
      <c r="E806" s="16" t="s">
        <v>123</v>
      </c>
      <c r="F806" s="16" t="s">
        <v>1061</v>
      </c>
      <c r="G806" s="16">
        <f t="shared" si="42"/>
        <v>1</v>
      </c>
      <c r="H806" s="84">
        <v>1</v>
      </c>
      <c r="I806" s="98"/>
    </row>
    <row r="807" spans="1:10" ht="58.5" customHeight="1" x14ac:dyDescent="0.3">
      <c r="A807" s="83">
        <f t="shared" si="43"/>
        <v>26878</v>
      </c>
      <c r="B807" s="11" t="s">
        <v>208</v>
      </c>
      <c r="C807" s="35" t="s">
        <v>596</v>
      </c>
      <c r="D807" s="35"/>
      <c r="E807" s="16" t="s">
        <v>123</v>
      </c>
      <c r="F807" s="16" t="s">
        <v>1061</v>
      </c>
      <c r="G807" s="16">
        <f t="shared" si="42"/>
        <v>1</v>
      </c>
      <c r="H807" s="84">
        <v>1</v>
      </c>
      <c r="I807" s="98"/>
    </row>
    <row r="808" spans="1:10" ht="15" customHeight="1" x14ac:dyDescent="0.3">
      <c r="A808" s="83">
        <f t="shared" si="43"/>
        <v>26879</v>
      </c>
      <c r="B808" s="11" t="s">
        <v>588</v>
      </c>
      <c r="C808" s="35"/>
      <c r="D808" s="35"/>
      <c r="E808" s="16" t="s">
        <v>123</v>
      </c>
      <c r="F808" s="16" t="s">
        <v>1061</v>
      </c>
      <c r="G808" s="16">
        <f t="shared" si="42"/>
        <v>1</v>
      </c>
      <c r="H808" s="84">
        <v>1</v>
      </c>
      <c r="I808" s="98"/>
    </row>
    <row r="809" spans="1:10" ht="15" customHeight="1" thickBot="1" x14ac:dyDescent="0.35">
      <c r="A809" s="85">
        <f t="shared" si="43"/>
        <v>26880</v>
      </c>
      <c r="B809" s="86"/>
      <c r="C809" s="87"/>
      <c r="D809" s="87"/>
      <c r="E809" s="88" t="s">
        <v>123</v>
      </c>
      <c r="F809" s="88" t="s">
        <v>1061</v>
      </c>
      <c r="G809" s="88">
        <f t="shared" si="42"/>
        <v>1</v>
      </c>
      <c r="H809" s="89">
        <v>2</v>
      </c>
      <c r="I809" s="98"/>
    </row>
    <row r="810" spans="1:10" ht="15" customHeight="1" x14ac:dyDescent="0.3">
      <c r="A810" s="78">
        <f t="shared" si="43"/>
        <v>26882</v>
      </c>
      <c r="B810" s="79" t="s">
        <v>583</v>
      </c>
      <c r="C810" s="80" t="s">
        <v>585</v>
      </c>
      <c r="D810" s="80"/>
      <c r="E810" s="81" t="s">
        <v>123</v>
      </c>
      <c r="F810" s="81" t="s">
        <v>1061</v>
      </c>
      <c r="G810" s="81">
        <f t="shared" si="42"/>
        <v>1</v>
      </c>
      <c r="H810" s="82">
        <v>1</v>
      </c>
      <c r="I810" s="98"/>
      <c r="J810" s="96" t="s">
        <v>41</v>
      </c>
    </row>
    <row r="811" spans="1:10" ht="15" customHeight="1" x14ac:dyDescent="0.3">
      <c r="A811" s="83">
        <f t="shared" si="43"/>
        <v>26883</v>
      </c>
      <c r="B811" s="11" t="s">
        <v>207</v>
      </c>
      <c r="C811" s="35" t="s">
        <v>587</v>
      </c>
      <c r="D811" s="35"/>
      <c r="E811" s="16" t="s">
        <v>123</v>
      </c>
      <c r="F811" s="16" t="s">
        <v>1061</v>
      </c>
      <c r="G811" s="16">
        <f t="shared" si="42"/>
        <v>1</v>
      </c>
      <c r="H811" s="84">
        <v>1</v>
      </c>
      <c r="I811" s="98"/>
    </row>
    <row r="812" spans="1:10" ht="50.25" customHeight="1" x14ac:dyDescent="0.3">
      <c r="A812" s="83">
        <f t="shared" si="43"/>
        <v>26884</v>
      </c>
      <c r="B812" s="11" t="s">
        <v>208</v>
      </c>
      <c r="C812" s="35" t="s">
        <v>596</v>
      </c>
      <c r="D812" s="35"/>
      <c r="E812" s="16" t="s">
        <v>123</v>
      </c>
      <c r="F812" s="16" t="s">
        <v>1061</v>
      </c>
      <c r="G812" s="16">
        <f t="shared" si="42"/>
        <v>1</v>
      </c>
      <c r="H812" s="84">
        <v>1</v>
      </c>
      <c r="I812" s="98"/>
    </row>
    <row r="813" spans="1:10" ht="15" customHeight="1" x14ac:dyDescent="0.3">
      <c r="A813" s="83">
        <f t="shared" si="43"/>
        <v>26885</v>
      </c>
      <c r="B813" s="11" t="s">
        <v>588</v>
      </c>
      <c r="C813" s="35"/>
      <c r="D813" s="35"/>
      <c r="E813" s="16" t="s">
        <v>123</v>
      </c>
      <c r="F813" s="16" t="s">
        <v>1061</v>
      </c>
      <c r="G813" s="16">
        <f t="shared" si="42"/>
        <v>1</v>
      </c>
      <c r="H813" s="84">
        <v>1</v>
      </c>
      <c r="I813" s="98"/>
    </row>
    <row r="814" spans="1:10" ht="15" customHeight="1" thickBot="1" x14ac:dyDescent="0.35">
      <c r="A814" s="85">
        <f t="shared" si="43"/>
        <v>26886</v>
      </c>
      <c r="B814" s="86"/>
      <c r="C814" s="87"/>
      <c r="D814" s="87"/>
      <c r="E814" s="88" t="s">
        <v>123</v>
      </c>
      <c r="F814" s="88" t="s">
        <v>1061</v>
      </c>
      <c r="G814" s="88">
        <f t="shared" si="42"/>
        <v>1</v>
      </c>
      <c r="H814" s="89">
        <v>2</v>
      </c>
      <c r="I814" s="98"/>
    </row>
    <row r="815" spans="1:10" ht="15" customHeight="1" x14ac:dyDescent="0.3">
      <c r="A815" s="78">
        <f t="shared" si="43"/>
        <v>26888</v>
      </c>
      <c r="B815" s="79" t="s">
        <v>219</v>
      </c>
      <c r="C815" s="80" t="s">
        <v>586</v>
      </c>
      <c r="D815" s="80"/>
      <c r="E815" s="81" t="s">
        <v>123</v>
      </c>
      <c r="F815" s="81" t="s">
        <v>1061</v>
      </c>
      <c r="G815" s="81">
        <f>IF(OR(E815="U16", E815="S16"),1,IF(E815="TS",6,2))</f>
        <v>1</v>
      </c>
      <c r="H815" s="82">
        <v>1</v>
      </c>
      <c r="I815" s="98"/>
    </row>
    <row r="816" spans="1:10" ht="15" customHeight="1" x14ac:dyDescent="0.3">
      <c r="A816" s="83">
        <f t="shared" si="43"/>
        <v>26889</v>
      </c>
      <c r="B816" s="11" t="s">
        <v>220</v>
      </c>
      <c r="C816" s="35" t="s">
        <v>587</v>
      </c>
      <c r="D816" s="35"/>
      <c r="E816" s="16" t="s">
        <v>123</v>
      </c>
      <c r="F816" s="16" t="s">
        <v>1061</v>
      </c>
      <c r="G816" s="16">
        <f>IF(OR(E816="U16", E816="S16"),1,IF(E816="TS",6,2))</f>
        <v>1</v>
      </c>
      <c r="H816" s="84">
        <v>1</v>
      </c>
      <c r="I816" s="98"/>
    </row>
    <row r="817" spans="1:9" ht="42" customHeight="1" x14ac:dyDescent="0.3">
      <c r="A817" s="83">
        <f t="shared" si="43"/>
        <v>26890</v>
      </c>
      <c r="B817" s="11" t="s">
        <v>208</v>
      </c>
      <c r="C817" s="35" t="s">
        <v>596</v>
      </c>
      <c r="D817" s="35"/>
      <c r="E817" s="16" t="s">
        <v>123</v>
      </c>
      <c r="F817" s="16" t="s">
        <v>1061</v>
      </c>
      <c r="G817" s="16">
        <f>IF(OR(E817="U16", E817="S16"),1,IF(E817="TS",6,2))</f>
        <v>1</v>
      </c>
      <c r="H817" s="84">
        <v>1</v>
      </c>
      <c r="I817" s="98"/>
    </row>
    <row r="818" spans="1:9" ht="15" customHeight="1" x14ac:dyDescent="0.3">
      <c r="A818" s="83">
        <f t="shared" si="43"/>
        <v>26891</v>
      </c>
      <c r="B818" s="11" t="s">
        <v>588</v>
      </c>
      <c r="C818" s="35"/>
      <c r="D818" s="35"/>
      <c r="E818" s="16" t="s">
        <v>123</v>
      </c>
      <c r="F818" s="16" t="s">
        <v>1061</v>
      </c>
      <c r="G818" s="16">
        <f>IF(OR(E818="U16", E818="S16"),1,IF(E818="TS",6,2))</f>
        <v>1</v>
      </c>
      <c r="H818" s="84">
        <v>1</v>
      </c>
      <c r="I818" s="98"/>
    </row>
    <row r="819" spans="1:9" ht="15" customHeight="1" thickBot="1" x14ac:dyDescent="0.35">
      <c r="A819" s="85">
        <f t="shared" si="43"/>
        <v>26892</v>
      </c>
      <c r="B819" s="86"/>
      <c r="C819" s="90"/>
      <c r="D819" s="90"/>
      <c r="E819" s="88" t="s">
        <v>123</v>
      </c>
      <c r="F819" s="88" t="s">
        <v>1061</v>
      </c>
      <c r="G819" s="88">
        <f>IF(OR(E819="U16", E819="S16"),1,IF(E819="TS",6,2))</f>
        <v>1</v>
      </c>
      <c r="H819" s="89">
        <v>2</v>
      </c>
      <c r="I819" s="98"/>
    </row>
    <row r="820" spans="1:9" ht="13.5" customHeight="1" x14ac:dyDescent="0.3">
      <c r="A820" s="131" t="s">
        <v>385</v>
      </c>
      <c r="B820" s="131"/>
      <c r="C820" s="131"/>
      <c r="D820" s="131"/>
      <c r="E820" s="131"/>
      <c r="F820" s="131"/>
      <c r="G820" s="131"/>
      <c r="H820" s="131"/>
      <c r="I820" s="104"/>
    </row>
    <row r="821" spans="1:9" ht="13.5" customHeight="1" x14ac:dyDescent="0.3">
      <c r="A821" s="91">
        <f>A819+(G819*H819)</f>
        <v>26894</v>
      </c>
      <c r="B821" s="11" t="s">
        <v>390</v>
      </c>
      <c r="C821" s="35" t="s">
        <v>581</v>
      </c>
      <c r="D821" s="35"/>
      <c r="E821" s="16" t="s">
        <v>123</v>
      </c>
      <c r="F821" s="16" t="s">
        <v>1061</v>
      </c>
      <c r="G821" s="16">
        <f t="shared" ref="G821:G829" si="44">IF(OR(E821="U16", E821="S16"),1,IF(E821="TS",6,2))</f>
        <v>1</v>
      </c>
      <c r="H821" s="91">
        <v>1</v>
      </c>
      <c r="I821" s="98"/>
    </row>
    <row r="822" spans="1:9" ht="13.5" customHeight="1" x14ac:dyDescent="0.3">
      <c r="A822" s="91">
        <f>A821+(G821*H821)</f>
        <v>26895</v>
      </c>
      <c r="B822" s="11" t="s">
        <v>391</v>
      </c>
      <c r="C822" s="35" t="s">
        <v>579</v>
      </c>
      <c r="D822" s="35"/>
      <c r="E822" s="16" t="s">
        <v>123</v>
      </c>
      <c r="F822" s="16" t="s">
        <v>1061</v>
      </c>
      <c r="G822" s="16">
        <f t="shared" si="44"/>
        <v>1</v>
      </c>
      <c r="H822" s="91">
        <v>1</v>
      </c>
      <c r="I822" s="98"/>
    </row>
    <row r="823" spans="1:9" ht="13.5" customHeight="1" x14ac:dyDescent="0.3">
      <c r="A823" s="91">
        <f t="shared" ref="A823:A829" si="45">A822+(G822*H822)</f>
        <v>26896</v>
      </c>
      <c r="B823" s="11" t="s">
        <v>392</v>
      </c>
      <c r="C823" s="35" t="s">
        <v>580</v>
      </c>
      <c r="D823" s="35"/>
      <c r="E823" s="16" t="s">
        <v>123</v>
      </c>
      <c r="F823" s="16" t="s">
        <v>1061</v>
      </c>
      <c r="G823" s="16">
        <f t="shared" si="44"/>
        <v>1</v>
      </c>
      <c r="H823" s="91">
        <v>1</v>
      </c>
      <c r="I823" s="98"/>
    </row>
    <row r="824" spans="1:9" ht="13.5" customHeight="1" x14ac:dyDescent="0.3">
      <c r="A824" s="91">
        <f t="shared" si="45"/>
        <v>26897</v>
      </c>
      <c r="B824" s="11" t="s">
        <v>393</v>
      </c>
      <c r="C824" s="35" t="s">
        <v>594</v>
      </c>
      <c r="D824" s="35"/>
      <c r="E824" s="16" t="s">
        <v>123</v>
      </c>
      <c r="F824" s="16" t="s">
        <v>1061</v>
      </c>
      <c r="G824" s="16">
        <f t="shared" si="44"/>
        <v>1</v>
      </c>
      <c r="H824" s="91">
        <v>1</v>
      </c>
      <c r="I824" s="98"/>
    </row>
    <row r="825" spans="1:9" ht="13.5" customHeight="1" x14ac:dyDescent="0.3">
      <c r="A825" s="91">
        <f t="shared" si="45"/>
        <v>26898</v>
      </c>
      <c r="B825" s="11" t="s">
        <v>386</v>
      </c>
      <c r="C825" s="35" t="s">
        <v>581</v>
      </c>
      <c r="D825" s="35"/>
      <c r="E825" s="16" t="s">
        <v>123</v>
      </c>
      <c r="F825" s="16" t="s">
        <v>1061</v>
      </c>
      <c r="G825" s="16">
        <f t="shared" si="44"/>
        <v>1</v>
      </c>
      <c r="H825" s="91">
        <v>1</v>
      </c>
      <c r="I825" s="98"/>
    </row>
    <row r="826" spans="1:9" ht="13.5" customHeight="1" x14ac:dyDescent="0.3">
      <c r="A826" s="91">
        <f t="shared" si="45"/>
        <v>26899</v>
      </c>
      <c r="B826" s="11" t="s">
        <v>387</v>
      </c>
      <c r="C826" s="35" t="s">
        <v>579</v>
      </c>
      <c r="D826" s="35"/>
      <c r="E826" s="16" t="s">
        <v>123</v>
      </c>
      <c r="F826" s="16" t="s">
        <v>1061</v>
      </c>
      <c r="G826" s="16">
        <f t="shared" si="44"/>
        <v>1</v>
      </c>
      <c r="H826" s="91">
        <v>1</v>
      </c>
      <c r="I826" s="98"/>
    </row>
    <row r="827" spans="1:9" ht="13.5" customHeight="1" x14ac:dyDescent="0.3">
      <c r="A827" s="91">
        <f t="shared" si="45"/>
        <v>26900</v>
      </c>
      <c r="B827" s="11" t="s">
        <v>388</v>
      </c>
      <c r="C827" s="35" t="s">
        <v>580</v>
      </c>
      <c r="D827" s="35"/>
      <c r="E827" s="16" t="s">
        <v>123</v>
      </c>
      <c r="F827" s="16" t="s">
        <v>1061</v>
      </c>
      <c r="G827" s="16">
        <f t="shared" si="44"/>
        <v>1</v>
      </c>
      <c r="H827" s="91">
        <v>1</v>
      </c>
      <c r="I827" s="98"/>
    </row>
    <row r="828" spans="1:9" ht="13.5" customHeight="1" x14ac:dyDescent="0.3">
      <c r="A828" s="91">
        <f t="shared" si="45"/>
        <v>26901</v>
      </c>
      <c r="B828" s="11" t="s">
        <v>389</v>
      </c>
      <c r="C828" s="35" t="s">
        <v>594</v>
      </c>
      <c r="D828" s="35"/>
      <c r="E828" s="16" t="s">
        <v>123</v>
      </c>
      <c r="F828" s="16" t="s">
        <v>1061</v>
      </c>
      <c r="G828" s="16">
        <f t="shared" si="44"/>
        <v>1</v>
      </c>
      <c r="H828" s="91">
        <v>1</v>
      </c>
      <c r="I828" s="98"/>
    </row>
    <row r="829" spans="1:9" ht="13.5" customHeight="1" x14ac:dyDescent="0.3">
      <c r="A829" s="91">
        <f t="shared" si="45"/>
        <v>26902</v>
      </c>
      <c r="B829" s="11"/>
      <c r="C829" s="91"/>
      <c r="D829" s="91"/>
      <c r="E829" s="16" t="s">
        <v>123</v>
      </c>
      <c r="F829" s="16" t="s">
        <v>1061</v>
      </c>
      <c r="G829" s="16">
        <f t="shared" si="44"/>
        <v>1</v>
      </c>
      <c r="H829" s="91">
        <v>12</v>
      </c>
      <c r="I829" s="98"/>
    </row>
    <row r="830" spans="1:9" ht="13.5" customHeight="1" x14ac:dyDescent="0.3">
      <c r="A830" s="122" t="s">
        <v>512</v>
      </c>
      <c r="B830" s="122"/>
      <c r="C830" s="122"/>
      <c r="D830" s="122"/>
      <c r="E830" s="122"/>
      <c r="F830" s="122"/>
      <c r="G830" s="122"/>
      <c r="H830" s="122"/>
      <c r="I830" s="104"/>
    </row>
    <row r="831" spans="1:9" ht="13.5" customHeight="1" x14ac:dyDescent="0.3">
      <c r="A831" s="134" t="s">
        <v>513</v>
      </c>
      <c r="B831" s="134"/>
      <c r="C831" s="134"/>
      <c r="D831" s="134"/>
      <c r="E831" s="134"/>
      <c r="F831" s="134"/>
      <c r="G831" s="134"/>
      <c r="H831" s="134"/>
      <c r="I831" s="111"/>
    </row>
    <row r="832" spans="1:9" ht="13.5" customHeight="1" x14ac:dyDescent="0.3">
      <c r="A832" s="91">
        <f>A829+G829*H829</f>
        <v>26914</v>
      </c>
      <c r="B832" s="13" t="s">
        <v>224</v>
      </c>
      <c r="C832" s="91"/>
      <c r="D832" s="91"/>
      <c r="E832" s="16" t="s">
        <v>123</v>
      </c>
      <c r="F832" s="16" t="s">
        <v>1061</v>
      </c>
      <c r="G832" s="16">
        <f>IF(OR(E832="U16", E832="S16"),1,IF(E832="TS",6,2))</f>
        <v>1</v>
      </c>
      <c r="H832" s="91">
        <v>1</v>
      </c>
      <c r="I832" s="98"/>
    </row>
    <row r="833" spans="1:9" ht="13.5" customHeight="1" x14ac:dyDescent="0.3">
      <c r="A833" s="91">
        <f>A832+(G832*H832)</f>
        <v>26915</v>
      </c>
      <c r="B833" s="13" t="s">
        <v>225</v>
      </c>
      <c r="C833" s="91"/>
      <c r="D833" s="91"/>
      <c r="E833" s="16" t="s">
        <v>123</v>
      </c>
      <c r="F833" s="16" t="s">
        <v>1061</v>
      </c>
      <c r="G833" s="16">
        <f>IF(OR(E833="U16", E833="S16"),1,IF(E833="TS",6,2))</f>
        <v>1</v>
      </c>
      <c r="H833" s="91">
        <v>1</v>
      </c>
      <c r="I833" s="98"/>
    </row>
    <row r="834" spans="1:9" ht="13.5" customHeight="1" x14ac:dyDescent="0.3">
      <c r="A834" s="91">
        <f>A833+(G833*H833)</f>
        <v>26916</v>
      </c>
      <c r="B834" s="13" t="s">
        <v>226</v>
      </c>
      <c r="C834" s="91"/>
      <c r="D834" s="91"/>
      <c r="E834" s="16" t="s">
        <v>123</v>
      </c>
      <c r="F834" s="16" t="s">
        <v>1061</v>
      </c>
      <c r="G834" s="16">
        <f>IF(OR(E834="U16", E834="S16"),1,IF(E834="TS",6,2))</f>
        <v>1</v>
      </c>
      <c r="H834" s="91">
        <v>1</v>
      </c>
      <c r="I834" s="98"/>
    </row>
    <row r="835" spans="1:9" ht="13.5" customHeight="1" x14ac:dyDescent="0.3">
      <c r="A835" s="91">
        <f>A834+(G834*H834)</f>
        <v>26917</v>
      </c>
      <c r="B835" s="13" t="s">
        <v>227</v>
      </c>
      <c r="C835" s="91"/>
      <c r="D835" s="91"/>
      <c r="E835" s="16" t="s">
        <v>123</v>
      </c>
      <c r="F835" s="16" t="s">
        <v>1061</v>
      </c>
      <c r="G835" s="16">
        <f>IF(OR(E835="U16", E835="S16"),1,IF(E835="TS",6,2))</f>
        <v>1</v>
      </c>
      <c r="H835" s="91">
        <v>1</v>
      </c>
      <c r="I835" s="98"/>
    </row>
    <row r="836" spans="1:9" ht="13.5" customHeight="1" x14ac:dyDescent="0.3">
      <c r="A836" s="134" t="s">
        <v>514</v>
      </c>
      <c r="B836" s="134"/>
      <c r="C836" s="134"/>
      <c r="D836" s="134"/>
      <c r="E836" s="134"/>
      <c r="F836" s="134"/>
      <c r="G836" s="134"/>
      <c r="H836" s="134"/>
      <c r="I836" s="111"/>
    </row>
    <row r="837" spans="1:9" ht="13.5" customHeight="1" x14ac:dyDescent="0.3">
      <c r="A837" s="91">
        <f>A835+(G835*H835)</f>
        <v>26918</v>
      </c>
      <c r="B837" s="13" t="s">
        <v>228</v>
      </c>
      <c r="C837" s="91"/>
      <c r="D837" s="91"/>
      <c r="E837" s="16" t="s">
        <v>123</v>
      </c>
      <c r="F837" s="16" t="s">
        <v>1061</v>
      </c>
      <c r="G837" s="16">
        <f>IF(OR(E837="U16", E837="S16"),1,IF(E837="TS",6,2))</f>
        <v>1</v>
      </c>
      <c r="H837" s="91">
        <v>1</v>
      </c>
      <c r="I837" s="98"/>
    </row>
    <row r="838" spans="1:9" ht="13.5" customHeight="1" x14ac:dyDescent="0.3">
      <c r="A838" s="91">
        <f>A837+(G837*H837)</f>
        <v>26919</v>
      </c>
      <c r="B838" s="13" t="s">
        <v>229</v>
      </c>
      <c r="C838" s="91"/>
      <c r="D838" s="91"/>
      <c r="E838" s="16" t="s">
        <v>123</v>
      </c>
      <c r="F838" s="16" t="s">
        <v>1061</v>
      </c>
      <c r="G838" s="16">
        <f>IF(OR(E838="U16", E838="S16"),1,IF(E838="TS",6,2))</f>
        <v>1</v>
      </c>
      <c r="H838" s="91">
        <v>1</v>
      </c>
      <c r="I838" s="98"/>
    </row>
    <row r="839" spans="1:9" ht="13.5" customHeight="1" x14ac:dyDescent="0.3">
      <c r="A839" s="91">
        <f>A838+(G838*H838)</f>
        <v>26920</v>
      </c>
      <c r="B839" s="13" t="s">
        <v>230</v>
      </c>
      <c r="C839" s="91"/>
      <c r="D839" s="91"/>
      <c r="E839" s="16" t="s">
        <v>123</v>
      </c>
      <c r="F839" s="16" t="s">
        <v>1061</v>
      </c>
      <c r="G839" s="16">
        <f>IF(OR(E839="U16", E839="S16"),1,IF(E839="TS",6,2))</f>
        <v>1</v>
      </c>
      <c r="H839" s="91">
        <v>1</v>
      </c>
      <c r="I839" s="98"/>
    </row>
    <row r="840" spans="1:9" ht="13.5" customHeight="1" x14ac:dyDescent="0.3">
      <c r="A840" s="91">
        <f>A839+(G839*H839)</f>
        <v>26921</v>
      </c>
      <c r="B840" s="13" t="s">
        <v>231</v>
      </c>
      <c r="C840" s="91"/>
      <c r="D840" s="91"/>
      <c r="E840" s="16" t="s">
        <v>123</v>
      </c>
      <c r="F840" s="16" t="s">
        <v>1061</v>
      </c>
      <c r="G840" s="16">
        <f>IF(OR(E840="U16", E840="S16"),1,IF(E840="TS",6,2))</f>
        <v>1</v>
      </c>
      <c r="H840" s="91">
        <v>1</v>
      </c>
      <c r="I840" s="98"/>
    </row>
    <row r="841" spans="1:9" ht="13.5" customHeight="1" x14ac:dyDescent="0.3">
      <c r="A841" s="91">
        <f>A840+(G840*H840)</f>
        <v>26922</v>
      </c>
      <c r="B841" s="13"/>
      <c r="C841" s="91"/>
      <c r="D841" s="91"/>
      <c r="E841" s="16" t="s">
        <v>123</v>
      </c>
      <c r="F841" s="16" t="s">
        <v>1061</v>
      </c>
      <c r="G841" s="16">
        <f>IF(OR(E841="U16", E841="S16"),1,IF(E841="TS",6,2))</f>
        <v>1</v>
      </c>
      <c r="H841" s="91">
        <v>12</v>
      </c>
      <c r="I841" s="98"/>
    </row>
    <row r="842" spans="1:9" ht="13.5" customHeight="1" x14ac:dyDescent="0.3">
      <c r="A842" s="122" t="s">
        <v>394</v>
      </c>
      <c r="B842" s="122"/>
      <c r="C842" s="122"/>
      <c r="D842" s="122"/>
      <c r="E842" s="122"/>
      <c r="F842" s="122"/>
      <c r="G842" s="122"/>
      <c r="H842" s="122"/>
      <c r="I842" s="104"/>
    </row>
    <row r="843" spans="1:9" ht="13.5" customHeight="1" x14ac:dyDescent="0.3">
      <c r="A843" s="91">
        <f>A841+(G841*H841)</f>
        <v>26934</v>
      </c>
      <c r="B843" s="9" t="s">
        <v>476</v>
      </c>
      <c r="C843" s="91"/>
      <c r="D843" s="91"/>
      <c r="E843" s="16" t="s">
        <v>123</v>
      </c>
      <c r="F843" s="16" t="s">
        <v>1061</v>
      </c>
      <c r="G843" s="16">
        <f t="shared" ref="G843:G906" si="46">IF(OR(E843="U16", E843="S16"),1,IF(E843="TS",6,2))</f>
        <v>1</v>
      </c>
      <c r="H843" s="91">
        <v>1</v>
      </c>
      <c r="I843" s="98"/>
    </row>
    <row r="844" spans="1:9" ht="13.5" customHeight="1" x14ac:dyDescent="0.3">
      <c r="A844" s="91">
        <f t="shared" ref="A844:A907" si="47">A843+(G843*H843)</f>
        <v>26935</v>
      </c>
      <c r="B844" s="9" t="s">
        <v>477</v>
      </c>
      <c r="C844" s="91"/>
      <c r="D844" s="91"/>
      <c r="E844" s="16" t="s">
        <v>123</v>
      </c>
      <c r="F844" s="16" t="s">
        <v>1061</v>
      </c>
      <c r="G844" s="16">
        <f>IF(OR(E844="U16", E844="S16"),1,IF(E844="TS",6,2))</f>
        <v>1</v>
      </c>
      <c r="H844" s="91">
        <v>1</v>
      </c>
      <c r="I844" s="98"/>
    </row>
    <row r="845" spans="1:9" ht="13.5" customHeight="1" x14ac:dyDescent="0.3">
      <c r="A845" s="91">
        <f t="shared" si="47"/>
        <v>26936</v>
      </c>
      <c r="B845" s="9" t="s">
        <v>526</v>
      </c>
      <c r="C845" s="35"/>
      <c r="D845" s="35"/>
      <c r="E845" s="16" t="s">
        <v>123</v>
      </c>
      <c r="F845" s="16" t="s">
        <v>1061</v>
      </c>
      <c r="G845" s="16">
        <f t="shared" si="46"/>
        <v>1</v>
      </c>
      <c r="H845" s="91">
        <v>1</v>
      </c>
      <c r="I845" s="98"/>
    </row>
    <row r="846" spans="1:9" ht="13.5" customHeight="1" x14ac:dyDescent="0.3">
      <c r="A846" s="91">
        <f t="shared" si="47"/>
        <v>26937</v>
      </c>
      <c r="B846" s="9" t="s">
        <v>444</v>
      </c>
      <c r="C846" s="35"/>
      <c r="D846" s="35"/>
      <c r="E846" s="16" t="s">
        <v>123</v>
      </c>
      <c r="F846" s="16" t="s">
        <v>1061</v>
      </c>
      <c r="G846" s="16">
        <f t="shared" si="46"/>
        <v>1</v>
      </c>
      <c r="H846" s="91">
        <v>1</v>
      </c>
      <c r="I846" s="98"/>
    </row>
    <row r="847" spans="1:9" ht="13.5" customHeight="1" x14ac:dyDescent="0.3">
      <c r="A847" s="91">
        <f t="shared" si="47"/>
        <v>26938</v>
      </c>
      <c r="B847" s="9" t="s">
        <v>445</v>
      </c>
      <c r="C847" s="35"/>
      <c r="D847" s="35"/>
      <c r="E847" s="16" t="s">
        <v>123</v>
      </c>
      <c r="F847" s="16" t="s">
        <v>1061</v>
      </c>
      <c r="G847" s="16">
        <f t="shared" si="46"/>
        <v>1</v>
      </c>
      <c r="H847" s="91">
        <v>1</v>
      </c>
      <c r="I847" s="98"/>
    </row>
    <row r="848" spans="1:9" ht="13.5" customHeight="1" x14ac:dyDescent="0.3">
      <c r="A848" s="91">
        <f t="shared" si="47"/>
        <v>26939</v>
      </c>
      <c r="B848" s="9" t="s">
        <v>446</v>
      </c>
      <c r="C848" s="35"/>
      <c r="D848" s="35"/>
      <c r="E848" s="16" t="s">
        <v>123</v>
      </c>
      <c r="F848" s="16" t="s">
        <v>1061</v>
      </c>
      <c r="G848" s="16">
        <f t="shared" si="46"/>
        <v>1</v>
      </c>
      <c r="H848" s="91">
        <v>1</v>
      </c>
      <c r="I848" s="98"/>
    </row>
    <row r="849" spans="1:9" ht="13.5" customHeight="1" x14ac:dyDescent="0.3">
      <c r="A849" s="91">
        <f t="shared" si="47"/>
        <v>26940</v>
      </c>
      <c r="B849" s="9" t="s">
        <v>447</v>
      </c>
      <c r="C849" s="35"/>
      <c r="D849" s="35"/>
      <c r="E849" s="16" t="s">
        <v>123</v>
      </c>
      <c r="F849" s="16" t="s">
        <v>1061</v>
      </c>
      <c r="G849" s="16">
        <f t="shared" si="46"/>
        <v>1</v>
      </c>
      <c r="H849" s="91">
        <v>1</v>
      </c>
      <c r="I849" s="98"/>
    </row>
    <row r="850" spans="1:9" ht="13.5" customHeight="1" x14ac:dyDescent="0.3">
      <c r="A850" s="91">
        <f t="shared" si="47"/>
        <v>26941</v>
      </c>
      <c r="B850" s="9" t="s">
        <v>448</v>
      </c>
      <c r="C850" s="35"/>
      <c r="D850" s="35"/>
      <c r="E850" s="16" t="s">
        <v>123</v>
      </c>
      <c r="F850" s="16" t="s">
        <v>1061</v>
      </c>
      <c r="G850" s="16">
        <f t="shared" si="46"/>
        <v>1</v>
      </c>
      <c r="H850" s="91">
        <v>1</v>
      </c>
      <c r="I850" s="98"/>
    </row>
    <row r="851" spans="1:9" ht="13.5" customHeight="1" x14ac:dyDescent="0.3">
      <c r="A851" s="91">
        <f t="shared" si="47"/>
        <v>26942</v>
      </c>
      <c r="B851" s="9" t="s">
        <v>449</v>
      </c>
      <c r="C851" s="35"/>
      <c r="D851" s="35"/>
      <c r="E851" s="16" t="s">
        <v>123</v>
      </c>
      <c r="F851" s="16" t="s">
        <v>1061</v>
      </c>
      <c r="G851" s="16">
        <f t="shared" si="46"/>
        <v>1</v>
      </c>
      <c r="H851" s="91">
        <v>1</v>
      </c>
      <c r="I851" s="98"/>
    </row>
    <row r="852" spans="1:9" ht="13.5" customHeight="1" x14ac:dyDescent="0.3">
      <c r="A852" s="91">
        <f t="shared" si="47"/>
        <v>26943</v>
      </c>
      <c r="B852" s="9" t="s">
        <v>450</v>
      </c>
      <c r="C852" s="35"/>
      <c r="D852" s="35"/>
      <c r="E852" s="16" t="s">
        <v>123</v>
      </c>
      <c r="F852" s="16" t="s">
        <v>1061</v>
      </c>
      <c r="G852" s="16">
        <f t="shared" si="46"/>
        <v>1</v>
      </c>
      <c r="H852" s="91">
        <v>1</v>
      </c>
      <c r="I852" s="98"/>
    </row>
    <row r="853" spans="1:9" ht="13.5" customHeight="1" x14ac:dyDescent="0.3">
      <c r="A853" s="91">
        <f t="shared" si="47"/>
        <v>26944</v>
      </c>
      <c r="B853" s="9" t="s">
        <v>451</v>
      </c>
      <c r="C853" s="35"/>
      <c r="D853" s="35"/>
      <c r="E853" s="16" t="s">
        <v>123</v>
      </c>
      <c r="F853" s="16" t="s">
        <v>1061</v>
      </c>
      <c r="G853" s="16">
        <f t="shared" si="46"/>
        <v>1</v>
      </c>
      <c r="H853" s="91">
        <v>1</v>
      </c>
      <c r="I853" s="98"/>
    </row>
    <row r="854" spans="1:9" ht="13.5" customHeight="1" x14ac:dyDescent="0.3">
      <c r="A854" s="91">
        <f t="shared" si="47"/>
        <v>26945</v>
      </c>
      <c r="B854" s="9" t="s">
        <v>452</v>
      </c>
      <c r="C854" s="35"/>
      <c r="D854" s="35"/>
      <c r="E854" s="16" t="s">
        <v>123</v>
      </c>
      <c r="F854" s="16" t="s">
        <v>1061</v>
      </c>
      <c r="G854" s="16">
        <f t="shared" si="46"/>
        <v>1</v>
      </c>
      <c r="H854" s="91">
        <v>1</v>
      </c>
      <c r="I854" s="98"/>
    </row>
    <row r="855" spans="1:9" ht="13.5" customHeight="1" x14ac:dyDescent="0.3">
      <c r="A855" s="91">
        <f t="shared" si="47"/>
        <v>26946</v>
      </c>
      <c r="B855" s="9" t="s">
        <v>453</v>
      </c>
      <c r="C855" s="35"/>
      <c r="D855" s="35"/>
      <c r="E855" s="16" t="s">
        <v>123</v>
      </c>
      <c r="F855" s="16" t="s">
        <v>1061</v>
      </c>
      <c r="G855" s="16">
        <f t="shared" si="46"/>
        <v>1</v>
      </c>
      <c r="H855" s="91">
        <v>1</v>
      </c>
      <c r="I855" s="98"/>
    </row>
    <row r="856" spans="1:9" ht="13.5" customHeight="1" x14ac:dyDescent="0.3">
      <c r="A856" s="91">
        <f t="shared" si="47"/>
        <v>26947</v>
      </c>
      <c r="B856" s="9" t="s">
        <v>454</v>
      </c>
      <c r="C856" s="35"/>
      <c r="D856" s="35"/>
      <c r="E856" s="16" t="s">
        <v>123</v>
      </c>
      <c r="F856" s="16" t="s">
        <v>1061</v>
      </c>
      <c r="G856" s="16">
        <f t="shared" si="46"/>
        <v>1</v>
      </c>
      <c r="H856" s="91">
        <v>1</v>
      </c>
      <c r="I856" s="98"/>
    </row>
    <row r="857" spans="1:9" ht="13.5" customHeight="1" x14ac:dyDescent="0.3">
      <c r="A857" s="91">
        <f t="shared" si="47"/>
        <v>26948</v>
      </c>
      <c r="B857" s="9" t="s">
        <v>455</v>
      </c>
      <c r="C857" s="35"/>
      <c r="D857" s="35"/>
      <c r="E857" s="16" t="s">
        <v>123</v>
      </c>
      <c r="F857" s="16" t="s">
        <v>1061</v>
      </c>
      <c r="G857" s="16">
        <f t="shared" si="46"/>
        <v>1</v>
      </c>
      <c r="H857" s="91">
        <v>1</v>
      </c>
      <c r="I857" s="98"/>
    </row>
    <row r="858" spans="1:9" ht="13.5" customHeight="1" x14ac:dyDescent="0.3">
      <c r="A858" s="91">
        <f t="shared" si="47"/>
        <v>26949</v>
      </c>
      <c r="B858" s="9" t="s">
        <v>456</v>
      </c>
      <c r="C858" s="35"/>
      <c r="D858" s="35"/>
      <c r="E858" s="16" t="s">
        <v>123</v>
      </c>
      <c r="F858" s="16" t="s">
        <v>1061</v>
      </c>
      <c r="G858" s="16">
        <f t="shared" si="46"/>
        <v>1</v>
      </c>
      <c r="H858" s="91">
        <v>1</v>
      </c>
      <c r="I858" s="98"/>
    </row>
    <row r="859" spans="1:9" ht="13.5" customHeight="1" x14ac:dyDescent="0.3">
      <c r="A859" s="91">
        <f t="shared" si="47"/>
        <v>26950</v>
      </c>
      <c r="B859" s="9" t="s">
        <v>457</v>
      </c>
      <c r="C859" s="35"/>
      <c r="D859" s="35"/>
      <c r="E859" s="16" t="s">
        <v>123</v>
      </c>
      <c r="F859" s="16" t="s">
        <v>1061</v>
      </c>
      <c r="G859" s="16">
        <f t="shared" si="46"/>
        <v>1</v>
      </c>
      <c r="H859" s="91">
        <v>1</v>
      </c>
      <c r="I859" s="98"/>
    </row>
    <row r="860" spans="1:9" ht="13.5" customHeight="1" x14ac:dyDescent="0.3">
      <c r="A860" s="91">
        <f t="shared" si="47"/>
        <v>26951</v>
      </c>
      <c r="B860" s="9" t="s">
        <v>458</v>
      </c>
      <c r="C860" s="35"/>
      <c r="D860" s="35"/>
      <c r="E860" s="16" t="s">
        <v>123</v>
      </c>
      <c r="F860" s="16" t="s">
        <v>1061</v>
      </c>
      <c r="G860" s="16">
        <f t="shared" si="46"/>
        <v>1</v>
      </c>
      <c r="H860" s="91">
        <v>1</v>
      </c>
      <c r="I860" s="98"/>
    </row>
    <row r="861" spans="1:9" ht="13.5" customHeight="1" x14ac:dyDescent="0.3">
      <c r="A861" s="91">
        <f t="shared" si="47"/>
        <v>26952</v>
      </c>
      <c r="B861" s="9" t="s">
        <v>459</v>
      </c>
      <c r="C861" s="35"/>
      <c r="D861" s="35"/>
      <c r="E861" s="16" t="s">
        <v>123</v>
      </c>
      <c r="F861" s="16" t="s">
        <v>1061</v>
      </c>
      <c r="G861" s="16">
        <f t="shared" si="46"/>
        <v>1</v>
      </c>
      <c r="H861" s="91">
        <v>1</v>
      </c>
      <c r="I861" s="98"/>
    </row>
    <row r="862" spans="1:9" ht="13.5" customHeight="1" x14ac:dyDescent="0.3">
      <c r="A862" s="91">
        <f t="shared" si="47"/>
        <v>26953</v>
      </c>
      <c r="B862" s="9" t="s">
        <v>521</v>
      </c>
      <c r="C862" s="35"/>
      <c r="D862" s="35"/>
      <c r="E862" s="16" t="s">
        <v>123</v>
      </c>
      <c r="F862" s="16" t="s">
        <v>1061</v>
      </c>
      <c r="G862" s="16">
        <f t="shared" si="46"/>
        <v>1</v>
      </c>
      <c r="H862" s="91">
        <v>1</v>
      </c>
      <c r="I862" s="98"/>
    </row>
    <row r="863" spans="1:9" ht="13.5" customHeight="1" x14ac:dyDescent="0.3">
      <c r="A863" s="91">
        <f t="shared" si="47"/>
        <v>26954</v>
      </c>
      <c r="B863" s="9" t="s">
        <v>522</v>
      </c>
      <c r="C863" s="35"/>
      <c r="D863" s="35"/>
      <c r="E863" s="16" t="s">
        <v>123</v>
      </c>
      <c r="F863" s="16" t="s">
        <v>1061</v>
      </c>
      <c r="G863" s="16">
        <f t="shared" si="46"/>
        <v>1</v>
      </c>
      <c r="H863" s="91">
        <v>1</v>
      </c>
      <c r="I863" s="98"/>
    </row>
    <row r="864" spans="1:9" ht="13.5" customHeight="1" x14ac:dyDescent="0.3">
      <c r="A864" s="91">
        <f t="shared" si="47"/>
        <v>26955</v>
      </c>
      <c r="B864" s="9" t="s">
        <v>526</v>
      </c>
      <c r="C864" s="35"/>
      <c r="D864" s="35"/>
      <c r="E864" s="16" t="s">
        <v>123</v>
      </c>
      <c r="F864" s="16" t="s">
        <v>1061</v>
      </c>
      <c r="G864" s="16">
        <f>IF(OR(E864="U16", E864="S16"),1,IF(E864="TS",6,2))</f>
        <v>1</v>
      </c>
      <c r="H864" s="91">
        <v>1</v>
      </c>
      <c r="I864" s="98"/>
    </row>
    <row r="865" spans="1:9" ht="13.5" customHeight="1" x14ac:dyDescent="0.3">
      <c r="A865" s="91">
        <f t="shared" si="47"/>
        <v>26956</v>
      </c>
      <c r="B865" s="9" t="s">
        <v>460</v>
      </c>
      <c r="C865" s="35"/>
      <c r="D865" s="35"/>
      <c r="E865" s="16" t="s">
        <v>123</v>
      </c>
      <c r="F865" s="16" t="s">
        <v>1061</v>
      </c>
      <c r="G865" s="16">
        <f t="shared" si="46"/>
        <v>1</v>
      </c>
      <c r="H865" s="91">
        <v>1</v>
      </c>
      <c r="I865" s="98"/>
    </row>
    <row r="866" spans="1:9" ht="13.5" customHeight="1" x14ac:dyDescent="0.3">
      <c r="A866" s="91">
        <f t="shared" si="47"/>
        <v>26957</v>
      </c>
      <c r="B866" s="9" t="s">
        <v>461</v>
      </c>
      <c r="C866" s="35"/>
      <c r="D866" s="35"/>
      <c r="E866" s="16" t="s">
        <v>123</v>
      </c>
      <c r="F866" s="16" t="s">
        <v>1061</v>
      </c>
      <c r="G866" s="16">
        <f t="shared" si="46"/>
        <v>1</v>
      </c>
      <c r="H866" s="91">
        <v>1</v>
      </c>
      <c r="I866" s="98"/>
    </row>
    <row r="867" spans="1:9" ht="13.5" customHeight="1" x14ac:dyDescent="0.3">
      <c r="A867" s="91">
        <f t="shared" si="47"/>
        <v>26958</v>
      </c>
      <c r="B867" s="9" t="s">
        <v>462</v>
      </c>
      <c r="C867" s="35"/>
      <c r="D867" s="35"/>
      <c r="E867" s="16" t="s">
        <v>123</v>
      </c>
      <c r="F867" s="16" t="s">
        <v>1061</v>
      </c>
      <c r="G867" s="16">
        <f t="shared" si="46"/>
        <v>1</v>
      </c>
      <c r="H867" s="91">
        <v>1</v>
      </c>
      <c r="I867" s="98"/>
    </row>
    <row r="868" spans="1:9" ht="13.5" customHeight="1" x14ac:dyDescent="0.3">
      <c r="A868" s="91">
        <f t="shared" si="47"/>
        <v>26959</v>
      </c>
      <c r="B868" s="9" t="s">
        <v>463</v>
      </c>
      <c r="C868" s="35"/>
      <c r="D868" s="35"/>
      <c r="E868" s="16" t="s">
        <v>123</v>
      </c>
      <c r="F868" s="16" t="s">
        <v>1061</v>
      </c>
      <c r="G868" s="16">
        <f t="shared" si="46"/>
        <v>1</v>
      </c>
      <c r="H868" s="91">
        <v>1</v>
      </c>
      <c r="I868" s="98"/>
    </row>
    <row r="869" spans="1:9" ht="13.5" customHeight="1" x14ac:dyDescent="0.3">
      <c r="A869" s="91">
        <f t="shared" si="47"/>
        <v>26960</v>
      </c>
      <c r="B869" s="9" t="s">
        <v>464</v>
      </c>
      <c r="C869" s="35"/>
      <c r="D869" s="35"/>
      <c r="E869" s="16" t="s">
        <v>123</v>
      </c>
      <c r="F869" s="16" t="s">
        <v>1061</v>
      </c>
      <c r="G869" s="16">
        <f t="shared" si="46"/>
        <v>1</v>
      </c>
      <c r="H869" s="91">
        <v>1</v>
      </c>
      <c r="I869" s="98"/>
    </row>
    <row r="870" spans="1:9" ht="13.5" customHeight="1" x14ac:dyDescent="0.3">
      <c r="A870" s="91">
        <f t="shared" si="47"/>
        <v>26961</v>
      </c>
      <c r="B870" s="9" t="s">
        <v>465</v>
      </c>
      <c r="C870" s="35"/>
      <c r="D870" s="35"/>
      <c r="E870" s="16" t="s">
        <v>123</v>
      </c>
      <c r="F870" s="16" t="s">
        <v>1061</v>
      </c>
      <c r="G870" s="16">
        <f t="shared" si="46"/>
        <v>1</v>
      </c>
      <c r="H870" s="91">
        <v>1</v>
      </c>
      <c r="I870" s="98"/>
    </row>
    <row r="871" spans="1:9" ht="13.5" customHeight="1" x14ac:dyDescent="0.3">
      <c r="A871" s="91">
        <f t="shared" si="47"/>
        <v>26962</v>
      </c>
      <c r="B871" s="9" t="s">
        <v>466</v>
      </c>
      <c r="C871" s="35"/>
      <c r="D871" s="35"/>
      <c r="E871" s="16" t="s">
        <v>123</v>
      </c>
      <c r="F871" s="16" t="s">
        <v>1061</v>
      </c>
      <c r="G871" s="16">
        <f t="shared" si="46"/>
        <v>1</v>
      </c>
      <c r="H871" s="91">
        <v>1</v>
      </c>
      <c r="I871" s="98"/>
    </row>
    <row r="872" spans="1:9" ht="13.5" customHeight="1" x14ac:dyDescent="0.3">
      <c r="A872" s="91">
        <f t="shared" si="47"/>
        <v>26963</v>
      </c>
      <c r="B872" s="9" t="s">
        <v>467</v>
      </c>
      <c r="C872" s="35"/>
      <c r="D872" s="35"/>
      <c r="E872" s="16" t="s">
        <v>123</v>
      </c>
      <c r="F872" s="16" t="s">
        <v>1061</v>
      </c>
      <c r="G872" s="16">
        <f t="shared" si="46"/>
        <v>1</v>
      </c>
      <c r="H872" s="91">
        <v>1</v>
      </c>
      <c r="I872" s="98"/>
    </row>
    <row r="873" spans="1:9" ht="13.5" customHeight="1" x14ac:dyDescent="0.3">
      <c r="A873" s="91">
        <f t="shared" si="47"/>
        <v>26964</v>
      </c>
      <c r="B873" s="9" t="s">
        <v>468</v>
      </c>
      <c r="C873" s="35"/>
      <c r="D873" s="35"/>
      <c r="E873" s="16" t="s">
        <v>123</v>
      </c>
      <c r="F873" s="16" t="s">
        <v>1061</v>
      </c>
      <c r="G873" s="16">
        <f t="shared" si="46"/>
        <v>1</v>
      </c>
      <c r="H873" s="91">
        <v>1</v>
      </c>
      <c r="I873" s="98"/>
    </row>
    <row r="874" spans="1:9" ht="15" customHeight="1" x14ac:dyDescent="0.3">
      <c r="A874" s="91">
        <f t="shared" si="47"/>
        <v>26965</v>
      </c>
      <c r="B874" s="9" t="s">
        <v>469</v>
      </c>
      <c r="C874" s="35"/>
      <c r="D874" s="35"/>
      <c r="E874" s="16" t="s">
        <v>123</v>
      </c>
      <c r="F874" s="16" t="s">
        <v>1061</v>
      </c>
      <c r="G874" s="16">
        <f t="shared" si="46"/>
        <v>1</v>
      </c>
      <c r="H874" s="91">
        <v>1</v>
      </c>
      <c r="I874" s="98"/>
    </row>
    <row r="875" spans="1:9" ht="15" customHeight="1" x14ac:dyDescent="0.3">
      <c r="A875" s="91">
        <f t="shared" si="47"/>
        <v>26966</v>
      </c>
      <c r="B875" s="9" t="s">
        <v>470</v>
      </c>
      <c r="C875" s="35"/>
      <c r="D875" s="35"/>
      <c r="E875" s="16" t="s">
        <v>123</v>
      </c>
      <c r="F875" s="16" t="s">
        <v>1061</v>
      </c>
      <c r="G875" s="16">
        <f t="shared" si="46"/>
        <v>1</v>
      </c>
      <c r="H875" s="91">
        <v>1</v>
      </c>
      <c r="I875" s="98"/>
    </row>
    <row r="876" spans="1:9" ht="15" customHeight="1" x14ac:dyDescent="0.3">
      <c r="A876" s="91">
        <f t="shared" si="47"/>
        <v>26967</v>
      </c>
      <c r="B876" s="9" t="s">
        <v>471</v>
      </c>
      <c r="C876" s="35"/>
      <c r="D876" s="35"/>
      <c r="E876" s="16" t="s">
        <v>123</v>
      </c>
      <c r="F876" s="16" t="s">
        <v>1061</v>
      </c>
      <c r="G876" s="16">
        <f t="shared" si="46"/>
        <v>1</v>
      </c>
      <c r="H876" s="91">
        <v>1</v>
      </c>
      <c r="I876" s="98"/>
    </row>
    <row r="877" spans="1:9" ht="15" customHeight="1" x14ac:dyDescent="0.3">
      <c r="A877" s="91">
        <f t="shared" si="47"/>
        <v>26968</v>
      </c>
      <c r="B877" s="9" t="s">
        <v>472</v>
      </c>
      <c r="C877" s="35"/>
      <c r="D877" s="35"/>
      <c r="E877" s="16" t="s">
        <v>123</v>
      </c>
      <c r="F877" s="16" t="s">
        <v>1061</v>
      </c>
      <c r="G877" s="16">
        <f t="shared" si="46"/>
        <v>1</v>
      </c>
      <c r="H877" s="91">
        <v>1</v>
      </c>
      <c r="I877" s="98"/>
    </row>
    <row r="878" spans="1:9" ht="15" customHeight="1" x14ac:dyDescent="0.3">
      <c r="A878" s="91">
        <f t="shared" si="47"/>
        <v>26969</v>
      </c>
      <c r="B878" s="9" t="s">
        <v>473</v>
      </c>
      <c r="C878" s="35"/>
      <c r="D878" s="35"/>
      <c r="E878" s="16" t="s">
        <v>123</v>
      </c>
      <c r="F878" s="16" t="s">
        <v>1061</v>
      </c>
      <c r="G878" s="16">
        <f t="shared" si="46"/>
        <v>1</v>
      </c>
      <c r="H878" s="91">
        <v>1</v>
      </c>
      <c r="I878" s="98"/>
    </row>
    <row r="879" spans="1:9" ht="15" customHeight="1" x14ac:dyDescent="0.3">
      <c r="A879" s="91">
        <f t="shared" si="47"/>
        <v>26970</v>
      </c>
      <c r="B879" s="9" t="s">
        <v>474</v>
      </c>
      <c r="C879" s="35"/>
      <c r="D879" s="35"/>
      <c r="E879" s="16" t="s">
        <v>123</v>
      </c>
      <c r="F879" s="16" t="s">
        <v>1061</v>
      </c>
      <c r="G879" s="16">
        <f t="shared" si="46"/>
        <v>1</v>
      </c>
      <c r="H879" s="91">
        <v>1</v>
      </c>
      <c r="I879" s="98"/>
    </row>
    <row r="880" spans="1:9" ht="15" customHeight="1" x14ac:dyDescent="0.3">
      <c r="A880" s="91">
        <f t="shared" si="47"/>
        <v>26971</v>
      </c>
      <c r="B880" s="9" t="s">
        <v>475</v>
      </c>
      <c r="C880" s="35"/>
      <c r="D880" s="35"/>
      <c r="E880" s="16" t="s">
        <v>123</v>
      </c>
      <c r="F880" s="16" t="s">
        <v>1061</v>
      </c>
      <c r="G880" s="16">
        <f t="shared" si="46"/>
        <v>1</v>
      </c>
      <c r="H880" s="91">
        <v>1</v>
      </c>
      <c r="I880" s="98"/>
    </row>
    <row r="881" spans="1:9" ht="15" customHeight="1" x14ac:dyDescent="0.3">
      <c r="A881" s="91">
        <f t="shared" si="47"/>
        <v>26972</v>
      </c>
      <c r="B881" s="9" t="s">
        <v>524</v>
      </c>
      <c r="C881" s="35"/>
      <c r="D881" s="35"/>
      <c r="E881" s="16" t="s">
        <v>123</v>
      </c>
      <c r="F881" s="16" t="s">
        <v>1061</v>
      </c>
      <c r="G881" s="16">
        <f t="shared" si="46"/>
        <v>1</v>
      </c>
      <c r="H881" s="91">
        <v>1</v>
      </c>
      <c r="I881" s="98"/>
    </row>
    <row r="882" spans="1:9" ht="15" customHeight="1" x14ac:dyDescent="0.3">
      <c r="A882" s="91">
        <f t="shared" si="47"/>
        <v>26973</v>
      </c>
      <c r="B882" s="9" t="s">
        <v>525</v>
      </c>
      <c r="C882" s="35"/>
      <c r="D882" s="35"/>
      <c r="E882" s="16" t="s">
        <v>123</v>
      </c>
      <c r="F882" s="16" t="s">
        <v>1061</v>
      </c>
      <c r="G882" s="16">
        <f t="shared" si="46"/>
        <v>1</v>
      </c>
      <c r="H882" s="91">
        <v>1</v>
      </c>
      <c r="I882" s="98"/>
    </row>
    <row r="883" spans="1:9" ht="15" customHeight="1" x14ac:dyDescent="0.3">
      <c r="A883" s="91">
        <f t="shared" si="47"/>
        <v>26974</v>
      </c>
      <c r="B883" s="9" t="s">
        <v>41</v>
      </c>
      <c r="C883" s="35"/>
      <c r="D883" s="35"/>
      <c r="E883" s="16" t="s">
        <v>123</v>
      </c>
      <c r="F883" s="16" t="s">
        <v>1061</v>
      </c>
      <c r="G883" s="16">
        <f t="shared" si="46"/>
        <v>1</v>
      </c>
      <c r="H883" s="91">
        <v>1</v>
      </c>
      <c r="I883" s="98"/>
    </row>
    <row r="884" spans="1:9" ht="15" customHeight="1" x14ac:dyDescent="0.3">
      <c r="A884" s="91">
        <f t="shared" si="47"/>
        <v>26975</v>
      </c>
      <c r="B884" s="9" t="s">
        <v>478</v>
      </c>
      <c r="C884" s="35"/>
      <c r="D884" s="35"/>
      <c r="E884" s="16" t="s">
        <v>123</v>
      </c>
      <c r="F884" s="16" t="s">
        <v>1061</v>
      </c>
      <c r="G884" s="16">
        <f t="shared" si="46"/>
        <v>1</v>
      </c>
      <c r="H884" s="91">
        <v>1</v>
      </c>
      <c r="I884" s="98"/>
    </row>
    <row r="885" spans="1:9" ht="15" customHeight="1" x14ac:dyDescent="0.3">
      <c r="A885" s="91">
        <f t="shared" si="47"/>
        <v>26976</v>
      </c>
      <c r="B885" s="9" t="s">
        <v>479</v>
      </c>
      <c r="C885" s="35"/>
      <c r="D885" s="35"/>
      <c r="E885" s="16" t="s">
        <v>123</v>
      </c>
      <c r="F885" s="16" t="s">
        <v>1061</v>
      </c>
      <c r="G885" s="16">
        <f t="shared" si="46"/>
        <v>1</v>
      </c>
      <c r="H885" s="91">
        <v>1</v>
      </c>
      <c r="I885" s="98"/>
    </row>
    <row r="886" spans="1:9" ht="15" customHeight="1" x14ac:dyDescent="0.3">
      <c r="A886" s="91">
        <f t="shared" si="47"/>
        <v>26977</v>
      </c>
      <c r="B886" s="9" t="s">
        <v>480</v>
      </c>
      <c r="C886" s="35"/>
      <c r="D886" s="35"/>
      <c r="E886" s="16" t="s">
        <v>123</v>
      </c>
      <c r="F886" s="16" t="s">
        <v>1061</v>
      </c>
      <c r="G886" s="16">
        <f t="shared" si="46"/>
        <v>1</v>
      </c>
      <c r="H886" s="91">
        <v>1</v>
      </c>
      <c r="I886" s="98"/>
    </row>
    <row r="887" spans="1:9" ht="15" customHeight="1" x14ac:dyDescent="0.3">
      <c r="A887" s="91">
        <f t="shared" si="47"/>
        <v>26978</v>
      </c>
      <c r="B887" s="9" t="s">
        <v>481</v>
      </c>
      <c r="C887" s="35"/>
      <c r="D887" s="35"/>
      <c r="E887" s="16" t="s">
        <v>123</v>
      </c>
      <c r="F887" s="16" t="s">
        <v>1061</v>
      </c>
      <c r="G887" s="16">
        <f t="shared" si="46"/>
        <v>1</v>
      </c>
      <c r="H887" s="91">
        <v>1</v>
      </c>
      <c r="I887" s="98"/>
    </row>
    <row r="888" spans="1:9" ht="15" customHeight="1" x14ac:dyDescent="0.3">
      <c r="A888" s="91">
        <f t="shared" si="47"/>
        <v>26979</v>
      </c>
      <c r="B888" s="9" t="s">
        <v>482</v>
      </c>
      <c r="C888" s="35"/>
      <c r="D888" s="35"/>
      <c r="E888" s="16" t="s">
        <v>123</v>
      </c>
      <c r="F888" s="16" t="s">
        <v>1061</v>
      </c>
      <c r="G888" s="16">
        <f t="shared" si="46"/>
        <v>1</v>
      </c>
      <c r="H888" s="91">
        <v>1</v>
      </c>
      <c r="I888" s="98"/>
    </row>
    <row r="889" spans="1:9" ht="15" customHeight="1" x14ac:dyDescent="0.3">
      <c r="A889" s="91">
        <f t="shared" si="47"/>
        <v>26980</v>
      </c>
      <c r="B889" s="9" t="s">
        <v>483</v>
      </c>
      <c r="C889" s="35"/>
      <c r="D889" s="35"/>
      <c r="E889" s="16" t="s">
        <v>123</v>
      </c>
      <c r="F889" s="16" t="s">
        <v>1061</v>
      </c>
      <c r="G889" s="16">
        <f t="shared" si="46"/>
        <v>1</v>
      </c>
      <c r="H889" s="91">
        <v>1</v>
      </c>
      <c r="I889" s="98"/>
    </row>
    <row r="890" spans="1:9" ht="15" customHeight="1" x14ac:dyDescent="0.3">
      <c r="A890" s="91">
        <f t="shared" si="47"/>
        <v>26981</v>
      </c>
      <c r="B890" s="9" t="s">
        <v>484</v>
      </c>
      <c r="C890" s="35"/>
      <c r="D890" s="35"/>
      <c r="E890" s="16" t="s">
        <v>123</v>
      </c>
      <c r="F890" s="16" t="s">
        <v>1061</v>
      </c>
      <c r="G890" s="16">
        <f t="shared" si="46"/>
        <v>1</v>
      </c>
      <c r="H890" s="91">
        <v>1</v>
      </c>
      <c r="I890" s="98"/>
    </row>
    <row r="891" spans="1:9" ht="15" customHeight="1" x14ac:dyDescent="0.3">
      <c r="A891" s="91">
        <f t="shared" si="47"/>
        <v>26982</v>
      </c>
      <c r="B891" s="9" t="s">
        <v>485</v>
      </c>
      <c r="C891" s="35"/>
      <c r="D891" s="35"/>
      <c r="E891" s="16" t="s">
        <v>123</v>
      </c>
      <c r="F891" s="16" t="s">
        <v>1061</v>
      </c>
      <c r="G891" s="16">
        <f t="shared" si="46"/>
        <v>1</v>
      </c>
      <c r="H891" s="91">
        <v>1</v>
      </c>
      <c r="I891" s="98"/>
    </row>
    <row r="892" spans="1:9" ht="15" customHeight="1" x14ac:dyDescent="0.3">
      <c r="A892" s="91">
        <f t="shared" si="47"/>
        <v>26983</v>
      </c>
      <c r="B892" s="9" t="s">
        <v>486</v>
      </c>
      <c r="C892" s="35"/>
      <c r="D892" s="35"/>
      <c r="E892" s="16" t="s">
        <v>123</v>
      </c>
      <c r="F892" s="16" t="s">
        <v>1061</v>
      </c>
      <c r="G892" s="16">
        <f t="shared" si="46"/>
        <v>1</v>
      </c>
      <c r="H892" s="91">
        <v>1</v>
      </c>
      <c r="I892" s="98"/>
    </row>
    <row r="893" spans="1:9" ht="15" customHeight="1" x14ac:dyDescent="0.3">
      <c r="A893" s="91">
        <f t="shared" si="47"/>
        <v>26984</v>
      </c>
      <c r="B893" s="9" t="s">
        <v>487</v>
      </c>
      <c r="C893" s="35"/>
      <c r="D893" s="35"/>
      <c r="E893" s="16" t="s">
        <v>123</v>
      </c>
      <c r="F893" s="16" t="s">
        <v>1061</v>
      </c>
      <c r="G893" s="16">
        <f t="shared" si="46"/>
        <v>1</v>
      </c>
      <c r="H893" s="91">
        <v>1</v>
      </c>
      <c r="I893" s="98"/>
    </row>
    <row r="894" spans="1:9" ht="15" customHeight="1" x14ac:dyDescent="0.3">
      <c r="A894" s="91">
        <f t="shared" si="47"/>
        <v>26985</v>
      </c>
      <c r="B894" s="9" t="s">
        <v>488</v>
      </c>
      <c r="C894" s="35"/>
      <c r="D894" s="35"/>
      <c r="E894" s="16" t="s">
        <v>123</v>
      </c>
      <c r="F894" s="16" t="s">
        <v>1061</v>
      </c>
      <c r="G894" s="16">
        <f t="shared" si="46"/>
        <v>1</v>
      </c>
      <c r="H894" s="91">
        <v>1</v>
      </c>
      <c r="I894" s="98"/>
    </row>
    <row r="895" spans="1:9" ht="15" customHeight="1" x14ac:dyDescent="0.3">
      <c r="A895" s="91">
        <f t="shared" si="47"/>
        <v>26986</v>
      </c>
      <c r="B895" s="9" t="s">
        <v>489</v>
      </c>
      <c r="C895" s="35"/>
      <c r="D895" s="35"/>
      <c r="E895" s="16" t="s">
        <v>123</v>
      </c>
      <c r="F895" s="16" t="s">
        <v>1061</v>
      </c>
      <c r="G895" s="16">
        <f t="shared" si="46"/>
        <v>1</v>
      </c>
      <c r="H895" s="91">
        <v>1</v>
      </c>
      <c r="I895" s="98"/>
    </row>
    <row r="896" spans="1:9" ht="15" customHeight="1" x14ac:dyDescent="0.3">
      <c r="A896" s="91">
        <f t="shared" si="47"/>
        <v>26987</v>
      </c>
      <c r="B896" s="9" t="s">
        <v>490</v>
      </c>
      <c r="C896" s="35"/>
      <c r="D896" s="35"/>
      <c r="E896" s="16" t="s">
        <v>123</v>
      </c>
      <c r="F896" s="16" t="s">
        <v>1061</v>
      </c>
      <c r="G896" s="16">
        <f t="shared" si="46"/>
        <v>1</v>
      </c>
      <c r="H896" s="91">
        <v>1</v>
      </c>
      <c r="I896" s="98"/>
    </row>
    <row r="897" spans="1:9" ht="15" customHeight="1" x14ac:dyDescent="0.3">
      <c r="A897" s="91">
        <f t="shared" si="47"/>
        <v>26988</v>
      </c>
      <c r="B897" s="9" t="s">
        <v>491</v>
      </c>
      <c r="C897" s="35"/>
      <c r="D897" s="35"/>
      <c r="E897" s="16" t="s">
        <v>123</v>
      </c>
      <c r="F897" s="16" t="s">
        <v>1061</v>
      </c>
      <c r="G897" s="16">
        <f t="shared" si="46"/>
        <v>1</v>
      </c>
      <c r="H897" s="91">
        <v>1</v>
      </c>
      <c r="I897" s="98"/>
    </row>
    <row r="898" spans="1:9" ht="15" customHeight="1" x14ac:dyDescent="0.3">
      <c r="A898" s="91">
        <f t="shared" si="47"/>
        <v>26989</v>
      </c>
      <c r="B898" s="9" t="s">
        <v>492</v>
      </c>
      <c r="C898" s="35"/>
      <c r="D898" s="35"/>
      <c r="E898" s="16" t="s">
        <v>123</v>
      </c>
      <c r="F898" s="16" t="s">
        <v>1061</v>
      </c>
      <c r="G898" s="16">
        <f t="shared" si="46"/>
        <v>1</v>
      </c>
      <c r="H898" s="91">
        <v>1</v>
      </c>
      <c r="I898" s="98"/>
    </row>
    <row r="899" spans="1:9" ht="15" customHeight="1" x14ac:dyDescent="0.3">
      <c r="A899" s="91">
        <f t="shared" si="47"/>
        <v>26990</v>
      </c>
      <c r="B899" s="9" t="s">
        <v>493</v>
      </c>
      <c r="C899" s="35"/>
      <c r="D899" s="35"/>
      <c r="E899" s="16" t="s">
        <v>123</v>
      </c>
      <c r="F899" s="16" t="s">
        <v>1061</v>
      </c>
      <c r="G899" s="16">
        <f t="shared" si="46"/>
        <v>1</v>
      </c>
      <c r="H899" s="91">
        <v>1</v>
      </c>
      <c r="I899" s="98"/>
    </row>
    <row r="900" spans="1:9" ht="15" customHeight="1" x14ac:dyDescent="0.3">
      <c r="A900" s="91">
        <f t="shared" si="47"/>
        <v>26991</v>
      </c>
      <c r="B900" s="9" t="s">
        <v>510</v>
      </c>
      <c r="C900" s="35"/>
      <c r="D900" s="35"/>
      <c r="E900" s="16" t="s">
        <v>123</v>
      </c>
      <c r="F900" s="16" t="s">
        <v>1061</v>
      </c>
      <c r="G900" s="16">
        <f t="shared" si="46"/>
        <v>1</v>
      </c>
      <c r="H900" s="91">
        <v>1</v>
      </c>
      <c r="I900" s="98"/>
    </row>
    <row r="901" spans="1:9" ht="15" customHeight="1" x14ac:dyDescent="0.3">
      <c r="A901" s="91">
        <f t="shared" si="47"/>
        <v>26992</v>
      </c>
      <c r="B901" s="9" t="s">
        <v>511</v>
      </c>
      <c r="C901" s="35"/>
      <c r="D901" s="35"/>
      <c r="E901" s="16" t="s">
        <v>123</v>
      </c>
      <c r="F901" s="16" t="s">
        <v>1061</v>
      </c>
      <c r="G901" s="16">
        <f t="shared" si="46"/>
        <v>1</v>
      </c>
      <c r="H901" s="91">
        <v>1</v>
      </c>
      <c r="I901" s="98"/>
    </row>
    <row r="902" spans="1:9" ht="15" customHeight="1" x14ac:dyDescent="0.3">
      <c r="A902" s="91">
        <f t="shared" si="47"/>
        <v>26993</v>
      </c>
      <c r="B902" s="9" t="s">
        <v>41</v>
      </c>
      <c r="C902" s="35"/>
      <c r="D902" s="35"/>
      <c r="E902" s="16" t="s">
        <v>123</v>
      </c>
      <c r="F902" s="16" t="s">
        <v>1061</v>
      </c>
      <c r="G902" s="16">
        <f t="shared" si="46"/>
        <v>1</v>
      </c>
      <c r="H902" s="91">
        <v>1</v>
      </c>
      <c r="I902" s="98"/>
    </row>
    <row r="903" spans="1:9" ht="15" customHeight="1" x14ac:dyDescent="0.3">
      <c r="A903" s="91">
        <f t="shared" si="47"/>
        <v>26994</v>
      </c>
      <c r="B903" s="9" t="s">
        <v>494</v>
      </c>
      <c r="C903" s="35"/>
      <c r="D903" s="35"/>
      <c r="E903" s="16" t="s">
        <v>123</v>
      </c>
      <c r="F903" s="16" t="s">
        <v>1061</v>
      </c>
      <c r="G903" s="16">
        <f t="shared" si="46"/>
        <v>1</v>
      </c>
      <c r="H903" s="91">
        <v>1</v>
      </c>
      <c r="I903" s="98"/>
    </row>
    <row r="904" spans="1:9" ht="15" customHeight="1" x14ac:dyDescent="0.3">
      <c r="A904" s="91">
        <f t="shared" si="47"/>
        <v>26995</v>
      </c>
      <c r="B904" s="9" t="s">
        <v>495</v>
      </c>
      <c r="C904" s="35"/>
      <c r="D904" s="35"/>
      <c r="E904" s="16" t="s">
        <v>123</v>
      </c>
      <c r="F904" s="16" t="s">
        <v>1061</v>
      </c>
      <c r="G904" s="16">
        <f t="shared" si="46"/>
        <v>1</v>
      </c>
      <c r="H904" s="91">
        <v>1</v>
      </c>
      <c r="I904" s="98"/>
    </row>
    <row r="905" spans="1:9" ht="15" customHeight="1" x14ac:dyDescent="0.3">
      <c r="A905" s="91">
        <f t="shared" si="47"/>
        <v>26996</v>
      </c>
      <c r="B905" s="9" t="s">
        <v>496</v>
      </c>
      <c r="C905" s="35"/>
      <c r="D905" s="35"/>
      <c r="E905" s="16" t="s">
        <v>123</v>
      </c>
      <c r="F905" s="16" t="s">
        <v>1061</v>
      </c>
      <c r="G905" s="16">
        <f t="shared" si="46"/>
        <v>1</v>
      </c>
      <c r="H905" s="91">
        <v>1</v>
      </c>
      <c r="I905" s="98"/>
    </row>
    <row r="906" spans="1:9" ht="15" customHeight="1" x14ac:dyDescent="0.3">
      <c r="A906" s="91">
        <f t="shared" si="47"/>
        <v>26997</v>
      </c>
      <c r="B906" s="9" t="s">
        <v>497</v>
      </c>
      <c r="C906" s="35"/>
      <c r="D906" s="35"/>
      <c r="E906" s="16" t="s">
        <v>123</v>
      </c>
      <c r="F906" s="16" t="s">
        <v>1061</v>
      </c>
      <c r="G906" s="16">
        <f t="shared" si="46"/>
        <v>1</v>
      </c>
      <c r="H906" s="91">
        <v>1</v>
      </c>
      <c r="I906" s="98"/>
    </row>
    <row r="907" spans="1:9" ht="15" customHeight="1" x14ac:dyDescent="0.3">
      <c r="A907" s="91">
        <f t="shared" si="47"/>
        <v>26998</v>
      </c>
      <c r="B907" s="9" t="s">
        <v>498</v>
      </c>
      <c r="C907" s="35"/>
      <c r="D907" s="35"/>
      <c r="E907" s="16" t="s">
        <v>123</v>
      </c>
      <c r="F907" s="16" t="s">
        <v>1061</v>
      </c>
      <c r="G907" s="16">
        <f t="shared" ref="G907:G908" si="48">IF(OR(E907="U16", E907="S16"),1,IF(E907="TS",6,2))</f>
        <v>1</v>
      </c>
      <c r="H907" s="91">
        <v>1</v>
      </c>
      <c r="I907" s="98"/>
    </row>
    <row r="908" spans="1:9" ht="15" customHeight="1" x14ac:dyDescent="0.3">
      <c r="A908" s="91">
        <f t="shared" ref="A908:A919" si="49">A907+(G907*H907)</f>
        <v>26999</v>
      </c>
      <c r="B908" s="9" t="s">
        <v>499</v>
      </c>
      <c r="C908" s="35"/>
      <c r="D908" s="35"/>
      <c r="E908" s="16" t="s">
        <v>123</v>
      </c>
      <c r="F908" s="16" t="s">
        <v>1061</v>
      </c>
      <c r="G908" s="16">
        <f t="shared" si="48"/>
        <v>1</v>
      </c>
      <c r="H908" s="91">
        <v>1</v>
      </c>
      <c r="I908" s="98"/>
    </row>
    <row r="909" spans="1:9" ht="15" customHeight="1" x14ac:dyDescent="0.3">
      <c r="A909" s="91">
        <f t="shared" si="49"/>
        <v>27000</v>
      </c>
      <c r="B909" s="9" t="s">
        <v>500</v>
      </c>
      <c r="C909" s="35"/>
      <c r="D909" s="35"/>
      <c r="E909" s="16" t="s">
        <v>123</v>
      </c>
      <c r="F909" s="16" t="s">
        <v>1061</v>
      </c>
      <c r="G909" s="16">
        <f>IF(OR(E909="U16", E909="S16"),1,IF(E909="TS",6,2))</f>
        <v>1</v>
      </c>
      <c r="H909" s="91">
        <v>1</v>
      </c>
      <c r="I909" s="98"/>
    </row>
    <row r="910" spans="1:9" ht="15" customHeight="1" x14ac:dyDescent="0.3">
      <c r="A910" s="91">
        <f t="shared" si="49"/>
        <v>27001</v>
      </c>
      <c r="B910" s="9" t="s">
        <v>501</v>
      </c>
      <c r="C910" s="91"/>
      <c r="D910" s="91"/>
      <c r="E910" s="16" t="s">
        <v>123</v>
      </c>
      <c r="F910" s="16" t="s">
        <v>1061</v>
      </c>
      <c r="G910" s="16">
        <f t="shared" ref="G910:G915" si="50">IF(OR(E910="U16", E910="S16"),1,IF(E910="TS",6,2))</f>
        <v>1</v>
      </c>
      <c r="H910" s="91">
        <v>1</v>
      </c>
      <c r="I910" s="98"/>
    </row>
    <row r="911" spans="1:9" ht="15" customHeight="1" x14ac:dyDescent="0.3">
      <c r="A911" s="91">
        <f t="shared" si="49"/>
        <v>27002</v>
      </c>
      <c r="B911" s="9" t="s">
        <v>502</v>
      </c>
      <c r="C911" s="91"/>
      <c r="D911" s="91"/>
      <c r="E911" s="16" t="s">
        <v>123</v>
      </c>
      <c r="F911" s="16" t="s">
        <v>1061</v>
      </c>
      <c r="G911" s="16">
        <f t="shared" si="50"/>
        <v>1</v>
      </c>
      <c r="H911" s="91">
        <v>1</v>
      </c>
      <c r="I911" s="98"/>
    </row>
    <row r="912" spans="1:9" ht="15" customHeight="1" x14ac:dyDescent="0.3">
      <c r="A912" s="91">
        <f t="shared" si="49"/>
        <v>27003</v>
      </c>
      <c r="B912" s="9" t="s">
        <v>503</v>
      </c>
      <c r="C912" s="91"/>
      <c r="D912" s="91"/>
      <c r="E912" s="16" t="s">
        <v>123</v>
      </c>
      <c r="F912" s="16" t="s">
        <v>1061</v>
      </c>
      <c r="G912" s="16">
        <f t="shared" si="50"/>
        <v>1</v>
      </c>
      <c r="H912" s="91">
        <v>1</v>
      </c>
      <c r="I912" s="98"/>
    </row>
    <row r="913" spans="1:9" ht="15" customHeight="1" x14ac:dyDescent="0.3">
      <c r="A913" s="91">
        <f t="shared" si="49"/>
        <v>27004</v>
      </c>
      <c r="B913" s="9" t="s">
        <v>504</v>
      </c>
      <c r="C913" s="91"/>
      <c r="D913" s="91"/>
      <c r="E913" s="16" t="s">
        <v>123</v>
      </c>
      <c r="F913" s="16" t="s">
        <v>1061</v>
      </c>
      <c r="G913" s="16">
        <f t="shared" si="50"/>
        <v>1</v>
      </c>
      <c r="H913" s="91">
        <v>1</v>
      </c>
      <c r="I913" s="98"/>
    </row>
    <row r="914" spans="1:9" ht="15" customHeight="1" x14ac:dyDescent="0.3">
      <c r="A914" s="91">
        <f t="shared" si="49"/>
        <v>27005</v>
      </c>
      <c r="B914" s="9" t="s">
        <v>505</v>
      </c>
      <c r="C914" s="91"/>
      <c r="D914" s="91"/>
      <c r="E914" s="16" t="s">
        <v>123</v>
      </c>
      <c r="F914" s="16" t="s">
        <v>1061</v>
      </c>
      <c r="G914" s="16">
        <f t="shared" si="50"/>
        <v>1</v>
      </c>
      <c r="H914" s="91">
        <v>1</v>
      </c>
      <c r="I914" s="98"/>
    </row>
    <row r="915" spans="1:9" ht="15" customHeight="1" x14ac:dyDescent="0.3">
      <c r="A915" s="91">
        <f t="shared" si="49"/>
        <v>27006</v>
      </c>
      <c r="B915" s="9" t="s">
        <v>506</v>
      </c>
      <c r="C915" s="91"/>
      <c r="D915" s="91"/>
      <c r="E915" s="16" t="s">
        <v>123</v>
      </c>
      <c r="F915" s="16" t="s">
        <v>1061</v>
      </c>
      <c r="G915" s="16">
        <f t="shared" si="50"/>
        <v>1</v>
      </c>
      <c r="H915" s="91">
        <v>1</v>
      </c>
      <c r="I915" s="98"/>
    </row>
    <row r="916" spans="1:9" ht="15" customHeight="1" x14ac:dyDescent="0.3">
      <c r="A916" s="91">
        <f t="shared" si="49"/>
        <v>27007</v>
      </c>
      <c r="B916" s="9" t="s">
        <v>507</v>
      </c>
      <c r="C916" s="91"/>
      <c r="D916" s="91"/>
      <c r="E916" s="16" t="s">
        <v>123</v>
      </c>
      <c r="F916" s="16" t="s">
        <v>1061</v>
      </c>
      <c r="G916" s="16">
        <f>IF(OR(E916="U16", E916="S16"),1,IF(E916="TS",6,2))</f>
        <v>1</v>
      </c>
      <c r="H916" s="91">
        <v>1</v>
      </c>
      <c r="I916" s="98"/>
    </row>
    <row r="917" spans="1:9" ht="15" customHeight="1" x14ac:dyDescent="0.3">
      <c r="A917" s="91">
        <f t="shared" si="49"/>
        <v>27008</v>
      </c>
      <c r="B917" s="9" t="s">
        <v>508</v>
      </c>
      <c r="C917" s="91"/>
      <c r="D917" s="91"/>
      <c r="E917" s="16" t="s">
        <v>123</v>
      </c>
      <c r="F917" s="16" t="s">
        <v>1061</v>
      </c>
      <c r="G917" s="16">
        <f>IF(OR(E917="U16", E917="S16"),1,IF(E917="TS",6,2))</f>
        <v>1</v>
      </c>
      <c r="H917" s="91">
        <v>1</v>
      </c>
      <c r="I917" s="98"/>
    </row>
    <row r="918" spans="1:9" ht="15" customHeight="1" x14ac:dyDescent="0.3">
      <c r="A918" s="91">
        <f t="shared" si="49"/>
        <v>27009</v>
      </c>
      <c r="B918" s="9" t="s">
        <v>509</v>
      </c>
      <c r="C918" s="91"/>
      <c r="D918" s="91"/>
      <c r="E918" s="16" t="s">
        <v>123</v>
      </c>
      <c r="F918" s="16" t="s">
        <v>1061</v>
      </c>
      <c r="G918" s="16">
        <f>IF(OR(E918="U16", E918="S16"),1,IF(E918="TS",6,2))</f>
        <v>1</v>
      </c>
      <c r="H918" s="91">
        <v>1</v>
      </c>
      <c r="I918" s="98"/>
    </row>
    <row r="919" spans="1:9" ht="15" customHeight="1" x14ac:dyDescent="0.3">
      <c r="A919" s="91">
        <f t="shared" si="49"/>
        <v>27010</v>
      </c>
      <c r="B919" s="9"/>
      <c r="C919" s="91"/>
      <c r="D919" s="91"/>
      <c r="E919" s="16" t="s">
        <v>123</v>
      </c>
      <c r="F919" s="16" t="s">
        <v>1061</v>
      </c>
      <c r="G919" s="16">
        <f>IF(OR(E919="U16", E919="S16"),1,IF(E919="TS",6,2))</f>
        <v>1</v>
      </c>
      <c r="H919" s="91">
        <v>4</v>
      </c>
      <c r="I919" s="98"/>
    </row>
    <row r="920" spans="1:9" ht="15" customHeight="1" x14ac:dyDescent="0.3">
      <c r="A920" s="122" t="s">
        <v>222</v>
      </c>
      <c r="B920" s="122"/>
      <c r="C920" s="122"/>
      <c r="D920" s="122"/>
      <c r="E920" s="122"/>
      <c r="F920" s="122"/>
      <c r="G920" s="122"/>
      <c r="H920" s="122"/>
      <c r="I920" s="104"/>
    </row>
    <row r="921" spans="1:9" ht="15" customHeight="1" x14ac:dyDescent="0.3">
      <c r="A921" s="91">
        <f>A919+(G919*H919)</f>
        <v>27014</v>
      </c>
      <c r="B921" s="13" t="s">
        <v>221</v>
      </c>
      <c r="C921" s="91"/>
      <c r="D921" s="91"/>
      <c r="E921" s="16" t="s">
        <v>123</v>
      </c>
      <c r="F921" s="16" t="s">
        <v>1061</v>
      </c>
      <c r="G921" s="16">
        <f>IF(OR(E921="U16", E921="S16"),1,IF(E921="TS",6,2))</f>
        <v>1</v>
      </c>
      <c r="H921" s="91">
        <v>1</v>
      </c>
      <c r="I921" s="98"/>
    </row>
    <row r="922" spans="1:9" ht="15" customHeight="1" x14ac:dyDescent="0.3">
      <c r="A922" s="91">
        <f>A921+(G921*H921)</f>
        <v>27015</v>
      </c>
      <c r="B922" s="13" t="s">
        <v>223</v>
      </c>
      <c r="C922" s="91"/>
      <c r="D922" s="91"/>
      <c r="E922" s="16" t="s">
        <v>123</v>
      </c>
      <c r="F922" s="16" t="s">
        <v>1061</v>
      </c>
      <c r="G922" s="16">
        <f>IF(OR(E922="U16", E922="S16"),1,IF(E922="TS",6,2))</f>
        <v>1</v>
      </c>
      <c r="H922" s="91">
        <v>1</v>
      </c>
      <c r="I922" s="98"/>
    </row>
    <row r="923" spans="1:9" ht="15" customHeight="1" x14ac:dyDescent="0.3">
      <c r="A923" s="91">
        <f>A922+(G922*H922)</f>
        <v>27016</v>
      </c>
      <c r="B923" s="13" t="s">
        <v>41</v>
      </c>
      <c r="C923" s="91"/>
      <c r="D923" s="91"/>
      <c r="E923" s="16" t="s">
        <v>123</v>
      </c>
      <c r="F923" s="16"/>
      <c r="G923" s="16">
        <f>IF(OR(E923="U16", E923="S16"),1,IF(E923="TS",6,2))</f>
        <v>1</v>
      </c>
      <c r="H923" s="91">
        <v>8</v>
      </c>
      <c r="I923" s="98"/>
    </row>
    <row r="924" spans="1:9" ht="15" customHeight="1" x14ac:dyDescent="0.3">
      <c r="A924" s="122" t="s">
        <v>236</v>
      </c>
      <c r="B924" s="122"/>
      <c r="C924" s="122"/>
      <c r="D924" s="122"/>
      <c r="E924" s="122"/>
      <c r="F924" s="122"/>
      <c r="G924" s="122"/>
      <c r="H924" s="122"/>
      <c r="I924" s="104"/>
    </row>
    <row r="925" spans="1:9" ht="15" customHeight="1" x14ac:dyDescent="0.3">
      <c r="A925" s="91">
        <f>A923+(G923*H923)</f>
        <v>27024</v>
      </c>
      <c r="B925" s="9" t="s">
        <v>433</v>
      </c>
      <c r="C925" s="91"/>
      <c r="D925" s="91"/>
      <c r="E925" s="16" t="s">
        <v>123</v>
      </c>
      <c r="F925" s="16" t="s">
        <v>1061</v>
      </c>
      <c r="G925" s="16">
        <f t="shared" ref="G925:G965" si="51">IF(OR(E925="U16", E925="S16"),1,IF(E925="TS",6,2))</f>
        <v>1</v>
      </c>
      <c r="H925" s="91">
        <v>1</v>
      </c>
      <c r="I925" s="98"/>
    </row>
    <row r="926" spans="1:9" ht="15" customHeight="1" x14ac:dyDescent="0.3">
      <c r="A926" s="91">
        <f t="shared" ref="A926:A965" si="52">A925+(G925*H925)</f>
        <v>27025</v>
      </c>
      <c r="B926" s="9" t="s">
        <v>197</v>
      </c>
      <c r="C926" s="91"/>
      <c r="D926" s="91"/>
      <c r="E926" s="16" t="s">
        <v>123</v>
      </c>
      <c r="F926" s="16"/>
      <c r="G926" s="16">
        <f t="shared" si="51"/>
        <v>1</v>
      </c>
      <c r="H926" s="91">
        <v>1</v>
      </c>
      <c r="I926" s="98"/>
    </row>
    <row r="927" spans="1:9" ht="15" customHeight="1" x14ac:dyDescent="0.3">
      <c r="A927" s="91">
        <f t="shared" si="52"/>
        <v>27026</v>
      </c>
      <c r="B927" s="9"/>
      <c r="C927" s="91"/>
      <c r="D927" s="91"/>
      <c r="E927" s="16" t="s">
        <v>123</v>
      </c>
      <c r="F927" s="16"/>
      <c r="G927" s="16">
        <f>IF(OR(E927="U16", E927="S16"),1,IF(E927="TS",6,2))</f>
        <v>1</v>
      </c>
      <c r="H927" s="91">
        <v>1</v>
      </c>
      <c r="I927" s="98"/>
    </row>
    <row r="928" spans="1:9" ht="15" customHeight="1" x14ac:dyDescent="0.3">
      <c r="A928" s="91">
        <f t="shared" si="52"/>
        <v>27027</v>
      </c>
      <c r="B928" s="9"/>
      <c r="C928" s="91"/>
      <c r="D928" s="91"/>
      <c r="E928" s="16" t="s">
        <v>123</v>
      </c>
      <c r="F928" s="16"/>
      <c r="G928" s="16">
        <f>IF(OR(E928="U16", E928="S16"),1,IF(E928="TS",6,2))</f>
        <v>1</v>
      </c>
      <c r="H928" s="91">
        <v>1</v>
      </c>
      <c r="I928" s="98"/>
    </row>
    <row r="929" spans="1:9" ht="15" customHeight="1" x14ac:dyDescent="0.3">
      <c r="A929" s="134" t="s">
        <v>351</v>
      </c>
      <c r="B929" s="134"/>
      <c r="C929" s="134"/>
      <c r="D929" s="134"/>
      <c r="E929" s="134"/>
      <c r="F929" s="134"/>
      <c r="G929" s="134"/>
      <c r="H929" s="134"/>
      <c r="I929" s="111"/>
    </row>
    <row r="930" spans="1:9" ht="15" customHeight="1" x14ac:dyDescent="0.3">
      <c r="A930" s="95">
        <f>A928+(G928*H928)</f>
        <v>27028</v>
      </c>
      <c r="B930" s="31" t="s">
        <v>436</v>
      </c>
      <c r="C930" s="133"/>
      <c r="D930" s="95"/>
      <c r="E930" s="95" t="s">
        <v>123</v>
      </c>
      <c r="F930" s="95" t="s">
        <v>1062</v>
      </c>
      <c r="G930" s="95">
        <f t="shared" si="51"/>
        <v>1</v>
      </c>
      <c r="H930" s="95">
        <v>1</v>
      </c>
      <c r="I930" s="112"/>
    </row>
    <row r="931" spans="1:9" ht="15" customHeight="1" x14ac:dyDescent="0.3">
      <c r="A931" s="95">
        <f t="shared" si="52"/>
        <v>27029</v>
      </c>
      <c r="B931" s="31" t="s">
        <v>519</v>
      </c>
      <c r="C931" s="133"/>
      <c r="D931" s="95"/>
      <c r="E931" s="95" t="s">
        <v>123</v>
      </c>
      <c r="F931" s="95" t="s">
        <v>1062</v>
      </c>
      <c r="G931" s="95">
        <f t="shared" si="51"/>
        <v>1</v>
      </c>
      <c r="H931" s="95">
        <v>1</v>
      </c>
      <c r="I931" s="112"/>
    </row>
    <row r="932" spans="1:9" ht="15" customHeight="1" x14ac:dyDescent="0.3">
      <c r="A932" s="95">
        <f t="shared" si="52"/>
        <v>27030</v>
      </c>
      <c r="B932" s="31" t="s">
        <v>520</v>
      </c>
      <c r="C932" s="133"/>
      <c r="D932" s="95"/>
      <c r="E932" s="95" t="s">
        <v>123</v>
      </c>
      <c r="F932" s="95" t="s">
        <v>1061</v>
      </c>
      <c r="G932" s="95">
        <f t="shared" si="51"/>
        <v>1</v>
      </c>
      <c r="H932" s="95">
        <v>1</v>
      </c>
      <c r="I932" s="112"/>
    </row>
    <row r="933" spans="1:9" ht="15" customHeight="1" x14ac:dyDescent="0.3">
      <c r="A933" s="95">
        <f t="shared" si="52"/>
        <v>27031</v>
      </c>
      <c r="B933" s="31" t="s">
        <v>435</v>
      </c>
      <c r="C933" s="133"/>
      <c r="D933" s="95"/>
      <c r="E933" s="95" t="s">
        <v>123</v>
      </c>
      <c r="F933" s="95" t="s">
        <v>1061</v>
      </c>
      <c r="G933" s="95">
        <f t="shared" si="51"/>
        <v>1</v>
      </c>
      <c r="H933" s="95">
        <v>1</v>
      </c>
      <c r="I933" s="112"/>
    </row>
    <row r="934" spans="1:9" ht="15" customHeight="1" x14ac:dyDescent="0.3">
      <c r="A934" s="95">
        <f t="shared" si="52"/>
        <v>27032</v>
      </c>
      <c r="B934" s="31" t="s">
        <v>518</v>
      </c>
      <c r="C934" s="133"/>
      <c r="D934" s="95"/>
      <c r="E934" s="95" t="s">
        <v>58</v>
      </c>
      <c r="F934" s="95" t="s">
        <v>1061</v>
      </c>
      <c r="G934" s="95">
        <f t="shared" si="51"/>
        <v>2</v>
      </c>
      <c r="H934" s="95">
        <v>1</v>
      </c>
      <c r="I934" s="112"/>
    </row>
    <row r="935" spans="1:9" ht="15" customHeight="1" x14ac:dyDescent="0.3">
      <c r="A935" s="91">
        <f t="shared" si="52"/>
        <v>27034</v>
      </c>
      <c r="B935" s="9" t="s">
        <v>350</v>
      </c>
      <c r="C935" s="91"/>
      <c r="D935" s="91"/>
      <c r="E935" s="16" t="s">
        <v>123</v>
      </c>
      <c r="F935" s="16" t="s">
        <v>1061</v>
      </c>
      <c r="G935" s="16">
        <f t="shared" si="51"/>
        <v>1</v>
      </c>
      <c r="H935" s="91">
        <v>6</v>
      </c>
      <c r="I935" s="98"/>
    </row>
    <row r="936" spans="1:9" ht="15" customHeight="1" x14ac:dyDescent="0.3">
      <c r="A936" s="91">
        <f t="shared" si="52"/>
        <v>27040</v>
      </c>
      <c r="B936" s="9" t="s">
        <v>352</v>
      </c>
      <c r="C936" s="91"/>
      <c r="D936" s="91"/>
      <c r="E936" s="16" t="s">
        <v>123</v>
      </c>
      <c r="F936" s="16" t="s">
        <v>1061</v>
      </c>
      <c r="G936" s="16">
        <f t="shared" si="51"/>
        <v>1</v>
      </c>
      <c r="H936" s="91">
        <v>6</v>
      </c>
      <c r="I936" s="98"/>
    </row>
    <row r="937" spans="1:9" ht="15" customHeight="1" x14ac:dyDescent="0.3">
      <c r="A937" s="91">
        <f t="shared" si="52"/>
        <v>27046</v>
      </c>
      <c r="B937" s="9" t="s">
        <v>353</v>
      </c>
      <c r="C937" s="91"/>
      <c r="D937" s="91"/>
      <c r="E937" s="16" t="s">
        <v>123</v>
      </c>
      <c r="F937" s="16" t="s">
        <v>1061</v>
      </c>
      <c r="G937" s="16">
        <f t="shared" si="51"/>
        <v>1</v>
      </c>
      <c r="H937" s="91">
        <v>6</v>
      </c>
      <c r="I937" s="98"/>
    </row>
    <row r="938" spans="1:9" ht="15" customHeight="1" x14ac:dyDescent="0.3">
      <c r="A938" s="91">
        <f t="shared" si="52"/>
        <v>27052</v>
      </c>
      <c r="B938" s="9" t="s">
        <v>354</v>
      </c>
      <c r="C938" s="91"/>
      <c r="D938" s="91"/>
      <c r="E938" s="16" t="s">
        <v>123</v>
      </c>
      <c r="F938" s="16" t="s">
        <v>1061</v>
      </c>
      <c r="G938" s="16">
        <f t="shared" si="51"/>
        <v>1</v>
      </c>
      <c r="H938" s="91">
        <v>6</v>
      </c>
      <c r="I938" s="98"/>
    </row>
    <row r="939" spans="1:9" ht="15" customHeight="1" x14ac:dyDescent="0.3">
      <c r="A939" s="91">
        <f t="shared" si="52"/>
        <v>27058</v>
      </c>
      <c r="B939" s="9" t="s">
        <v>355</v>
      </c>
      <c r="C939" s="91"/>
      <c r="D939" s="91"/>
      <c r="E939" s="16" t="s">
        <v>123</v>
      </c>
      <c r="F939" s="16" t="s">
        <v>1061</v>
      </c>
      <c r="G939" s="16">
        <f t="shared" si="51"/>
        <v>1</v>
      </c>
      <c r="H939" s="91">
        <v>6</v>
      </c>
      <c r="I939" s="98"/>
    </row>
    <row r="940" spans="1:9" ht="15" customHeight="1" x14ac:dyDescent="0.3">
      <c r="A940" s="91">
        <f t="shared" si="52"/>
        <v>27064</v>
      </c>
      <c r="B940" s="9" t="s">
        <v>356</v>
      </c>
      <c r="C940" s="91"/>
      <c r="D940" s="91"/>
      <c r="E940" s="16" t="s">
        <v>123</v>
      </c>
      <c r="F940" s="16" t="s">
        <v>1061</v>
      </c>
      <c r="G940" s="16">
        <f t="shared" si="51"/>
        <v>1</v>
      </c>
      <c r="H940" s="91">
        <v>6</v>
      </c>
      <c r="I940" s="98"/>
    </row>
    <row r="941" spans="1:9" ht="15" customHeight="1" x14ac:dyDescent="0.3">
      <c r="A941" s="91">
        <f t="shared" si="52"/>
        <v>27070</v>
      </c>
      <c r="B941" s="9" t="s">
        <v>357</v>
      </c>
      <c r="C941" s="91"/>
      <c r="D941" s="91"/>
      <c r="E941" s="16" t="s">
        <v>123</v>
      </c>
      <c r="F941" s="16" t="s">
        <v>1061</v>
      </c>
      <c r="G941" s="16">
        <f t="shared" si="51"/>
        <v>1</v>
      </c>
      <c r="H941" s="91">
        <v>6</v>
      </c>
      <c r="I941" s="98"/>
    </row>
    <row r="942" spans="1:9" ht="15" customHeight="1" x14ac:dyDescent="0.3">
      <c r="A942" s="91">
        <f t="shared" si="52"/>
        <v>27076</v>
      </c>
      <c r="B942" s="9" t="s">
        <v>358</v>
      </c>
      <c r="C942" s="91"/>
      <c r="D942" s="91"/>
      <c r="E942" s="16" t="s">
        <v>123</v>
      </c>
      <c r="F942" s="16" t="s">
        <v>1061</v>
      </c>
      <c r="G942" s="16">
        <f t="shared" si="51"/>
        <v>1</v>
      </c>
      <c r="H942" s="91">
        <v>6</v>
      </c>
      <c r="I942" s="98"/>
    </row>
    <row r="943" spans="1:9" ht="15" customHeight="1" x14ac:dyDescent="0.3">
      <c r="A943" s="91">
        <f t="shared" si="52"/>
        <v>27082</v>
      </c>
      <c r="B943" s="9" t="s">
        <v>359</v>
      </c>
      <c r="C943" s="91"/>
      <c r="D943" s="91"/>
      <c r="E943" s="16" t="s">
        <v>123</v>
      </c>
      <c r="F943" s="16" t="s">
        <v>1061</v>
      </c>
      <c r="G943" s="16">
        <f t="shared" si="51"/>
        <v>1</v>
      </c>
      <c r="H943" s="91">
        <v>6</v>
      </c>
      <c r="I943" s="98"/>
    </row>
    <row r="944" spans="1:9" ht="15" customHeight="1" x14ac:dyDescent="0.3">
      <c r="A944" s="91">
        <f t="shared" si="52"/>
        <v>27088</v>
      </c>
      <c r="B944" s="9" t="s">
        <v>360</v>
      </c>
      <c r="C944" s="91"/>
      <c r="D944" s="91"/>
      <c r="E944" s="16" t="s">
        <v>123</v>
      </c>
      <c r="F944" s="16" t="s">
        <v>1061</v>
      </c>
      <c r="G944" s="16">
        <f t="shared" si="51"/>
        <v>1</v>
      </c>
      <c r="H944" s="91">
        <v>6</v>
      </c>
      <c r="I944" s="98"/>
    </row>
    <row r="945" spans="1:9" ht="15" customHeight="1" x14ac:dyDescent="0.3">
      <c r="A945" s="91">
        <f t="shared" si="52"/>
        <v>27094</v>
      </c>
      <c r="B945" s="9" t="s">
        <v>361</v>
      </c>
      <c r="C945" s="91"/>
      <c r="D945" s="91"/>
      <c r="E945" s="16" t="s">
        <v>123</v>
      </c>
      <c r="F945" s="16" t="s">
        <v>1061</v>
      </c>
      <c r="G945" s="16">
        <f t="shared" si="51"/>
        <v>1</v>
      </c>
      <c r="H945" s="91">
        <v>6</v>
      </c>
      <c r="I945" s="98"/>
    </row>
    <row r="946" spans="1:9" ht="15" customHeight="1" x14ac:dyDescent="0.3">
      <c r="A946" s="91">
        <f t="shared" si="52"/>
        <v>27100</v>
      </c>
      <c r="B946" s="9" t="s">
        <v>362</v>
      </c>
      <c r="C946" s="91"/>
      <c r="D946" s="91"/>
      <c r="E946" s="16" t="s">
        <v>123</v>
      </c>
      <c r="F946" s="16" t="s">
        <v>1061</v>
      </c>
      <c r="G946" s="16">
        <f t="shared" si="51"/>
        <v>1</v>
      </c>
      <c r="H946" s="91">
        <v>6</v>
      </c>
      <c r="I946" s="98"/>
    </row>
    <row r="947" spans="1:9" ht="15" customHeight="1" x14ac:dyDescent="0.3">
      <c r="A947" s="91">
        <f t="shared" si="52"/>
        <v>27106</v>
      </c>
      <c r="B947" s="9" t="s">
        <v>363</v>
      </c>
      <c r="C947" s="91"/>
      <c r="D947" s="91"/>
      <c r="E947" s="16" t="s">
        <v>123</v>
      </c>
      <c r="F947" s="16" t="s">
        <v>1061</v>
      </c>
      <c r="G947" s="16">
        <f t="shared" si="51"/>
        <v>1</v>
      </c>
      <c r="H947" s="91">
        <v>6</v>
      </c>
      <c r="I947" s="98"/>
    </row>
    <row r="948" spans="1:9" ht="15" customHeight="1" x14ac:dyDescent="0.3">
      <c r="A948" s="91">
        <f t="shared" si="52"/>
        <v>27112</v>
      </c>
      <c r="B948" s="9" t="s">
        <v>364</v>
      </c>
      <c r="C948" s="91"/>
      <c r="D948" s="91"/>
      <c r="E948" s="16" t="s">
        <v>123</v>
      </c>
      <c r="F948" s="16" t="s">
        <v>1061</v>
      </c>
      <c r="G948" s="16">
        <f t="shared" si="51"/>
        <v>1</v>
      </c>
      <c r="H948" s="91">
        <v>6</v>
      </c>
      <c r="I948" s="98"/>
    </row>
    <row r="949" spans="1:9" ht="15" customHeight="1" x14ac:dyDescent="0.3">
      <c r="A949" s="91">
        <f t="shared" si="52"/>
        <v>27118</v>
      </c>
      <c r="B949" s="9" t="s">
        <v>365</v>
      </c>
      <c r="C949" s="91"/>
      <c r="D949" s="91"/>
      <c r="E949" s="16" t="s">
        <v>123</v>
      </c>
      <c r="F949" s="16" t="s">
        <v>1061</v>
      </c>
      <c r="G949" s="16">
        <f t="shared" si="51"/>
        <v>1</v>
      </c>
      <c r="H949" s="91">
        <v>6</v>
      </c>
      <c r="I949" s="98"/>
    </row>
    <row r="950" spans="1:9" ht="15" customHeight="1" x14ac:dyDescent="0.3">
      <c r="A950" s="91">
        <f t="shared" si="52"/>
        <v>27124</v>
      </c>
      <c r="B950" s="9" t="s">
        <v>366</v>
      </c>
      <c r="C950" s="91"/>
      <c r="D950" s="91"/>
      <c r="E950" s="16" t="s">
        <v>123</v>
      </c>
      <c r="F950" s="16" t="s">
        <v>1061</v>
      </c>
      <c r="G950" s="16">
        <f t="shared" si="51"/>
        <v>1</v>
      </c>
      <c r="H950" s="91">
        <v>6</v>
      </c>
      <c r="I950" s="98"/>
    </row>
    <row r="951" spans="1:9" ht="15" customHeight="1" x14ac:dyDescent="0.3">
      <c r="A951" s="91">
        <f t="shared" si="52"/>
        <v>27130</v>
      </c>
      <c r="B951" s="9" t="s">
        <v>367</v>
      </c>
      <c r="C951" s="91"/>
      <c r="D951" s="91"/>
      <c r="E951" s="16" t="s">
        <v>123</v>
      </c>
      <c r="F951" s="16" t="s">
        <v>1061</v>
      </c>
      <c r="G951" s="16">
        <f t="shared" si="51"/>
        <v>1</v>
      </c>
      <c r="H951" s="91">
        <v>6</v>
      </c>
      <c r="I951" s="98"/>
    </row>
    <row r="952" spans="1:9" ht="15" customHeight="1" x14ac:dyDescent="0.3">
      <c r="A952" s="91">
        <f t="shared" si="52"/>
        <v>27136</v>
      </c>
      <c r="B952" s="9" t="s">
        <v>368</v>
      </c>
      <c r="C952" s="91"/>
      <c r="D952" s="91"/>
      <c r="E952" s="16" t="s">
        <v>123</v>
      </c>
      <c r="F952" s="16" t="s">
        <v>1061</v>
      </c>
      <c r="G952" s="16">
        <f t="shared" si="51"/>
        <v>1</v>
      </c>
      <c r="H952" s="91">
        <v>6</v>
      </c>
      <c r="I952" s="98"/>
    </row>
    <row r="953" spans="1:9" ht="15" customHeight="1" x14ac:dyDescent="0.3">
      <c r="A953" s="91">
        <f t="shared" si="52"/>
        <v>27142</v>
      </c>
      <c r="B953" s="9" t="s">
        <v>369</v>
      </c>
      <c r="C953" s="91"/>
      <c r="D953" s="91"/>
      <c r="E953" s="16" t="s">
        <v>123</v>
      </c>
      <c r="F953" s="16" t="s">
        <v>1061</v>
      </c>
      <c r="G953" s="16">
        <f t="shared" si="51"/>
        <v>1</v>
      </c>
      <c r="H953" s="91">
        <v>6</v>
      </c>
      <c r="I953" s="98"/>
    </row>
    <row r="954" spans="1:9" ht="15" customHeight="1" x14ac:dyDescent="0.3">
      <c r="A954" s="91">
        <f t="shared" si="52"/>
        <v>27148</v>
      </c>
      <c r="B954" s="9" t="s">
        <v>370</v>
      </c>
      <c r="C954" s="91"/>
      <c r="D954" s="91"/>
      <c r="E954" s="16" t="s">
        <v>123</v>
      </c>
      <c r="F954" s="16" t="s">
        <v>1061</v>
      </c>
      <c r="G954" s="16">
        <f t="shared" si="51"/>
        <v>1</v>
      </c>
      <c r="H954" s="91">
        <v>6</v>
      </c>
      <c r="I954" s="98"/>
    </row>
    <row r="955" spans="1:9" ht="15" customHeight="1" x14ac:dyDescent="0.3">
      <c r="A955" s="91">
        <f t="shared" si="52"/>
        <v>27154</v>
      </c>
      <c r="B955" s="9" t="s">
        <v>371</v>
      </c>
      <c r="C955" s="91"/>
      <c r="D955" s="91"/>
      <c r="E955" s="16" t="s">
        <v>123</v>
      </c>
      <c r="F955" s="16" t="s">
        <v>1061</v>
      </c>
      <c r="G955" s="16">
        <f t="shared" si="51"/>
        <v>1</v>
      </c>
      <c r="H955" s="91">
        <v>6</v>
      </c>
      <c r="I955" s="98"/>
    </row>
    <row r="956" spans="1:9" ht="15" customHeight="1" x14ac:dyDescent="0.3">
      <c r="A956" s="91">
        <f t="shared" si="52"/>
        <v>27160</v>
      </c>
      <c r="B956" s="9" t="s">
        <v>372</v>
      </c>
      <c r="C956" s="91"/>
      <c r="D956" s="91"/>
      <c r="E956" s="16" t="s">
        <v>123</v>
      </c>
      <c r="F956" s="16" t="s">
        <v>1061</v>
      </c>
      <c r="G956" s="16">
        <f t="shared" si="51"/>
        <v>1</v>
      </c>
      <c r="H956" s="91">
        <v>6</v>
      </c>
      <c r="I956" s="98"/>
    </row>
    <row r="957" spans="1:9" ht="15" customHeight="1" x14ac:dyDescent="0.3">
      <c r="A957" s="91">
        <f t="shared" si="52"/>
        <v>27166</v>
      </c>
      <c r="B957" s="9" t="s">
        <v>373</v>
      </c>
      <c r="C957" s="91"/>
      <c r="D957" s="91"/>
      <c r="E957" s="16" t="s">
        <v>123</v>
      </c>
      <c r="F957" s="16" t="s">
        <v>1061</v>
      </c>
      <c r="G957" s="16">
        <f t="shared" si="51"/>
        <v>1</v>
      </c>
      <c r="H957" s="91">
        <v>6</v>
      </c>
      <c r="I957" s="98"/>
    </row>
    <row r="958" spans="1:9" ht="15" customHeight="1" x14ac:dyDescent="0.3">
      <c r="A958" s="91">
        <f t="shared" si="52"/>
        <v>27172</v>
      </c>
      <c r="B958" s="9" t="s">
        <v>374</v>
      </c>
      <c r="C958" s="91"/>
      <c r="D958" s="91"/>
      <c r="E958" s="16" t="s">
        <v>123</v>
      </c>
      <c r="F958" s="16" t="s">
        <v>1061</v>
      </c>
      <c r="G958" s="16">
        <f t="shared" si="51"/>
        <v>1</v>
      </c>
      <c r="H958" s="91">
        <v>6</v>
      </c>
      <c r="I958" s="98"/>
    </row>
    <row r="959" spans="1:9" ht="15" customHeight="1" x14ac:dyDescent="0.3">
      <c r="A959" s="91">
        <f t="shared" si="52"/>
        <v>27178</v>
      </c>
      <c r="B959" s="9" t="s">
        <v>375</v>
      </c>
      <c r="C959" s="91"/>
      <c r="D959" s="91"/>
      <c r="E959" s="16" t="s">
        <v>123</v>
      </c>
      <c r="F959" s="16" t="s">
        <v>1061</v>
      </c>
      <c r="G959" s="16">
        <f t="shared" si="51"/>
        <v>1</v>
      </c>
      <c r="H959" s="91">
        <v>6</v>
      </c>
      <c r="I959" s="98"/>
    </row>
    <row r="960" spans="1:9" ht="15" customHeight="1" x14ac:dyDescent="0.3">
      <c r="A960" s="91">
        <f t="shared" si="52"/>
        <v>27184</v>
      </c>
      <c r="B960" s="9" t="s">
        <v>376</v>
      </c>
      <c r="C960" s="91"/>
      <c r="D960" s="91"/>
      <c r="E960" s="16" t="s">
        <v>123</v>
      </c>
      <c r="F960" s="16" t="s">
        <v>1061</v>
      </c>
      <c r="G960" s="16">
        <f t="shared" si="51"/>
        <v>1</v>
      </c>
      <c r="H960" s="91">
        <v>6</v>
      </c>
      <c r="I960" s="98"/>
    </row>
    <row r="961" spans="1:9" ht="15" customHeight="1" x14ac:dyDescent="0.3">
      <c r="A961" s="91">
        <f t="shared" si="52"/>
        <v>27190</v>
      </c>
      <c r="B961" s="9" t="s">
        <v>377</v>
      </c>
      <c r="C961" s="91"/>
      <c r="D961" s="91"/>
      <c r="E961" s="16" t="s">
        <v>123</v>
      </c>
      <c r="F961" s="16" t="s">
        <v>1061</v>
      </c>
      <c r="G961" s="16">
        <f t="shared" si="51"/>
        <v>1</v>
      </c>
      <c r="H961" s="91">
        <v>6</v>
      </c>
      <c r="I961" s="98"/>
    </row>
    <row r="962" spans="1:9" ht="15" customHeight="1" x14ac:dyDescent="0.3">
      <c r="A962" s="91">
        <f t="shared" si="52"/>
        <v>27196</v>
      </c>
      <c r="B962" s="9" t="s">
        <v>378</v>
      </c>
      <c r="C962" s="91"/>
      <c r="D962" s="91"/>
      <c r="E962" s="16" t="s">
        <v>123</v>
      </c>
      <c r="F962" s="16" t="s">
        <v>1061</v>
      </c>
      <c r="G962" s="16">
        <f t="shared" si="51"/>
        <v>1</v>
      </c>
      <c r="H962" s="91">
        <v>6</v>
      </c>
      <c r="I962" s="98"/>
    </row>
    <row r="963" spans="1:9" ht="15" customHeight="1" x14ac:dyDescent="0.3">
      <c r="A963" s="91">
        <f t="shared" si="52"/>
        <v>27202</v>
      </c>
      <c r="B963" s="9" t="s">
        <v>379</v>
      </c>
      <c r="C963" s="91"/>
      <c r="D963" s="91"/>
      <c r="E963" s="16" t="s">
        <v>123</v>
      </c>
      <c r="F963" s="16" t="s">
        <v>1061</v>
      </c>
      <c r="G963" s="16">
        <f t="shared" si="51"/>
        <v>1</v>
      </c>
      <c r="H963" s="91">
        <v>6</v>
      </c>
      <c r="I963" s="98"/>
    </row>
    <row r="964" spans="1:9" ht="15" customHeight="1" x14ac:dyDescent="0.3">
      <c r="A964" s="91">
        <f t="shared" si="52"/>
        <v>27208</v>
      </c>
      <c r="B964" s="9" t="s">
        <v>380</v>
      </c>
      <c r="C964" s="91"/>
      <c r="D964" s="91"/>
      <c r="E964" s="16" t="s">
        <v>123</v>
      </c>
      <c r="F964" s="16" t="s">
        <v>1061</v>
      </c>
      <c r="G964" s="16">
        <f t="shared" si="51"/>
        <v>1</v>
      </c>
      <c r="H964" s="91">
        <v>6</v>
      </c>
      <c r="I964" s="98"/>
    </row>
    <row r="965" spans="1:9" ht="15" customHeight="1" x14ac:dyDescent="0.3">
      <c r="A965" s="91">
        <f t="shared" si="52"/>
        <v>27214</v>
      </c>
      <c r="B965" s="9" t="s">
        <v>381</v>
      </c>
      <c r="C965" s="91"/>
      <c r="D965" s="91"/>
      <c r="E965" s="16" t="s">
        <v>123</v>
      </c>
      <c r="F965" s="16" t="s">
        <v>1061</v>
      </c>
      <c r="G965" s="16">
        <f t="shared" si="51"/>
        <v>1</v>
      </c>
      <c r="H965" s="91">
        <v>6</v>
      </c>
      <c r="I965" s="98"/>
    </row>
    <row r="966" spans="1:9" ht="13.5" customHeight="1" x14ac:dyDescent="0.3">
      <c r="B966" s="8"/>
      <c r="E966" s="8"/>
      <c r="F966" s="8"/>
      <c r="G966" s="8"/>
    </row>
  </sheetData>
  <mergeCells count="103">
    <mergeCell ref="A2:H2"/>
    <mergeCell ref="D8:D15"/>
    <mergeCell ref="D16:D17"/>
    <mergeCell ref="C18:C20"/>
    <mergeCell ref="C21:C23"/>
    <mergeCell ref="C24:C25"/>
    <mergeCell ref="C47:C49"/>
    <mergeCell ref="D50:D51"/>
    <mergeCell ref="D52:D59"/>
    <mergeCell ref="D60:D67"/>
    <mergeCell ref="C64:C67"/>
    <mergeCell ref="D68:D75"/>
    <mergeCell ref="C72:C75"/>
    <mergeCell ref="C26:C27"/>
    <mergeCell ref="C28:C29"/>
    <mergeCell ref="D33:D37"/>
    <mergeCell ref="C41:C42"/>
    <mergeCell ref="C43:C44"/>
    <mergeCell ref="C45:C46"/>
    <mergeCell ref="C88:C91"/>
    <mergeCell ref="D88:D90"/>
    <mergeCell ref="J88:J90"/>
    <mergeCell ref="C92:C94"/>
    <mergeCell ref="D92:D115"/>
    <mergeCell ref="C95:C97"/>
    <mergeCell ref="D76:D79"/>
    <mergeCell ref="C80:C83"/>
    <mergeCell ref="D80:D83"/>
    <mergeCell ref="C84:C87"/>
    <mergeCell ref="D84:D87"/>
    <mergeCell ref="J84:J87"/>
    <mergeCell ref="C152:C153"/>
    <mergeCell ref="C154:C155"/>
    <mergeCell ref="C156:C157"/>
    <mergeCell ref="C158:C159"/>
    <mergeCell ref="C160:C161"/>
    <mergeCell ref="C162:C163"/>
    <mergeCell ref="D116:D119"/>
    <mergeCell ref="D120:D123"/>
    <mergeCell ref="A124:H124"/>
    <mergeCell ref="C143:C148"/>
    <mergeCell ref="A149:H149"/>
    <mergeCell ref="C150:C151"/>
    <mergeCell ref="C232:C234"/>
    <mergeCell ref="C235:C237"/>
    <mergeCell ref="C238:C240"/>
    <mergeCell ref="C241:C243"/>
    <mergeCell ref="C244:C247"/>
    <mergeCell ref="C248:C251"/>
    <mergeCell ref="C164:C165"/>
    <mergeCell ref="A187:H187"/>
    <mergeCell ref="A216:H216"/>
    <mergeCell ref="C222:C224"/>
    <mergeCell ref="C225:C227"/>
    <mergeCell ref="C229:C231"/>
    <mergeCell ref="C278:C280"/>
    <mergeCell ref="C281:C283"/>
    <mergeCell ref="C284:C286"/>
    <mergeCell ref="C287:C289"/>
    <mergeCell ref="C290:C292"/>
    <mergeCell ref="C293:C296"/>
    <mergeCell ref="C252:C255"/>
    <mergeCell ref="C256:C259"/>
    <mergeCell ref="C260:C263"/>
    <mergeCell ref="A264:H264"/>
    <mergeCell ref="C271:C273"/>
    <mergeCell ref="C274:C276"/>
    <mergeCell ref="J527:J538"/>
    <mergeCell ref="A540:H540"/>
    <mergeCell ref="A324:H324"/>
    <mergeCell ref="A335:H335"/>
    <mergeCell ref="A385:H385"/>
    <mergeCell ref="B389:B393"/>
    <mergeCell ref="A428:H428"/>
    <mergeCell ref="B433:B437"/>
    <mergeCell ref="C297:C300"/>
    <mergeCell ref="C301:C304"/>
    <mergeCell ref="C305:C308"/>
    <mergeCell ref="C309:C312"/>
    <mergeCell ref="A313:H313"/>
    <mergeCell ref="A590:H590"/>
    <mergeCell ref="A649:H649"/>
    <mergeCell ref="A653:H653"/>
    <mergeCell ref="A706:H706"/>
    <mergeCell ref="B711:B719"/>
    <mergeCell ref="A752:H752"/>
    <mergeCell ref="A470:H470"/>
    <mergeCell ref="A475:H475"/>
    <mergeCell ref="A516:H516"/>
    <mergeCell ref="A527:H527"/>
    <mergeCell ref="B657:B660"/>
    <mergeCell ref="A836:H836"/>
    <mergeCell ref="A842:H842"/>
    <mergeCell ref="A920:H920"/>
    <mergeCell ref="A924:H924"/>
    <mergeCell ref="A929:H929"/>
    <mergeCell ref="C930:C934"/>
    <mergeCell ref="B757:B765"/>
    <mergeCell ref="A798:H798"/>
    <mergeCell ref="A799:H799"/>
    <mergeCell ref="A820:H820"/>
    <mergeCell ref="A830:H830"/>
    <mergeCell ref="A831:H83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44" t="s">
        <v>399</v>
      </c>
      <c r="B1" s="145"/>
    </row>
    <row r="2" spans="1:2" x14ac:dyDescent="0.3">
      <c r="A2" s="1">
        <v>1</v>
      </c>
      <c r="B2" s="3" t="s">
        <v>348</v>
      </c>
    </row>
    <row r="3" spans="1:2" x14ac:dyDescent="0.3">
      <c r="A3" s="1">
        <f>A2+1</f>
        <v>2</v>
      </c>
      <c r="B3" s="3" t="s">
        <v>349</v>
      </c>
    </row>
    <row r="4" spans="1:2" x14ac:dyDescent="0.3">
      <c r="A4" s="1">
        <f t="shared" ref="A4:A23" si="0">A3+1</f>
        <v>3</v>
      </c>
      <c r="B4" s="3" t="s">
        <v>304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305</v>
      </c>
    </row>
    <row r="8" spans="1:2" x14ac:dyDescent="0.3">
      <c r="A8" s="1">
        <f t="shared" si="0"/>
        <v>7</v>
      </c>
      <c r="B8" s="3" t="s">
        <v>306</v>
      </c>
    </row>
    <row r="9" spans="1:2" x14ac:dyDescent="0.3">
      <c r="A9" s="1">
        <f t="shared" si="0"/>
        <v>8</v>
      </c>
      <c r="B9" s="3" t="s">
        <v>307</v>
      </c>
    </row>
    <row r="10" spans="1:2" x14ac:dyDescent="0.3">
      <c r="A10" s="1">
        <f t="shared" si="0"/>
        <v>9</v>
      </c>
      <c r="B10" s="3" t="s">
        <v>308</v>
      </c>
    </row>
    <row r="11" spans="1:2" x14ac:dyDescent="0.3">
      <c r="A11" s="1">
        <f t="shared" si="0"/>
        <v>10</v>
      </c>
      <c r="B11" s="3" t="s">
        <v>309</v>
      </c>
    </row>
    <row r="12" spans="1:2" x14ac:dyDescent="0.3">
      <c r="A12" s="1">
        <f t="shared" si="0"/>
        <v>11</v>
      </c>
      <c r="B12" s="3" t="s">
        <v>310</v>
      </c>
    </row>
    <row r="13" spans="1:2" x14ac:dyDescent="0.3">
      <c r="A13" s="1">
        <f t="shared" si="0"/>
        <v>12</v>
      </c>
      <c r="B13" s="3" t="s">
        <v>311</v>
      </c>
    </row>
    <row r="14" spans="1:2" x14ac:dyDescent="0.3">
      <c r="A14" s="1">
        <f t="shared" si="0"/>
        <v>13</v>
      </c>
      <c r="B14" s="3" t="s">
        <v>312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403</v>
      </c>
    </row>
    <row r="18" spans="1:2" x14ac:dyDescent="0.3">
      <c r="A18" s="1">
        <f t="shared" si="0"/>
        <v>17</v>
      </c>
      <c r="B18" s="3" t="s">
        <v>404</v>
      </c>
    </row>
    <row r="19" spans="1:2" x14ac:dyDescent="0.3">
      <c r="A19" s="1">
        <f t="shared" si="0"/>
        <v>18</v>
      </c>
      <c r="B19" s="3" t="s">
        <v>405</v>
      </c>
    </row>
    <row r="20" spans="1:2" x14ac:dyDescent="0.3">
      <c r="A20" s="1">
        <f t="shared" si="0"/>
        <v>19</v>
      </c>
      <c r="B20" s="3" t="s">
        <v>313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314</v>
      </c>
    </row>
    <row r="24" spans="1:2" x14ac:dyDescent="0.3">
      <c r="A24" s="1">
        <f t="shared" ref="A24:A87" si="1">A23+1</f>
        <v>23</v>
      </c>
      <c r="B24" s="3" t="s">
        <v>315</v>
      </c>
    </row>
    <row r="25" spans="1:2" x14ac:dyDescent="0.3">
      <c r="A25" s="1">
        <f t="shared" si="1"/>
        <v>24</v>
      </c>
      <c r="B25" s="3" t="s">
        <v>316</v>
      </c>
    </row>
    <row r="26" spans="1:2" x14ac:dyDescent="0.3">
      <c r="A26" s="1">
        <f t="shared" si="1"/>
        <v>25</v>
      </c>
      <c r="B26" s="3" t="s">
        <v>317</v>
      </c>
    </row>
    <row r="27" spans="1:2" x14ac:dyDescent="0.3">
      <c r="A27" s="1">
        <f t="shared" si="1"/>
        <v>26</v>
      </c>
      <c r="B27" s="3" t="s">
        <v>318</v>
      </c>
    </row>
    <row r="28" spans="1:2" x14ac:dyDescent="0.3">
      <c r="A28" s="1">
        <f t="shared" si="1"/>
        <v>27</v>
      </c>
      <c r="B28" s="3" t="s">
        <v>319</v>
      </c>
    </row>
    <row r="29" spans="1:2" x14ac:dyDescent="0.3">
      <c r="A29" s="1">
        <f t="shared" si="1"/>
        <v>28</v>
      </c>
      <c r="B29" s="3" t="s">
        <v>320</v>
      </c>
    </row>
    <row r="30" spans="1:2" x14ac:dyDescent="0.3">
      <c r="A30" s="1">
        <f t="shared" si="1"/>
        <v>29</v>
      </c>
      <c r="B30" s="3" t="s">
        <v>321</v>
      </c>
    </row>
    <row r="31" spans="1:2" x14ac:dyDescent="0.3">
      <c r="A31" s="1">
        <f t="shared" si="1"/>
        <v>30</v>
      </c>
      <c r="B31" s="3" t="s">
        <v>322</v>
      </c>
    </row>
    <row r="32" spans="1:2" x14ac:dyDescent="0.3">
      <c r="A32" s="1">
        <f t="shared" si="1"/>
        <v>31</v>
      </c>
      <c r="B32" s="3" t="s">
        <v>323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324</v>
      </c>
    </row>
    <row r="36" spans="1:2" x14ac:dyDescent="0.3">
      <c r="A36" s="1">
        <f t="shared" si="1"/>
        <v>35</v>
      </c>
      <c r="B36" s="3" t="s">
        <v>325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326</v>
      </c>
    </row>
    <row r="40" spans="1:2" x14ac:dyDescent="0.3">
      <c r="A40" s="1">
        <f t="shared" si="1"/>
        <v>39</v>
      </c>
      <c r="B40" s="3" t="s">
        <v>327</v>
      </c>
    </row>
    <row r="41" spans="1:2" x14ac:dyDescent="0.3">
      <c r="A41" s="1">
        <f t="shared" si="1"/>
        <v>40</v>
      </c>
      <c r="B41" s="3" t="s">
        <v>238</v>
      </c>
    </row>
    <row r="42" spans="1:2" x14ac:dyDescent="0.3">
      <c r="A42" s="1">
        <f t="shared" si="1"/>
        <v>41</v>
      </c>
      <c r="B42" s="3" t="s">
        <v>239</v>
      </c>
    </row>
    <row r="43" spans="1:2" x14ac:dyDescent="0.3">
      <c r="A43" s="1">
        <f t="shared" si="1"/>
        <v>42</v>
      </c>
      <c r="B43" s="3" t="s">
        <v>328</v>
      </c>
    </row>
    <row r="44" spans="1:2" x14ac:dyDescent="0.3">
      <c r="A44" s="1">
        <f t="shared" si="1"/>
        <v>43</v>
      </c>
      <c r="B44" s="3" t="s">
        <v>329</v>
      </c>
    </row>
    <row r="45" spans="1:2" x14ac:dyDescent="0.3">
      <c r="A45" s="1">
        <f t="shared" si="1"/>
        <v>44</v>
      </c>
      <c r="B45" s="3" t="s">
        <v>330</v>
      </c>
    </row>
    <row r="46" spans="1:2" x14ac:dyDescent="0.3">
      <c r="A46" s="1">
        <f t="shared" si="1"/>
        <v>45</v>
      </c>
      <c r="B46" s="3" t="s">
        <v>331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332</v>
      </c>
    </row>
    <row r="50" spans="1:2" x14ac:dyDescent="0.3">
      <c r="A50" s="1">
        <f t="shared" si="1"/>
        <v>49</v>
      </c>
      <c r="B50" s="3" t="s">
        <v>333</v>
      </c>
    </row>
    <row r="51" spans="1:2" x14ac:dyDescent="0.3">
      <c r="A51" s="1">
        <f t="shared" si="1"/>
        <v>50</v>
      </c>
      <c r="B51" s="3" t="s">
        <v>334</v>
      </c>
    </row>
    <row r="52" spans="1:2" x14ac:dyDescent="0.3">
      <c r="A52" s="1">
        <f t="shared" si="1"/>
        <v>51</v>
      </c>
      <c r="B52" s="3" t="s">
        <v>335</v>
      </c>
    </row>
    <row r="53" spans="1:2" x14ac:dyDescent="0.3">
      <c r="A53" s="1">
        <f t="shared" si="1"/>
        <v>52</v>
      </c>
      <c r="B53" s="3" t="s">
        <v>336</v>
      </c>
    </row>
    <row r="54" spans="1:2" x14ac:dyDescent="0.3">
      <c r="A54" s="1">
        <f t="shared" si="1"/>
        <v>53</v>
      </c>
      <c r="B54" s="3" t="s">
        <v>337</v>
      </c>
    </row>
    <row r="55" spans="1:2" x14ac:dyDescent="0.3">
      <c r="A55" s="1">
        <f t="shared" si="1"/>
        <v>54</v>
      </c>
      <c r="B55" s="3" t="s">
        <v>338</v>
      </c>
    </row>
    <row r="56" spans="1:2" x14ac:dyDescent="0.3">
      <c r="A56" s="1">
        <f t="shared" si="1"/>
        <v>55</v>
      </c>
      <c r="B56" s="3" t="s">
        <v>339</v>
      </c>
    </row>
    <row r="57" spans="1:2" x14ac:dyDescent="0.3">
      <c r="A57" s="1">
        <f t="shared" si="1"/>
        <v>56</v>
      </c>
      <c r="B57" s="3" t="s">
        <v>340</v>
      </c>
    </row>
    <row r="58" spans="1:2" x14ac:dyDescent="0.3">
      <c r="A58" s="1">
        <f t="shared" si="1"/>
        <v>57</v>
      </c>
      <c r="B58" s="3" t="s">
        <v>341</v>
      </c>
    </row>
    <row r="59" spans="1:2" x14ac:dyDescent="0.3">
      <c r="A59" s="1">
        <f t="shared" si="1"/>
        <v>58</v>
      </c>
      <c r="B59" s="3" t="s">
        <v>342</v>
      </c>
    </row>
    <row r="60" spans="1:2" x14ac:dyDescent="0.3">
      <c r="A60" s="1">
        <f t="shared" si="1"/>
        <v>59</v>
      </c>
      <c r="B60" s="3" t="s">
        <v>343</v>
      </c>
    </row>
    <row r="61" spans="1:2" x14ac:dyDescent="0.3">
      <c r="A61" s="1">
        <f t="shared" si="1"/>
        <v>60</v>
      </c>
      <c r="B61" s="3" t="s">
        <v>344</v>
      </c>
    </row>
    <row r="62" spans="1:2" x14ac:dyDescent="0.3">
      <c r="A62" s="1">
        <f t="shared" si="1"/>
        <v>61</v>
      </c>
      <c r="B62" s="3" t="s">
        <v>345</v>
      </c>
    </row>
    <row r="63" spans="1:2" x14ac:dyDescent="0.3">
      <c r="A63" s="1">
        <f t="shared" si="1"/>
        <v>62</v>
      </c>
      <c r="B63" s="3" t="s">
        <v>346</v>
      </c>
    </row>
    <row r="64" spans="1:2" x14ac:dyDescent="0.3">
      <c r="A64" s="1">
        <f t="shared" si="1"/>
        <v>63</v>
      </c>
      <c r="B64" s="3" t="s">
        <v>347</v>
      </c>
    </row>
    <row r="65" spans="1:2" x14ac:dyDescent="0.3">
      <c r="A65" s="28">
        <f t="shared" si="1"/>
        <v>64</v>
      </c>
      <c r="B65" s="7" t="s">
        <v>406</v>
      </c>
    </row>
    <row r="66" spans="1:2" x14ac:dyDescent="0.3">
      <c r="A66" s="28">
        <f t="shared" si="1"/>
        <v>65</v>
      </c>
      <c r="B66" s="7" t="s">
        <v>407</v>
      </c>
    </row>
    <row r="67" spans="1:2" x14ac:dyDescent="0.3">
      <c r="A67" s="28">
        <f t="shared" si="1"/>
        <v>66</v>
      </c>
      <c r="B67" s="7" t="s">
        <v>408</v>
      </c>
    </row>
    <row r="68" spans="1:2" x14ac:dyDescent="0.3">
      <c r="A68" s="28">
        <f t="shared" si="1"/>
        <v>67</v>
      </c>
      <c r="B68" s="7" t="s">
        <v>409</v>
      </c>
    </row>
    <row r="69" spans="1:2" x14ac:dyDescent="0.3">
      <c r="A69" s="28">
        <f t="shared" si="1"/>
        <v>68</v>
      </c>
      <c r="B69" s="7" t="s">
        <v>410</v>
      </c>
    </row>
    <row r="70" spans="1:2" x14ac:dyDescent="0.3">
      <c r="A70" s="28">
        <f t="shared" si="1"/>
        <v>69</v>
      </c>
      <c r="B70" s="7" t="s">
        <v>411</v>
      </c>
    </row>
    <row r="71" spans="1:2" x14ac:dyDescent="0.3">
      <c r="A71" s="28">
        <f t="shared" si="1"/>
        <v>70</v>
      </c>
      <c r="B71" s="5" t="s">
        <v>412</v>
      </c>
    </row>
    <row r="72" spans="1:2" x14ac:dyDescent="0.3">
      <c r="A72" s="28">
        <f t="shared" si="1"/>
        <v>71</v>
      </c>
      <c r="B72" s="5" t="s">
        <v>413</v>
      </c>
    </row>
    <row r="73" spans="1:2" x14ac:dyDescent="0.3">
      <c r="A73" s="28">
        <f t="shared" si="1"/>
        <v>72</v>
      </c>
      <c r="B73" s="5" t="s">
        <v>414</v>
      </c>
    </row>
    <row r="74" spans="1:2" x14ac:dyDescent="0.3">
      <c r="A74" s="28">
        <f t="shared" si="1"/>
        <v>73</v>
      </c>
      <c r="B74" s="5" t="s">
        <v>415</v>
      </c>
    </row>
    <row r="75" spans="1:2" x14ac:dyDescent="0.3">
      <c r="A75" s="28">
        <f t="shared" si="1"/>
        <v>74</v>
      </c>
      <c r="B75" s="5" t="s">
        <v>416</v>
      </c>
    </row>
    <row r="76" spans="1:2" x14ac:dyDescent="0.3">
      <c r="A76" s="28">
        <f t="shared" si="1"/>
        <v>75</v>
      </c>
      <c r="B76" s="5" t="s">
        <v>417</v>
      </c>
    </row>
    <row r="77" spans="1:2" x14ac:dyDescent="0.3">
      <c r="A77" s="28">
        <f t="shared" si="1"/>
        <v>76</v>
      </c>
      <c r="B77" s="5" t="s">
        <v>418</v>
      </c>
    </row>
    <row r="78" spans="1:2" x14ac:dyDescent="0.3">
      <c r="A78" s="28">
        <f t="shared" si="1"/>
        <v>77</v>
      </c>
      <c r="B78" s="5" t="s">
        <v>419</v>
      </c>
    </row>
    <row r="79" spans="1:2" x14ac:dyDescent="0.3">
      <c r="A79" s="28">
        <f t="shared" si="1"/>
        <v>78</v>
      </c>
      <c r="B79" s="5" t="s">
        <v>420</v>
      </c>
    </row>
    <row r="80" spans="1:2" x14ac:dyDescent="0.3">
      <c r="A80" s="28">
        <f t="shared" si="1"/>
        <v>79</v>
      </c>
      <c r="B80" s="5" t="s">
        <v>421</v>
      </c>
    </row>
    <row r="81" spans="1:2" x14ac:dyDescent="0.3">
      <c r="A81" s="28">
        <f t="shared" si="1"/>
        <v>80</v>
      </c>
      <c r="B81" s="5" t="s">
        <v>422</v>
      </c>
    </row>
    <row r="82" spans="1:2" x14ac:dyDescent="0.3">
      <c r="A82" s="28">
        <f t="shared" si="1"/>
        <v>81</v>
      </c>
      <c r="B82" s="5" t="s">
        <v>423</v>
      </c>
    </row>
    <row r="83" spans="1:2" x14ac:dyDescent="0.3">
      <c r="A83" s="28">
        <f t="shared" si="1"/>
        <v>82</v>
      </c>
      <c r="B83" s="5" t="s">
        <v>424</v>
      </c>
    </row>
    <row r="84" spans="1:2" x14ac:dyDescent="0.3">
      <c r="A84" s="28">
        <f t="shared" si="1"/>
        <v>83</v>
      </c>
      <c r="B84" s="5" t="s">
        <v>425</v>
      </c>
    </row>
    <row r="85" spans="1:2" x14ac:dyDescent="0.3">
      <c r="A85" s="28">
        <f t="shared" si="1"/>
        <v>84</v>
      </c>
      <c r="B85" s="5" t="s">
        <v>426</v>
      </c>
    </row>
    <row r="86" spans="1:2" x14ac:dyDescent="0.3">
      <c r="A86" s="28">
        <f t="shared" si="1"/>
        <v>85</v>
      </c>
      <c r="B86" s="5" t="s">
        <v>427</v>
      </c>
    </row>
    <row r="87" spans="1:2" x14ac:dyDescent="0.3">
      <c r="A87" s="28">
        <f t="shared" si="1"/>
        <v>86</v>
      </c>
      <c r="B87" s="5" t="s">
        <v>428</v>
      </c>
    </row>
    <row r="88" spans="1:2" x14ac:dyDescent="0.3">
      <c r="A88" s="28">
        <f>A87+1</f>
        <v>87</v>
      </c>
      <c r="B88" s="5" t="s">
        <v>429</v>
      </c>
    </row>
    <row r="89" spans="1:2" x14ac:dyDescent="0.3">
      <c r="A89" s="28">
        <f>A88+1</f>
        <v>88</v>
      </c>
      <c r="B89" s="5" t="s">
        <v>430</v>
      </c>
    </row>
    <row r="90" spans="1:2" x14ac:dyDescent="0.3">
      <c r="A90" s="28">
        <f>A89+1</f>
        <v>89</v>
      </c>
      <c r="B90" s="5" t="s">
        <v>431</v>
      </c>
    </row>
    <row r="91" spans="1:2" x14ac:dyDescent="0.3">
      <c r="A91" s="28">
        <f>A90+1</f>
        <v>90</v>
      </c>
      <c r="B91" s="5" t="s">
        <v>432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ToDo&amp;Log</vt:lpstr>
      <vt:lpstr>#1,2,3 Simple</vt:lpstr>
      <vt:lpstr>common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2026-06-08T06:58:33Z</dcterms:modified>
</cp:coreProperties>
</file>