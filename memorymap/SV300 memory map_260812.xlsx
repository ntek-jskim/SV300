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ECT\SV300\memorymap\"/>
    </mc:Choice>
  </mc:AlternateContent>
  <xr:revisionPtr revIDLastSave="0" documentId="13_ncr:1_{EB768B5D-635E-4225-BEEE-B919019B0F3E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ToDo&amp;Log" sheetId="17" r:id="rId1"/>
    <sheet name="#1,2,3 Simple" sheetId="32" r:id="rId2"/>
    <sheet name="common" sheetId="35" r:id="rId3"/>
    <sheet name="#1CH modbus" sheetId="1" r:id="rId4"/>
    <sheet name="#2CH modbus" sheetId="33" r:id="rId5"/>
    <sheet name="#3CH modbus" sheetId="34" r:id="rId6"/>
    <sheet name="Alarm Channel" sheetId="1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4" i="35" l="1"/>
  <c r="A35" i="35" s="1"/>
  <c r="A36" i="35" s="1"/>
  <c r="G35" i="35"/>
  <c r="G128" i="35"/>
  <c r="G20" i="35"/>
  <c r="A34" i="32" l="1"/>
  <c r="A35" i="32" s="1"/>
  <c r="A36" i="32" s="1"/>
  <c r="A37" i="32" s="1"/>
  <c r="A38" i="32" s="1"/>
  <c r="A39" i="32" s="1"/>
  <c r="A40" i="32" s="1"/>
  <c r="G969" i="34" l="1"/>
  <c r="G968" i="34"/>
  <c r="G967" i="34"/>
  <c r="G966" i="34"/>
  <c r="G965" i="34"/>
  <c r="G964" i="34"/>
  <c r="G963" i="34"/>
  <c r="G962" i="34"/>
  <c r="G961" i="34"/>
  <c r="G960" i="34"/>
  <c r="G959" i="34"/>
  <c r="G958" i="34"/>
  <c r="G957" i="34"/>
  <c r="G956" i="34"/>
  <c r="G955" i="34"/>
  <c r="G954" i="34"/>
  <c r="G953" i="34"/>
  <c r="G952" i="34"/>
  <c r="G951" i="34"/>
  <c r="G950" i="34"/>
  <c r="G949" i="34"/>
  <c r="G948" i="34"/>
  <c r="G947" i="34"/>
  <c r="G946" i="34"/>
  <c r="G945" i="34"/>
  <c r="G944" i="34"/>
  <c r="G943" i="34"/>
  <c r="G942" i="34"/>
  <c r="G941" i="34"/>
  <c r="G940" i="34"/>
  <c r="G939" i="34"/>
  <c r="G938" i="34"/>
  <c r="G937" i="34"/>
  <c r="G936" i="34"/>
  <c r="G935" i="34"/>
  <c r="G934" i="34"/>
  <c r="G932" i="34"/>
  <c r="G931" i="34"/>
  <c r="G930" i="34"/>
  <c r="G929" i="34"/>
  <c r="G927" i="34"/>
  <c r="G926" i="34"/>
  <c r="G925" i="34"/>
  <c r="G923" i="34"/>
  <c r="G922" i="34"/>
  <c r="G921" i="34"/>
  <c r="G920" i="34"/>
  <c r="G919" i="34"/>
  <c r="G918" i="34"/>
  <c r="G917" i="34"/>
  <c r="G916" i="34"/>
  <c r="G915" i="34"/>
  <c r="G914" i="34"/>
  <c r="G913" i="34"/>
  <c r="G912" i="34"/>
  <c r="G911" i="34"/>
  <c r="G910" i="34"/>
  <c r="G909" i="34"/>
  <c r="G908" i="34"/>
  <c r="G907" i="34"/>
  <c r="G906" i="34"/>
  <c r="G905" i="34"/>
  <c r="G904" i="34"/>
  <c r="G903" i="34"/>
  <c r="G902" i="34"/>
  <c r="G901" i="34"/>
  <c r="G900" i="34"/>
  <c r="G899" i="34"/>
  <c r="G898" i="34"/>
  <c r="G897" i="34"/>
  <c r="G896" i="34"/>
  <c r="G895" i="34"/>
  <c r="G894" i="34"/>
  <c r="G893" i="34"/>
  <c r="G892" i="34"/>
  <c r="G891" i="34"/>
  <c r="G890" i="34"/>
  <c r="G889" i="34"/>
  <c r="G888" i="34"/>
  <c r="G887" i="34"/>
  <c r="G886" i="34"/>
  <c r="G885" i="34"/>
  <c r="G884" i="34"/>
  <c r="G883" i="34"/>
  <c r="G882" i="34"/>
  <c r="G881" i="34"/>
  <c r="G880" i="34"/>
  <c r="G879" i="34"/>
  <c r="G878" i="34"/>
  <c r="G877" i="34"/>
  <c r="G876" i="34"/>
  <c r="G875" i="34"/>
  <c r="G874" i="34"/>
  <c r="G873" i="34"/>
  <c r="G872" i="34"/>
  <c r="G871" i="34"/>
  <c r="G870" i="34"/>
  <c r="G869" i="34"/>
  <c r="G868" i="34"/>
  <c r="G867" i="34"/>
  <c r="G866" i="34"/>
  <c r="G865" i="34"/>
  <c r="G864" i="34"/>
  <c r="G863" i="34"/>
  <c r="G862" i="34"/>
  <c r="G861" i="34"/>
  <c r="G860" i="34"/>
  <c r="G859" i="34"/>
  <c r="G858" i="34"/>
  <c r="G857" i="34"/>
  <c r="G856" i="34"/>
  <c r="G855" i="34"/>
  <c r="G854" i="34"/>
  <c r="G853" i="34"/>
  <c r="G852" i="34"/>
  <c r="G851" i="34"/>
  <c r="G850" i="34"/>
  <c r="G849" i="34"/>
  <c r="G848" i="34"/>
  <c r="G847" i="34"/>
  <c r="G845" i="34"/>
  <c r="G844" i="34"/>
  <c r="G843" i="34"/>
  <c r="G842" i="34"/>
  <c r="G841" i="34"/>
  <c r="G839" i="34"/>
  <c r="G838" i="34"/>
  <c r="G837" i="34"/>
  <c r="G836" i="34"/>
  <c r="G833" i="34"/>
  <c r="G832" i="34"/>
  <c r="G831" i="34"/>
  <c r="G830" i="34"/>
  <c r="G829" i="34"/>
  <c r="G828" i="34"/>
  <c r="G827" i="34"/>
  <c r="G826" i="34"/>
  <c r="G825" i="34"/>
  <c r="G823" i="34"/>
  <c r="G822" i="34"/>
  <c r="G821" i="34"/>
  <c r="G820" i="34"/>
  <c r="G819" i="34"/>
  <c r="G818" i="34"/>
  <c r="G817" i="34"/>
  <c r="G816" i="34"/>
  <c r="G815" i="34"/>
  <c r="G814" i="34"/>
  <c r="G813" i="34"/>
  <c r="G812" i="34"/>
  <c r="G811" i="34"/>
  <c r="G810" i="34"/>
  <c r="G809" i="34"/>
  <c r="G808" i="34"/>
  <c r="G807" i="34"/>
  <c r="G806" i="34"/>
  <c r="G805" i="34"/>
  <c r="G804" i="34"/>
  <c r="G769" i="34"/>
  <c r="G768" i="34"/>
  <c r="G767" i="34"/>
  <c r="G766" i="34"/>
  <c r="G765" i="34"/>
  <c r="G764" i="34"/>
  <c r="G763" i="34"/>
  <c r="G762" i="34"/>
  <c r="G761" i="34"/>
  <c r="G760" i="34"/>
  <c r="G759" i="34"/>
  <c r="G758" i="34"/>
  <c r="G757" i="34"/>
  <c r="G723" i="34"/>
  <c r="G722" i="34"/>
  <c r="G721" i="34"/>
  <c r="G720" i="34"/>
  <c r="G719" i="34"/>
  <c r="G718" i="34"/>
  <c r="G717" i="34"/>
  <c r="G716" i="34"/>
  <c r="G715" i="34"/>
  <c r="G714" i="34"/>
  <c r="G713" i="34"/>
  <c r="G712" i="34"/>
  <c r="G711" i="34"/>
  <c r="G709" i="34"/>
  <c r="G708" i="34"/>
  <c r="G707" i="34"/>
  <c r="G705" i="34"/>
  <c r="G704" i="34"/>
  <c r="G703" i="34"/>
  <c r="G702" i="34"/>
  <c r="G701" i="34"/>
  <c r="G700" i="34"/>
  <c r="G699" i="34"/>
  <c r="G698" i="34"/>
  <c r="G697" i="34"/>
  <c r="G696" i="34"/>
  <c r="G695" i="34"/>
  <c r="G694" i="34"/>
  <c r="G693" i="34"/>
  <c r="G692" i="34"/>
  <c r="G691" i="34"/>
  <c r="G690" i="34"/>
  <c r="G689" i="34"/>
  <c r="G688" i="34"/>
  <c r="G687" i="34"/>
  <c r="G686" i="34"/>
  <c r="G685" i="34"/>
  <c r="G684" i="34"/>
  <c r="G683" i="34"/>
  <c r="G682" i="34"/>
  <c r="G681" i="34"/>
  <c r="G680" i="34"/>
  <c r="G679" i="34"/>
  <c r="G678" i="34"/>
  <c r="G677" i="34"/>
  <c r="G676" i="34"/>
  <c r="G675" i="34"/>
  <c r="G674" i="34"/>
  <c r="G673" i="34"/>
  <c r="G672" i="34"/>
  <c r="G671" i="34"/>
  <c r="G670" i="34"/>
  <c r="G669" i="34"/>
  <c r="G668" i="34"/>
  <c r="G667" i="34"/>
  <c r="G666" i="34"/>
  <c r="G665" i="34"/>
  <c r="G664" i="34"/>
  <c r="G663" i="34"/>
  <c r="G662" i="34"/>
  <c r="G661" i="34"/>
  <c r="G660" i="34"/>
  <c r="G659" i="34"/>
  <c r="G658" i="34"/>
  <c r="G657" i="34"/>
  <c r="G656" i="34"/>
  <c r="G655" i="34"/>
  <c r="G654" i="34"/>
  <c r="G653" i="34"/>
  <c r="G652" i="34"/>
  <c r="G651" i="34"/>
  <c r="G650" i="34"/>
  <c r="G649" i="34"/>
  <c r="G648" i="34"/>
  <c r="G646" i="34"/>
  <c r="G645" i="34"/>
  <c r="G644" i="34"/>
  <c r="G643" i="34"/>
  <c r="G642" i="34"/>
  <c r="G641" i="34"/>
  <c r="G640" i="34"/>
  <c r="G639" i="34"/>
  <c r="G638" i="34"/>
  <c r="G637" i="34"/>
  <c r="G636" i="34"/>
  <c r="G635" i="34"/>
  <c r="G634" i="34"/>
  <c r="G633" i="34"/>
  <c r="G632" i="34"/>
  <c r="G631" i="34"/>
  <c r="G630" i="34"/>
  <c r="G629" i="34"/>
  <c r="G628" i="34"/>
  <c r="G627" i="34"/>
  <c r="G626" i="34"/>
  <c r="G625" i="34"/>
  <c r="G624" i="34"/>
  <c r="G623" i="34"/>
  <c r="G622" i="34"/>
  <c r="G621" i="34"/>
  <c r="G620" i="34"/>
  <c r="G619" i="34"/>
  <c r="G618" i="34"/>
  <c r="G617" i="34"/>
  <c r="G616" i="34"/>
  <c r="G615" i="34"/>
  <c r="G614" i="34"/>
  <c r="G613" i="34"/>
  <c r="G612" i="34"/>
  <c r="G611" i="34"/>
  <c r="G610" i="34"/>
  <c r="G609" i="34"/>
  <c r="G608" i="34"/>
  <c r="G607" i="34"/>
  <c r="G606" i="34"/>
  <c r="G605" i="34"/>
  <c r="G604" i="34"/>
  <c r="G603" i="34"/>
  <c r="G602" i="34"/>
  <c r="G601" i="34"/>
  <c r="G600" i="34"/>
  <c r="G599" i="34"/>
  <c r="G598" i="34"/>
  <c r="G596" i="34"/>
  <c r="G595" i="34"/>
  <c r="G594" i="34"/>
  <c r="G593" i="34"/>
  <c r="G592" i="34"/>
  <c r="G591" i="34"/>
  <c r="G590" i="34"/>
  <c r="G589" i="34"/>
  <c r="G588" i="34"/>
  <c r="G587" i="34"/>
  <c r="G586" i="34"/>
  <c r="G585" i="34"/>
  <c r="G583" i="34"/>
  <c r="G582" i="34"/>
  <c r="G581" i="34"/>
  <c r="G580" i="34"/>
  <c r="G579" i="34"/>
  <c r="G578" i="34"/>
  <c r="G577" i="34"/>
  <c r="G576" i="34"/>
  <c r="G575" i="34"/>
  <c r="G574" i="34"/>
  <c r="G572" i="34"/>
  <c r="G571" i="34"/>
  <c r="G570" i="34"/>
  <c r="G569" i="34"/>
  <c r="G568" i="34"/>
  <c r="G567" i="34"/>
  <c r="G566" i="34"/>
  <c r="G565" i="34"/>
  <c r="G564" i="34"/>
  <c r="G563" i="34"/>
  <c r="G562" i="34"/>
  <c r="G561" i="34"/>
  <c r="G560" i="34"/>
  <c r="G559" i="34"/>
  <c r="G558" i="34"/>
  <c r="G557" i="34"/>
  <c r="G556" i="34"/>
  <c r="G555" i="34"/>
  <c r="G554" i="34"/>
  <c r="G553" i="34"/>
  <c r="G552" i="34"/>
  <c r="G551" i="34"/>
  <c r="G550" i="34"/>
  <c r="G549" i="34"/>
  <c r="G548" i="34"/>
  <c r="G547" i="34"/>
  <c r="G546" i="34"/>
  <c r="G545" i="34"/>
  <c r="G544" i="34"/>
  <c r="G543" i="34"/>
  <c r="G542" i="34"/>
  <c r="G541" i="34"/>
  <c r="G540" i="34"/>
  <c r="G539" i="34"/>
  <c r="G538" i="34"/>
  <c r="G537" i="34"/>
  <c r="G536" i="34"/>
  <c r="G535" i="34"/>
  <c r="G534" i="34"/>
  <c r="G533" i="34"/>
  <c r="G531" i="34"/>
  <c r="G530" i="34"/>
  <c r="G529" i="34"/>
  <c r="G528" i="34"/>
  <c r="G526" i="34"/>
  <c r="G525" i="34"/>
  <c r="G524" i="34"/>
  <c r="G523" i="34"/>
  <c r="G522" i="34"/>
  <c r="G521" i="34"/>
  <c r="G520" i="34"/>
  <c r="G519" i="34"/>
  <c r="G518" i="34"/>
  <c r="G517" i="34"/>
  <c r="G516" i="34"/>
  <c r="G515" i="34"/>
  <c r="G514" i="34"/>
  <c r="G513" i="34"/>
  <c r="G512" i="34"/>
  <c r="G511" i="34"/>
  <c r="G510" i="34"/>
  <c r="G509" i="34"/>
  <c r="G508" i="34"/>
  <c r="G507" i="34"/>
  <c r="G506" i="34"/>
  <c r="G505" i="34"/>
  <c r="G504" i="34"/>
  <c r="G503" i="34"/>
  <c r="G502" i="34"/>
  <c r="G501" i="34"/>
  <c r="G500" i="34"/>
  <c r="G499" i="34"/>
  <c r="G498" i="34"/>
  <c r="G497" i="34"/>
  <c r="G496" i="34"/>
  <c r="G495" i="34"/>
  <c r="G494" i="34"/>
  <c r="G493" i="34"/>
  <c r="G492" i="34"/>
  <c r="G490" i="34"/>
  <c r="G489" i="34"/>
  <c r="G488" i="34"/>
  <c r="G487" i="34"/>
  <c r="G486" i="34"/>
  <c r="G484" i="34"/>
  <c r="G483" i="34"/>
  <c r="G482" i="34"/>
  <c r="G481" i="34"/>
  <c r="G480" i="34"/>
  <c r="G479" i="34"/>
  <c r="G478" i="34"/>
  <c r="G477" i="34"/>
  <c r="G476" i="34"/>
  <c r="G475" i="34"/>
  <c r="G474" i="34"/>
  <c r="G473" i="34"/>
  <c r="G472" i="34"/>
  <c r="G471" i="34"/>
  <c r="G470" i="34"/>
  <c r="G469" i="34"/>
  <c r="G468" i="34"/>
  <c r="G467" i="34"/>
  <c r="G466" i="34"/>
  <c r="G465" i="34"/>
  <c r="G464" i="34"/>
  <c r="G463" i="34"/>
  <c r="G462" i="34"/>
  <c r="G461" i="34"/>
  <c r="G460" i="34"/>
  <c r="G459" i="34"/>
  <c r="G458" i="34"/>
  <c r="G457" i="34"/>
  <c r="G456" i="34"/>
  <c r="G455" i="34"/>
  <c r="G454" i="34"/>
  <c r="G453" i="34"/>
  <c r="G452" i="34"/>
  <c r="G451" i="34"/>
  <c r="G450" i="34"/>
  <c r="G449" i="34"/>
  <c r="G448" i="34"/>
  <c r="G447" i="34"/>
  <c r="G446" i="34"/>
  <c r="G445" i="34"/>
  <c r="G444" i="34"/>
  <c r="G443" i="34"/>
  <c r="G441" i="34"/>
  <c r="G440" i="34"/>
  <c r="G439" i="34"/>
  <c r="G438" i="34"/>
  <c r="G437" i="34"/>
  <c r="G436" i="34"/>
  <c r="G435" i="34"/>
  <c r="G434" i="34"/>
  <c r="G433" i="34"/>
  <c r="G432" i="34"/>
  <c r="G431" i="34"/>
  <c r="G430" i="34"/>
  <c r="G429" i="34"/>
  <c r="G428" i="34"/>
  <c r="G427" i="34"/>
  <c r="G426" i="34"/>
  <c r="G425" i="34"/>
  <c r="G424" i="34"/>
  <c r="G423" i="34"/>
  <c r="G422" i="34"/>
  <c r="G421" i="34"/>
  <c r="G420" i="34"/>
  <c r="G419" i="34"/>
  <c r="G418" i="34"/>
  <c r="G417" i="34"/>
  <c r="G416" i="34"/>
  <c r="G415" i="34"/>
  <c r="G414" i="34"/>
  <c r="G413" i="34"/>
  <c r="G412" i="34"/>
  <c r="G411" i="34"/>
  <c r="G410" i="34"/>
  <c r="G409" i="34"/>
  <c r="G408" i="34"/>
  <c r="G407" i="34"/>
  <c r="G406" i="34"/>
  <c r="G405" i="34"/>
  <c r="G404" i="34"/>
  <c r="G403" i="34"/>
  <c r="G402" i="34"/>
  <c r="G401" i="34"/>
  <c r="G400" i="34"/>
  <c r="G399" i="34"/>
  <c r="G398" i="34"/>
  <c r="G397" i="34"/>
  <c r="G392" i="34"/>
  <c r="G391" i="34"/>
  <c r="G390" i="34"/>
  <c r="G388" i="34"/>
  <c r="G387" i="34"/>
  <c r="G386" i="34"/>
  <c r="G385" i="34"/>
  <c r="G384" i="34"/>
  <c r="G383" i="34"/>
  <c r="G382" i="34"/>
  <c r="G381" i="34"/>
  <c r="G380" i="34"/>
  <c r="G379" i="34"/>
  <c r="G377" i="34"/>
  <c r="G376" i="34"/>
  <c r="G375" i="34"/>
  <c r="G374" i="34"/>
  <c r="G373" i="34"/>
  <c r="G372" i="34"/>
  <c r="G371" i="34"/>
  <c r="G370" i="34"/>
  <c r="G369" i="34"/>
  <c r="G368" i="34"/>
  <c r="G366" i="34"/>
  <c r="G365" i="34"/>
  <c r="G364" i="34"/>
  <c r="G363" i="34"/>
  <c r="G362" i="34"/>
  <c r="G361" i="34"/>
  <c r="G360" i="34"/>
  <c r="G359" i="34"/>
  <c r="G358" i="34"/>
  <c r="G357" i="34"/>
  <c r="G356" i="34"/>
  <c r="G355" i="34"/>
  <c r="G354" i="34"/>
  <c r="G353" i="34"/>
  <c r="G352" i="34"/>
  <c r="G351" i="34"/>
  <c r="G350" i="34"/>
  <c r="G349" i="34"/>
  <c r="G348" i="34"/>
  <c r="G347" i="34"/>
  <c r="G346" i="34"/>
  <c r="G345" i="34"/>
  <c r="G344" i="34"/>
  <c r="G343" i="34"/>
  <c r="G342" i="34"/>
  <c r="G341" i="34"/>
  <c r="G340" i="34"/>
  <c r="G339" i="34"/>
  <c r="G338" i="34"/>
  <c r="G337" i="34"/>
  <c r="G336" i="34"/>
  <c r="G335" i="34"/>
  <c r="G334" i="34"/>
  <c r="G333" i="34"/>
  <c r="G332" i="34"/>
  <c r="G331" i="34"/>
  <c r="G330" i="34"/>
  <c r="G329" i="34"/>
  <c r="G328" i="34"/>
  <c r="G327" i="34"/>
  <c r="G326" i="34"/>
  <c r="G325" i="34"/>
  <c r="G324" i="34"/>
  <c r="G323" i="34"/>
  <c r="G322" i="34"/>
  <c r="G321" i="34"/>
  <c r="G320" i="34"/>
  <c r="G319" i="34"/>
  <c r="G273" i="34"/>
  <c r="G272" i="34"/>
  <c r="G271" i="34"/>
  <c r="G240" i="34"/>
  <c r="G239" i="34"/>
  <c r="G238" i="34"/>
  <c r="G237" i="34"/>
  <c r="G236" i="34"/>
  <c r="G235" i="34"/>
  <c r="G234" i="34"/>
  <c r="G233" i="34"/>
  <c r="G232" i="34"/>
  <c r="G231" i="34"/>
  <c r="G230" i="34"/>
  <c r="G229" i="34"/>
  <c r="G228" i="34"/>
  <c r="G227" i="34"/>
  <c r="G226" i="34"/>
  <c r="G225" i="34"/>
  <c r="G224" i="34"/>
  <c r="G223" i="34"/>
  <c r="G222" i="34"/>
  <c r="G221" i="34"/>
  <c r="G220" i="34"/>
  <c r="G219" i="34"/>
  <c r="G218" i="34"/>
  <c r="G217" i="34"/>
  <c r="G216" i="34"/>
  <c r="G215" i="34"/>
  <c r="G214" i="34"/>
  <c r="G213" i="34"/>
  <c r="G212" i="34"/>
  <c r="G211" i="34"/>
  <c r="G210" i="34"/>
  <c r="G209" i="34"/>
  <c r="G208" i="34"/>
  <c r="G207" i="34"/>
  <c r="G206" i="34"/>
  <c r="G205" i="34"/>
  <c r="G204" i="34"/>
  <c r="G202" i="34"/>
  <c r="G201" i="34"/>
  <c r="G200" i="34"/>
  <c r="G199" i="34"/>
  <c r="G198" i="34"/>
  <c r="G197" i="34"/>
  <c r="G196" i="34"/>
  <c r="G195" i="34"/>
  <c r="G194" i="34"/>
  <c r="G193" i="34"/>
  <c r="G192" i="34"/>
  <c r="G191" i="34"/>
  <c r="G190" i="34"/>
  <c r="G189" i="34"/>
  <c r="G188" i="34"/>
  <c r="G187" i="34"/>
  <c r="G186" i="34"/>
  <c r="G185" i="34"/>
  <c r="G184" i="34"/>
  <c r="G183" i="34"/>
  <c r="G182" i="34"/>
  <c r="G181" i="34"/>
  <c r="G180" i="34"/>
  <c r="G179" i="34"/>
  <c r="G178" i="34"/>
  <c r="G177" i="34"/>
  <c r="G176" i="34"/>
  <c r="G175" i="34"/>
  <c r="G174" i="34"/>
  <c r="G173" i="34"/>
  <c r="G172" i="34"/>
  <c r="G171" i="34"/>
  <c r="G170" i="34"/>
  <c r="G169" i="34"/>
  <c r="G168" i="34"/>
  <c r="G167" i="34"/>
  <c r="G166" i="34"/>
  <c r="G165" i="34"/>
  <c r="G164" i="34"/>
  <c r="G163" i="34"/>
  <c r="G162" i="34"/>
  <c r="G161" i="34"/>
  <c r="G160" i="34"/>
  <c r="G159" i="34"/>
  <c r="G158" i="34"/>
  <c r="G157" i="34"/>
  <c r="G156" i="34"/>
  <c r="G155" i="34"/>
  <c r="G154" i="34"/>
  <c r="G153" i="34"/>
  <c r="G152" i="34"/>
  <c r="G151" i="34"/>
  <c r="G150" i="34"/>
  <c r="G149" i="34"/>
  <c r="G148" i="34"/>
  <c r="G147" i="34"/>
  <c r="G146" i="34"/>
  <c r="G145" i="34"/>
  <c r="G144" i="34"/>
  <c r="G143" i="34"/>
  <c r="G142" i="34"/>
  <c r="G141" i="34"/>
  <c r="G140" i="34"/>
  <c r="G139" i="34"/>
  <c r="G138" i="34"/>
  <c r="G137" i="34"/>
  <c r="G136" i="34"/>
  <c r="G135" i="34"/>
  <c r="G134" i="34"/>
  <c r="G133" i="34"/>
  <c r="G132" i="34"/>
  <c r="G131" i="34"/>
  <c r="G130" i="34"/>
  <c r="G129" i="34"/>
  <c r="G128" i="34"/>
  <c r="G127" i="34"/>
  <c r="G126" i="34"/>
  <c r="G125" i="34"/>
  <c r="G123" i="34"/>
  <c r="G122" i="34"/>
  <c r="G121" i="34"/>
  <c r="G120" i="34"/>
  <c r="G119" i="34"/>
  <c r="G118" i="34"/>
  <c r="G117" i="34"/>
  <c r="G116" i="34"/>
  <c r="G115" i="34"/>
  <c r="G114" i="34"/>
  <c r="G113" i="34"/>
  <c r="G112" i="34"/>
  <c r="G111" i="34"/>
  <c r="G110" i="34"/>
  <c r="G109" i="34"/>
  <c r="G108" i="34"/>
  <c r="G107" i="34"/>
  <c r="G106" i="34"/>
  <c r="G105" i="34"/>
  <c r="G104" i="34"/>
  <c r="G103" i="34"/>
  <c r="G102" i="34"/>
  <c r="G101" i="34"/>
  <c r="G100" i="34"/>
  <c r="G99" i="34"/>
  <c r="G98" i="34"/>
  <c r="G97" i="34"/>
  <c r="G96" i="34"/>
  <c r="G95" i="34"/>
  <c r="G94" i="34"/>
  <c r="G93" i="34"/>
  <c r="G92" i="34"/>
  <c r="G91" i="34"/>
  <c r="G90" i="34"/>
  <c r="G89" i="34"/>
  <c r="G88" i="34"/>
  <c r="G87" i="34"/>
  <c r="G86" i="34"/>
  <c r="G85" i="34"/>
  <c r="G84" i="34"/>
  <c r="G83" i="34"/>
  <c r="G82" i="34"/>
  <c r="G81" i="34"/>
  <c r="G80" i="34"/>
  <c r="G79" i="34"/>
  <c r="G78" i="34"/>
  <c r="G77" i="34"/>
  <c r="G76" i="34"/>
  <c r="G75" i="34"/>
  <c r="G74" i="34"/>
  <c r="G73" i="34"/>
  <c r="G72" i="34"/>
  <c r="G71" i="34"/>
  <c r="G70" i="34"/>
  <c r="G69" i="34"/>
  <c r="G68" i="34"/>
  <c r="G67" i="34"/>
  <c r="G66" i="34"/>
  <c r="G65" i="34"/>
  <c r="G64" i="34"/>
  <c r="G63" i="34"/>
  <c r="G62" i="34"/>
  <c r="G61" i="34"/>
  <c r="G60" i="34"/>
  <c r="G59" i="34"/>
  <c r="G58" i="34"/>
  <c r="G57" i="34"/>
  <c r="G56" i="34"/>
  <c r="G55" i="34"/>
  <c r="G54" i="34"/>
  <c r="G53" i="34"/>
  <c r="G52" i="34"/>
  <c r="G51" i="34"/>
  <c r="G50" i="34"/>
  <c r="G49" i="34"/>
  <c r="G48" i="34"/>
  <c r="G47" i="34"/>
  <c r="G46" i="34"/>
  <c r="G45" i="34"/>
  <c r="G44" i="34"/>
  <c r="G43" i="34"/>
  <c r="G42" i="34"/>
  <c r="G41" i="34"/>
  <c r="G40" i="34"/>
  <c r="G39" i="34"/>
  <c r="G38" i="34"/>
  <c r="G37" i="34"/>
  <c r="G36" i="34"/>
  <c r="G35" i="34"/>
  <c r="G34" i="34"/>
  <c r="G33" i="34"/>
  <c r="G32" i="34"/>
  <c r="G31" i="34"/>
  <c r="G30" i="34"/>
  <c r="G29" i="34"/>
  <c r="G28" i="34"/>
  <c r="G27" i="34"/>
  <c r="G26" i="34"/>
  <c r="G25" i="34"/>
  <c r="G24" i="34"/>
  <c r="G23" i="34"/>
  <c r="G22" i="34"/>
  <c r="G21" i="34"/>
  <c r="G20" i="34"/>
  <c r="G19" i="34"/>
  <c r="G18" i="34"/>
  <c r="G17" i="34"/>
  <c r="G16" i="34"/>
  <c r="G15" i="34"/>
  <c r="G14" i="34"/>
  <c r="G13" i="34"/>
  <c r="G12" i="34"/>
  <c r="G11" i="34"/>
  <c r="G10" i="34"/>
  <c r="G9" i="34"/>
  <c r="G8" i="34"/>
  <c r="G7" i="34"/>
  <c r="G6" i="34"/>
  <c r="G3" i="34"/>
  <c r="A4" i="34" s="1"/>
  <c r="A5" i="34" s="1"/>
  <c r="A6" i="34" s="1"/>
  <c r="A7" i="34" s="1"/>
  <c r="A8" i="34" s="1"/>
  <c r="A9" i="34" s="1"/>
  <c r="A10" i="34" s="1"/>
  <c r="A11" i="34" s="1"/>
  <c r="A12" i="34" s="1"/>
  <c r="A13" i="34" s="1"/>
  <c r="A14" i="34" s="1"/>
  <c r="A15" i="34" s="1"/>
  <c r="A16" i="34" s="1"/>
  <c r="A17" i="34" s="1"/>
  <c r="A18" i="34" s="1"/>
  <c r="A19" i="34" s="1"/>
  <c r="A20" i="34" s="1"/>
  <c r="A21" i="34" s="1"/>
  <c r="A22" i="34" s="1"/>
  <c r="A23" i="34" s="1"/>
  <c r="A24" i="34" s="1"/>
  <c r="A25" i="34" s="1"/>
  <c r="A26" i="34" s="1"/>
  <c r="A27" i="34" s="1"/>
  <c r="A28" i="34" s="1"/>
  <c r="A29" i="34" s="1"/>
  <c r="A30" i="34" s="1"/>
  <c r="A31" i="34" s="1"/>
  <c r="A32" i="34" s="1"/>
  <c r="A33" i="34" s="1"/>
  <c r="A34" i="34" s="1"/>
  <c r="A35" i="34" s="1"/>
  <c r="A36" i="34" s="1"/>
  <c r="A37" i="34" s="1"/>
  <c r="A38" i="34" s="1"/>
  <c r="A39" i="34" s="1"/>
  <c r="A40" i="34" s="1"/>
  <c r="A41" i="34" s="1"/>
  <c r="A42" i="34" s="1"/>
  <c r="A43" i="34" s="1"/>
  <c r="A44" i="34" s="1"/>
  <c r="A45" i="34" s="1"/>
  <c r="A46" i="34" s="1"/>
  <c r="A47" i="34" s="1"/>
  <c r="A48" i="34" s="1"/>
  <c r="A49" i="34" s="1"/>
  <c r="A50" i="34" s="1"/>
  <c r="A51" i="34" s="1"/>
  <c r="A52" i="34" s="1"/>
  <c r="A53" i="34" s="1"/>
  <c r="A54" i="34" s="1"/>
  <c r="A55" i="34" s="1"/>
  <c r="A56" i="34" s="1"/>
  <c r="A57" i="34" s="1"/>
  <c r="A58" i="34" s="1"/>
  <c r="A59" i="34" s="1"/>
  <c r="A60" i="34" s="1"/>
  <c r="A61" i="34" s="1"/>
  <c r="A62" i="34" s="1"/>
  <c r="A63" i="34" s="1"/>
  <c r="A64" i="34" s="1"/>
  <c r="A65" i="34" s="1"/>
  <c r="A66" i="34" s="1"/>
  <c r="A67" i="34" s="1"/>
  <c r="A68" i="34" s="1"/>
  <c r="A69" i="34" s="1"/>
  <c r="A70" i="34" s="1"/>
  <c r="A71" i="34" s="1"/>
  <c r="A72" i="34" s="1"/>
  <c r="A73" i="34" s="1"/>
  <c r="A74" i="34" s="1"/>
  <c r="A75" i="34" s="1"/>
  <c r="A76" i="34" s="1"/>
  <c r="A77" i="34" s="1"/>
  <c r="A78" i="34" s="1"/>
  <c r="A79" i="34" s="1"/>
  <c r="A80" i="34" s="1"/>
  <c r="A81" i="34" s="1"/>
  <c r="A82" i="34" s="1"/>
  <c r="A83" i="34" s="1"/>
  <c r="A84" i="34" s="1"/>
  <c r="A85" i="34" s="1"/>
  <c r="A86" i="34" s="1"/>
  <c r="A87" i="34" s="1"/>
  <c r="A88" i="34" s="1"/>
  <c r="A89" i="34" s="1"/>
  <c r="A90" i="34" s="1"/>
  <c r="A91" i="34" s="1"/>
  <c r="A92" i="34" s="1"/>
  <c r="A93" i="34" s="1"/>
  <c r="A94" i="34" s="1"/>
  <c r="A95" i="34" s="1"/>
  <c r="A96" i="34" s="1"/>
  <c r="A97" i="34" s="1"/>
  <c r="A98" i="34" s="1"/>
  <c r="A99" i="34" s="1"/>
  <c r="A100" i="34" s="1"/>
  <c r="A101" i="34" s="1"/>
  <c r="A102" i="34" s="1"/>
  <c r="A103" i="34" s="1"/>
  <c r="A104" i="34" s="1"/>
  <c r="A105" i="34" s="1"/>
  <c r="A106" i="34" s="1"/>
  <c r="A107" i="34" s="1"/>
  <c r="A108" i="34" s="1"/>
  <c r="A109" i="34" s="1"/>
  <c r="A110" i="34" s="1"/>
  <c r="A111" i="34" s="1"/>
  <c r="A112" i="34" s="1"/>
  <c r="A113" i="34" s="1"/>
  <c r="A114" i="34" s="1"/>
  <c r="A115" i="34" s="1"/>
  <c r="A116" i="34" s="1"/>
  <c r="A117" i="34" s="1"/>
  <c r="A118" i="34" s="1"/>
  <c r="A119" i="34" s="1"/>
  <c r="A120" i="34" s="1"/>
  <c r="A121" i="34" s="1"/>
  <c r="A122" i="34" s="1"/>
  <c r="A123" i="34" s="1"/>
  <c r="A125" i="34" s="1"/>
  <c r="A126" i="34" s="1"/>
  <c r="A127" i="34" s="1"/>
  <c r="A128" i="34" s="1"/>
  <c r="A129" i="34" s="1"/>
  <c r="A130" i="34" s="1"/>
  <c r="A131" i="34" s="1"/>
  <c r="A132" i="34" s="1"/>
  <c r="A133" i="34" s="1"/>
  <c r="A134" i="34" s="1"/>
  <c r="A135" i="34" s="1"/>
  <c r="A136" i="34" s="1"/>
  <c r="A137" i="34" s="1"/>
  <c r="A138" i="34" s="1"/>
  <c r="A139" i="34" s="1"/>
  <c r="A140" i="34" s="1"/>
  <c r="A141" i="34" s="1"/>
  <c r="A142" i="34" s="1"/>
  <c r="A143" i="34" s="1"/>
  <c r="A144" i="34" s="1"/>
  <c r="A145" i="34" s="1"/>
  <c r="A146" i="34" s="1"/>
  <c r="A147" i="34" s="1"/>
  <c r="A148" i="34" s="1"/>
  <c r="A149" i="34" s="1"/>
  <c r="A150" i="34" s="1"/>
  <c r="A151" i="34" s="1"/>
  <c r="A152" i="34" s="1"/>
  <c r="A153" i="34" s="1"/>
  <c r="A154" i="34" s="1"/>
  <c r="A155" i="34" s="1"/>
  <c r="A156" i="34" s="1"/>
  <c r="A157" i="34" s="1"/>
  <c r="A158" i="34" s="1"/>
  <c r="A159" i="34" s="1"/>
  <c r="A160" i="34" s="1"/>
  <c r="A161" i="34" s="1"/>
  <c r="A162" i="34" s="1"/>
  <c r="A163" i="34" s="1"/>
  <c r="A164" i="34" s="1"/>
  <c r="A165" i="34" s="1"/>
  <c r="A166" i="34" s="1"/>
  <c r="A167" i="34" s="1"/>
  <c r="A168" i="34" s="1"/>
  <c r="A169" i="34" s="1"/>
  <c r="A170" i="34" s="1"/>
  <c r="A171" i="34" s="1"/>
  <c r="A172" i="34" s="1"/>
  <c r="A173" i="34" s="1"/>
  <c r="A174" i="34" s="1"/>
  <c r="A175" i="34" s="1"/>
  <c r="A176" i="34" s="1"/>
  <c r="A177" i="34" s="1"/>
  <c r="A178" i="34" s="1"/>
  <c r="A179" i="34" s="1"/>
  <c r="A180" i="34" s="1"/>
  <c r="A181" i="34" s="1"/>
  <c r="A182" i="34" s="1"/>
  <c r="A183" i="34" s="1"/>
  <c r="A184" i="34" s="1"/>
  <c r="A185" i="34" s="1"/>
  <c r="A186" i="34" s="1"/>
  <c r="A187" i="34" s="1"/>
  <c r="A188" i="34" s="1"/>
  <c r="A189" i="34" s="1"/>
  <c r="A190" i="34" s="1"/>
  <c r="A191" i="34" s="1"/>
  <c r="A192" i="34" s="1"/>
  <c r="A193" i="34" s="1"/>
  <c r="A194" i="34" s="1"/>
  <c r="A195" i="34" s="1"/>
  <c r="A196" i="34" s="1"/>
  <c r="A197" i="34" s="1"/>
  <c r="A198" i="34" s="1"/>
  <c r="A199" i="34" s="1"/>
  <c r="A200" i="34" s="1"/>
  <c r="A201" i="34" s="1"/>
  <c r="A202" i="34" s="1"/>
  <c r="A204" i="34" s="1"/>
  <c r="A205" i="34" s="1"/>
  <c r="A206" i="34" s="1"/>
  <c r="A207" i="34" s="1"/>
  <c r="A208" i="34" s="1"/>
  <c r="A209" i="34" s="1"/>
  <c r="A210" i="34" s="1"/>
  <c r="A211" i="34" s="1"/>
  <c r="A212" i="34" s="1"/>
  <c r="A213" i="34" s="1"/>
  <c r="A214" i="34" s="1"/>
  <c r="A215" i="34" s="1"/>
  <c r="A216" i="34" s="1"/>
  <c r="A217" i="34" s="1"/>
  <c r="A218" i="34" s="1"/>
  <c r="A219" i="34" s="1"/>
  <c r="A220" i="34" s="1"/>
  <c r="A221" i="34" s="1"/>
  <c r="A222" i="34" s="1"/>
  <c r="A223" i="34" s="1"/>
  <c r="A224" i="34" s="1"/>
  <c r="A225" i="34" s="1"/>
  <c r="A226" i="34" s="1"/>
  <c r="A227" i="34" s="1"/>
  <c r="A228" i="34" s="1"/>
  <c r="A229" i="34" s="1"/>
  <c r="A230" i="34" s="1"/>
  <c r="A231" i="34" s="1"/>
  <c r="A232" i="34" s="1"/>
  <c r="A233" i="34" s="1"/>
  <c r="A234" i="34" s="1"/>
  <c r="A235" i="34" s="1"/>
  <c r="A236" i="34" s="1"/>
  <c r="A237" i="34" s="1"/>
  <c r="A238" i="34" s="1"/>
  <c r="A239" i="34" s="1"/>
  <c r="A240" i="34" s="1"/>
  <c r="A242" i="34" s="1"/>
  <c r="A243" i="34" s="1"/>
  <c r="A244" i="34" s="1"/>
  <c r="A245" i="34" s="1"/>
  <c r="A246" i="34" s="1"/>
  <c r="A247" i="34" s="1"/>
  <c r="A248" i="34" s="1"/>
  <c r="A249" i="34" s="1"/>
  <c r="A250" i="34" s="1"/>
  <c r="A251" i="34" s="1"/>
  <c r="A252" i="34" s="1"/>
  <c r="A253" i="34" s="1"/>
  <c r="A254" i="34" s="1"/>
  <c r="A255" i="34" s="1"/>
  <c r="A256" i="34" s="1"/>
  <c r="A257" i="34" s="1"/>
  <c r="A258" i="34" s="1"/>
  <c r="A259" i="34" s="1"/>
  <c r="A260" i="34" s="1"/>
  <c r="A261" i="34" s="1"/>
  <c r="A262" i="34" s="1"/>
  <c r="A263" i="34" s="1"/>
  <c r="A264" i="34" s="1"/>
  <c r="A265" i="34" s="1"/>
  <c r="A266" i="34" s="1"/>
  <c r="A267" i="34" s="1"/>
  <c r="A268" i="34" s="1"/>
  <c r="A269" i="34" s="1"/>
  <c r="A271" i="34" s="1"/>
  <c r="A272" i="34" s="1"/>
  <c r="A273" i="34" s="1"/>
  <c r="A274" i="34" s="1"/>
  <c r="A275" i="34" s="1"/>
  <c r="A276" i="34" s="1"/>
  <c r="A277" i="34" s="1"/>
  <c r="A278" i="34" s="1"/>
  <c r="A279" i="34" s="1"/>
  <c r="A280" i="34" s="1"/>
  <c r="A281" i="34" s="1"/>
  <c r="A282" i="34" s="1"/>
  <c r="A283" i="34" s="1"/>
  <c r="A284" i="34" s="1"/>
  <c r="A285" i="34" s="1"/>
  <c r="A286" i="34" s="1"/>
  <c r="A287" i="34" s="1"/>
  <c r="A288" i="34" s="1"/>
  <c r="A289" i="34" s="1"/>
  <c r="A290" i="34" s="1"/>
  <c r="A291" i="34" s="1"/>
  <c r="A292" i="34" s="1"/>
  <c r="A293" i="34" s="1"/>
  <c r="A294" i="34" s="1"/>
  <c r="A295" i="34" s="1"/>
  <c r="A296" i="34" s="1"/>
  <c r="A297" i="34" s="1"/>
  <c r="A298" i="34" s="1"/>
  <c r="A299" i="34" s="1"/>
  <c r="A300" i="34" s="1"/>
  <c r="A301" i="34" s="1"/>
  <c r="A302" i="34" s="1"/>
  <c r="A303" i="34" s="1"/>
  <c r="A304" i="34" s="1"/>
  <c r="A305" i="34" s="1"/>
  <c r="A306" i="34" s="1"/>
  <c r="A307" i="34" s="1"/>
  <c r="A308" i="34" s="1"/>
  <c r="A309" i="34" s="1"/>
  <c r="A310" i="34" s="1"/>
  <c r="A311" i="34" s="1"/>
  <c r="A312" i="34" s="1"/>
  <c r="A313" i="34" s="1"/>
  <c r="A314" i="34" s="1"/>
  <c r="A315" i="34" s="1"/>
  <c r="A316" i="34" s="1"/>
  <c r="A317" i="34" s="1"/>
  <c r="A319" i="34" s="1"/>
  <c r="A320" i="34" s="1"/>
  <c r="A321" i="34" s="1"/>
  <c r="A322" i="34" s="1"/>
  <c r="A323" i="34" s="1"/>
  <c r="A324" i="34" s="1"/>
  <c r="A325" i="34" s="1"/>
  <c r="A326" i="34" s="1"/>
  <c r="A327" i="34" s="1"/>
  <c r="A328" i="34" s="1"/>
  <c r="A329" i="34" s="1"/>
  <c r="A330" i="34" s="1"/>
  <c r="A331" i="34" s="1"/>
  <c r="A332" i="34" s="1"/>
  <c r="A333" i="34" s="1"/>
  <c r="A334" i="34" s="1"/>
  <c r="A335" i="34" s="1"/>
  <c r="A336" i="34" s="1"/>
  <c r="A337" i="34" s="1"/>
  <c r="A338" i="34" s="1"/>
  <c r="A339" i="34" s="1"/>
  <c r="A340" i="34" s="1"/>
  <c r="A341" i="34" s="1"/>
  <c r="A342" i="34" s="1"/>
  <c r="A343" i="34" s="1"/>
  <c r="A344" i="34" s="1"/>
  <c r="A345" i="34" s="1"/>
  <c r="A346" i="34" s="1"/>
  <c r="A347" i="34" s="1"/>
  <c r="A348" i="34" s="1"/>
  <c r="A349" i="34" s="1"/>
  <c r="A350" i="34" s="1"/>
  <c r="A351" i="34" s="1"/>
  <c r="A352" i="34" s="1"/>
  <c r="A353" i="34" s="1"/>
  <c r="A354" i="34" s="1"/>
  <c r="A355" i="34" s="1"/>
  <c r="A356" i="34" s="1"/>
  <c r="A357" i="34" s="1"/>
  <c r="A358" i="34" s="1"/>
  <c r="A359" i="34" s="1"/>
  <c r="A360" i="34" s="1"/>
  <c r="A361" i="34" s="1"/>
  <c r="A362" i="34" s="1"/>
  <c r="A363" i="34" s="1"/>
  <c r="A364" i="34" s="1"/>
  <c r="A365" i="34" s="1"/>
  <c r="A366" i="34" s="1"/>
  <c r="A368" i="34" s="1"/>
  <c r="A369" i="34" s="1"/>
  <c r="A370" i="34" s="1"/>
  <c r="A371" i="34" s="1"/>
  <c r="A372" i="34" s="1"/>
  <c r="A373" i="34" s="1"/>
  <c r="A374" i="34" s="1"/>
  <c r="A375" i="34" s="1"/>
  <c r="A376" i="34" s="1"/>
  <c r="A377" i="34" s="1"/>
  <c r="A379" i="34" s="1"/>
  <c r="A380" i="34" s="1"/>
  <c r="A381" i="34" s="1"/>
  <c r="A382" i="34" s="1"/>
  <c r="A383" i="34" s="1"/>
  <c r="A384" i="34" s="1"/>
  <c r="A385" i="34" s="1"/>
  <c r="A386" i="34" s="1"/>
  <c r="A387" i="34" s="1"/>
  <c r="A388" i="34" s="1"/>
  <c r="A390" i="34" s="1"/>
  <c r="A391" i="34" s="1"/>
  <c r="A392" i="34" s="1"/>
  <c r="A393" i="34" s="1"/>
  <c r="A394" i="34" s="1"/>
  <c r="A395" i="34" s="1"/>
  <c r="A396" i="34" s="1"/>
  <c r="A397" i="34" s="1"/>
  <c r="A398" i="34" s="1"/>
  <c r="A399" i="34" s="1"/>
  <c r="A400" i="34" s="1"/>
  <c r="A401" i="34" s="1"/>
  <c r="A402" i="34" s="1"/>
  <c r="A403" i="34" s="1"/>
  <c r="A404" i="34" s="1"/>
  <c r="A405" i="34" s="1"/>
  <c r="A406" i="34" s="1"/>
  <c r="A407" i="34" s="1"/>
  <c r="A408" i="34" s="1"/>
  <c r="A409" i="34" s="1"/>
  <c r="A410" i="34" s="1"/>
  <c r="A411" i="34" s="1"/>
  <c r="A412" i="34" s="1"/>
  <c r="A413" i="34" s="1"/>
  <c r="A414" i="34" s="1"/>
  <c r="A415" i="34" s="1"/>
  <c r="A416" i="34" s="1"/>
  <c r="A417" i="34" s="1"/>
  <c r="A418" i="34" s="1"/>
  <c r="A419" i="34" s="1"/>
  <c r="A420" i="34" s="1"/>
  <c r="A421" i="34" s="1"/>
  <c r="A422" i="34" s="1"/>
  <c r="A423" i="34" s="1"/>
  <c r="A424" i="34" s="1"/>
  <c r="A425" i="34" s="1"/>
  <c r="A426" i="34" s="1"/>
  <c r="A427" i="34" s="1"/>
  <c r="A428" i="34" s="1"/>
  <c r="A429" i="34" s="1"/>
  <c r="A430" i="34" s="1"/>
  <c r="A431" i="34" s="1"/>
  <c r="A432" i="34" s="1"/>
  <c r="A433" i="34" s="1"/>
  <c r="A434" i="34" s="1"/>
  <c r="A435" i="34" s="1"/>
  <c r="A436" i="34" s="1"/>
  <c r="A437" i="34" s="1"/>
  <c r="A438" i="34" s="1"/>
  <c r="A439" i="34" s="1"/>
  <c r="A440" i="34" s="1"/>
  <c r="A441" i="34" s="1"/>
  <c r="A443" i="34" s="1"/>
  <c r="A444" i="34" s="1"/>
  <c r="A445" i="34" s="1"/>
  <c r="A446" i="34" s="1"/>
  <c r="A447" i="34" s="1"/>
  <c r="A448" i="34" s="1"/>
  <c r="A449" i="34" s="1"/>
  <c r="A450" i="34" s="1"/>
  <c r="A451" i="34" s="1"/>
  <c r="A452" i="34" s="1"/>
  <c r="A453" i="34" s="1"/>
  <c r="A454" i="34" s="1"/>
  <c r="A455" i="34" s="1"/>
  <c r="A456" i="34" s="1"/>
  <c r="A457" i="34" s="1"/>
  <c r="A458" i="34" s="1"/>
  <c r="A459" i="34" s="1"/>
  <c r="A460" i="34" s="1"/>
  <c r="A461" i="34" s="1"/>
  <c r="A462" i="34" s="1"/>
  <c r="A463" i="34" s="1"/>
  <c r="A464" i="34" s="1"/>
  <c r="A465" i="34" s="1"/>
  <c r="A466" i="34" s="1"/>
  <c r="A467" i="34" s="1"/>
  <c r="A468" i="34" s="1"/>
  <c r="A469" i="34" s="1"/>
  <c r="A470" i="34" s="1"/>
  <c r="A471" i="34" s="1"/>
  <c r="A472" i="34" s="1"/>
  <c r="A473" i="34" s="1"/>
  <c r="A474" i="34" s="1"/>
  <c r="A475" i="34" s="1"/>
  <c r="A476" i="34" s="1"/>
  <c r="A477" i="34" s="1"/>
  <c r="A478" i="34" s="1"/>
  <c r="A479" i="34" s="1"/>
  <c r="A480" i="34" s="1"/>
  <c r="A481" i="34" s="1"/>
  <c r="A482" i="34" s="1"/>
  <c r="A483" i="34" s="1"/>
  <c r="A484" i="34" s="1"/>
  <c r="A486" i="34" s="1"/>
  <c r="A487" i="34" s="1"/>
  <c r="A488" i="34" s="1"/>
  <c r="A489" i="34" s="1"/>
  <c r="A490" i="34" s="1"/>
  <c r="A491" i="34" s="1"/>
  <c r="A492" i="34" s="1"/>
  <c r="A493" i="34" s="1"/>
  <c r="A494" i="34" s="1"/>
  <c r="A495" i="34" s="1"/>
  <c r="A496" i="34" s="1"/>
  <c r="A497" i="34" s="1"/>
  <c r="A498" i="34" s="1"/>
  <c r="A499" i="34" s="1"/>
  <c r="A500" i="34" s="1"/>
  <c r="A501" i="34" s="1"/>
  <c r="A502" i="34" s="1"/>
  <c r="A503" i="34" s="1"/>
  <c r="A504" i="34" s="1"/>
  <c r="A505" i="34" s="1"/>
  <c r="A506" i="34" s="1"/>
  <c r="A507" i="34" s="1"/>
  <c r="A508" i="34" s="1"/>
  <c r="A509" i="34" s="1"/>
  <c r="A510" i="34" s="1"/>
  <c r="A511" i="34" s="1"/>
  <c r="A512" i="34" s="1"/>
  <c r="A513" i="34" s="1"/>
  <c r="A514" i="34" s="1"/>
  <c r="A515" i="34" s="1"/>
  <c r="A516" i="34" s="1"/>
  <c r="A517" i="34" s="1"/>
  <c r="A518" i="34" s="1"/>
  <c r="A519" i="34" s="1"/>
  <c r="A520" i="34" s="1"/>
  <c r="A521" i="34" s="1"/>
  <c r="A522" i="34" s="1"/>
  <c r="A523" i="34" s="1"/>
  <c r="A524" i="34" s="1"/>
  <c r="A525" i="34" s="1"/>
  <c r="A526" i="34" s="1"/>
  <c r="A528" i="34" s="1"/>
  <c r="A529" i="34" s="1"/>
  <c r="A530" i="34" s="1"/>
  <c r="A531" i="34" s="1"/>
  <c r="A533" i="34" s="1"/>
  <c r="A534" i="34" s="1"/>
  <c r="A535" i="34" s="1"/>
  <c r="A536" i="34" s="1"/>
  <c r="A537" i="34" s="1"/>
  <c r="A538" i="34" s="1"/>
  <c r="A539" i="34" s="1"/>
  <c r="A540" i="34" s="1"/>
  <c r="A541" i="34" s="1"/>
  <c r="A542" i="34" s="1"/>
  <c r="A543" i="34" s="1"/>
  <c r="A544" i="34" s="1"/>
  <c r="A545" i="34" s="1"/>
  <c r="A546" i="34" s="1"/>
  <c r="A547" i="34" s="1"/>
  <c r="A548" i="34" s="1"/>
  <c r="A549" i="34" s="1"/>
  <c r="A550" i="34" s="1"/>
  <c r="A551" i="34" s="1"/>
  <c r="A552" i="34" s="1"/>
  <c r="A553" i="34" s="1"/>
  <c r="A554" i="34" s="1"/>
  <c r="A555" i="34" s="1"/>
  <c r="A556" i="34" s="1"/>
  <c r="A557" i="34" s="1"/>
  <c r="A558" i="34" s="1"/>
  <c r="A559" i="34" s="1"/>
  <c r="A560" i="34" s="1"/>
  <c r="A561" i="34" s="1"/>
  <c r="A562" i="34" s="1"/>
  <c r="A563" i="34" s="1"/>
  <c r="A564" i="34" s="1"/>
  <c r="A565" i="34" s="1"/>
  <c r="A566" i="34" s="1"/>
  <c r="A567" i="34" s="1"/>
  <c r="A568" i="34" s="1"/>
  <c r="A569" i="34" s="1"/>
  <c r="A570" i="34" s="1"/>
  <c r="A571" i="34" s="1"/>
  <c r="A572" i="34" s="1"/>
  <c r="A574" i="34" s="1"/>
  <c r="A575" i="34" s="1"/>
  <c r="A576" i="34" s="1"/>
  <c r="A577" i="34" s="1"/>
  <c r="A578" i="34" s="1"/>
  <c r="A579" i="34" s="1"/>
  <c r="A580" i="34" s="1"/>
  <c r="A581" i="34" s="1"/>
  <c r="A582" i="34" s="1"/>
  <c r="A583" i="34" s="1"/>
  <c r="A585" i="34" s="1"/>
  <c r="A586" i="34" s="1"/>
  <c r="A587" i="34" s="1"/>
  <c r="A588" i="34" s="1"/>
  <c r="A589" i="34" s="1"/>
  <c r="A590" i="34" s="1"/>
  <c r="A591" i="34" s="1"/>
  <c r="A592" i="34" s="1"/>
  <c r="A593" i="34" s="1"/>
  <c r="A594" i="34" s="1"/>
  <c r="A595" i="34" s="1"/>
  <c r="A596" i="34" s="1"/>
  <c r="A598" i="34" s="1"/>
  <c r="A599" i="34" s="1"/>
  <c r="A600" i="34" s="1"/>
  <c r="A601" i="34" s="1"/>
  <c r="A602" i="34" s="1"/>
  <c r="A603" i="34" s="1"/>
  <c r="A604" i="34" s="1"/>
  <c r="A605" i="34" s="1"/>
  <c r="A606" i="34" s="1"/>
  <c r="A607" i="34" s="1"/>
  <c r="A608" i="34" s="1"/>
  <c r="A609" i="34" s="1"/>
  <c r="A610" i="34" s="1"/>
  <c r="A611" i="34" s="1"/>
  <c r="A612" i="34" s="1"/>
  <c r="A613" i="34" s="1"/>
  <c r="A614" i="34" s="1"/>
  <c r="A615" i="34" s="1"/>
  <c r="A616" i="34" s="1"/>
  <c r="A617" i="34" s="1"/>
  <c r="A618" i="34" s="1"/>
  <c r="A619" i="34" s="1"/>
  <c r="A620" i="34" s="1"/>
  <c r="A621" i="34" s="1"/>
  <c r="A622" i="34" s="1"/>
  <c r="A623" i="34" s="1"/>
  <c r="A624" i="34" s="1"/>
  <c r="A625" i="34" s="1"/>
  <c r="A626" i="34" s="1"/>
  <c r="A627" i="34" s="1"/>
  <c r="A628" i="34" s="1"/>
  <c r="A629" i="34" s="1"/>
  <c r="A630" i="34" s="1"/>
  <c r="A631" i="34" s="1"/>
  <c r="A632" i="34" s="1"/>
  <c r="A633" i="34" s="1"/>
  <c r="A634" i="34" s="1"/>
  <c r="A635" i="34" s="1"/>
  <c r="A636" i="34" s="1"/>
  <c r="A637" i="34" s="1"/>
  <c r="A638" i="34" s="1"/>
  <c r="A639" i="34" s="1"/>
  <c r="A640" i="34" s="1"/>
  <c r="A641" i="34" s="1"/>
  <c r="A642" i="34" s="1"/>
  <c r="A643" i="34" s="1"/>
  <c r="A644" i="34" s="1"/>
  <c r="A645" i="34" s="1"/>
  <c r="A646" i="34" s="1"/>
  <c r="A648" i="34" s="1"/>
  <c r="A649" i="34" s="1"/>
  <c r="A650" i="34" s="1"/>
  <c r="A651" i="34" s="1"/>
  <c r="A652" i="34" s="1"/>
  <c r="A653" i="34" s="1"/>
  <c r="A654" i="34" s="1"/>
  <c r="A655" i="34" s="1"/>
  <c r="A656" i="34" s="1"/>
  <c r="A657" i="34" s="1"/>
  <c r="A658" i="34" s="1"/>
  <c r="A659" i="34" s="1"/>
  <c r="A660" i="34" s="1"/>
  <c r="A661" i="34" s="1"/>
  <c r="A662" i="34" s="1"/>
  <c r="A663" i="34" s="1"/>
  <c r="A664" i="34" s="1"/>
  <c r="A665" i="34" s="1"/>
  <c r="A666" i="34" s="1"/>
  <c r="A667" i="34" s="1"/>
  <c r="A668" i="34" s="1"/>
  <c r="A669" i="34" s="1"/>
  <c r="A670" i="34" s="1"/>
  <c r="A671" i="34" s="1"/>
  <c r="A672" i="34" s="1"/>
  <c r="A673" i="34" s="1"/>
  <c r="A674" i="34" s="1"/>
  <c r="A675" i="34" s="1"/>
  <c r="A676" i="34" s="1"/>
  <c r="A677" i="34" s="1"/>
  <c r="A678" i="34" s="1"/>
  <c r="A679" i="34" s="1"/>
  <c r="A680" i="34" s="1"/>
  <c r="A681" i="34" s="1"/>
  <c r="A682" i="34" s="1"/>
  <c r="A683" i="34" s="1"/>
  <c r="A684" i="34" s="1"/>
  <c r="A685" i="34" s="1"/>
  <c r="A686" i="34" s="1"/>
  <c r="A687" i="34" s="1"/>
  <c r="A688" i="34" s="1"/>
  <c r="A689" i="34" s="1"/>
  <c r="A690" i="34" s="1"/>
  <c r="A691" i="34" s="1"/>
  <c r="A692" i="34" s="1"/>
  <c r="A693" i="34" s="1"/>
  <c r="A694" i="34" s="1"/>
  <c r="A695" i="34" s="1"/>
  <c r="A696" i="34" s="1"/>
  <c r="A697" i="34" s="1"/>
  <c r="A698" i="34" s="1"/>
  <c r="A699" i="34" s="1"/>
  <c r="A700" i="34" s="1"/>
  <c r="A701" i="34" s="1"/>
  <c r="A702" i="34" s="1"/>
  <c r="A703" i="34" s="1"/>
  <c r="A704" i="34" s="1"/>
  <c r="A705" i="34" s="1"/>
  <c r="A707" i="34" s="1"/>
  <c r="A708" i="34" s="1"/>
  <c r="A709" i="34" s="1"/>
  <c r="A711" i="34" s="1"/>
  <c r="A712" i="34" s="1"/>
  <c r="A713" i="34" s="1"/>
  <c r="A714" i="34" s="1"/>
  <c r="A715" i="34" s="1"/>
  <c r="A716" i="34" s="1"/>
  <c r="A717" i="34" s="1"/>
  <c r="A718" i="34" s="1"/>
  <c r="A719" i="34" s="1"/>
  <c r="A720" i="34" s="1"/>
  <c r="A721" i="34" s="1"/>
  <c r="A722" i="34" s="1"/>
  <c r="A723" i="34" s="1"/>
  <c r="A724" i="34" s="1"/>
  <c r="A725" i="34" s="1"/>
  <c r="A726" i="34" s="1"/>
  <c r="A727" i="34" s="1"/>
  <c r="A728" i="34" s="1"/>
  <c r="A729" i="34" s="1"/>
  <c r="A730" i="34" s="1"/>
  <c r="A731" i="34" s="1"/>
  <c r="A732" i="34" s="1"/>
  <c r="A733" i="34" s="1"/>
  <c r="A734" i="34" s="1"/>
  <c r="A735" i="34" s="1"/>
  <c r="A736" i="34" s="1"/>
  <c r="A737" i="34" s="1"/>
  <c r="A738" i="34" s="1"/>
  <c r="A739" i="34" s="1"/>
  <c r="A740" i="34" s="1"/>
  <c r="A741" i="34" s="1"/>
  <c r="A742" i="34" s="1"/>
  <c r="A743" i="34" s="1"/>
  <c r="A744" i="34" s="1"/>
  <c r="A745" i="34" s="1"/>
  <c r="A746" i="34" s="1"/>
  <c r="A747" i="34" s="1"/>
  <c r="A748" i="34" s="1"/>
  <c r="A749" i="34" s="1"/>
  <c r="A750" i="34" s="1"/>
  <c r="A751" i="34" s="1"/>
  <c r="A752" i="34" s="1"/>
  <c r="A753" i="34" s="1"/>
  <c r="A754" i="34" s="1"/>
  <c r="A755" i="34" s="1"/>
  <c r="A757" i="34" s="1"/>
  <c r="A758" i="34" s="1"/>
  <c r="A759" i="34" s="1"/>
  <c r="A760" i="34" s="1"/>
  <c r="A761" i="34" s="1"/>
  <c r="A762" i="34" s="1"/>
  <c r="A763" i="34" s="1"/>
  <c r="A764" i="34" s="1"/>
  <c r="A765" i="34" s="1"/>
  <c r="A766" i="34" s="1"/>
  <c r="A767" i="34" s="1"/>
  <c r="A768" i="34" s="1"/>
  <c r="A769" i="34" s="1"/>
  <c r="A770" i="34" s="1"/>
  <c r="A771" i="34" s="1"/>
  <c r="A772" i="34" s="1"/>
  <c r="A773" i="34" s="1"/>
  <c r="A774" i="34" s="1"/>
  <c r="A775" i="34" s="1"/>
  <c r="A776" i="34" s="1"/>
  <c r="A777" i="34" s="1"/>
  <c r="A778" i="34" s="1"/>
  <c r="A779" i="34" s="1"/>
  <c r="A780" i="34" s="1"/>
  <c r="A781" i="34" s="1"/>
  <c r="A782" i="34" s="1"/>
  <c r="A783" i="34" s="1"/>
  <c r="A784" i="34" s="1"/>
  <c r="A785" i="34" s="1"/>
  <c r="A786" i="34" s="1"/>
  <c r="A787" i="34" s="1"/>
  <c r="A788" i="34" s="1"/>
  <c r="A789" i="34" s="1"/>
  <c r="A790" i="34" s="1"/>
  <c r="A791" i="34" s="1"/>
  <c r="A792" i="34" s="1"/>
  <c r="A793" i="34" s="1"/>
  <c r="A794" i="34" s="1"/>
  <c r="A795" i="34" s="1"/>
  <c r="A796" i="34" s="1"/>
  <c r="A797" i="34" s="1"/>
  <c r="A798" i="34" s="1"/>
  <c r="A799" i="34" s="1"/>
  <c r="A800" i="34" s="1"/>
  <c r="A801" i="34" s="1"/>
  <c r="A804" i="34" s="1"/>
  <c r="A805" i="34" s="1"/>
  <c r="A806" i="34" s="1"/>
  <c r="A807" i="34" s="1"/>
  <c r="A808" i="34" s="1"/>
  <c r="A809" i="34" s="1"/>
  <c r="A810" i="34" s="1"/>
  <c r="A811" i="34" s="1"/>
  <c r="A812" i="34" s="1"/>
  <c r="A813" i="34" s="1"/>
  <c r="A814" i="34" s="1"/>
  <c r="A815" i="34" s="1"/>
  <c r="A816" i="34" s="1"/>
  <c r="A817" i="34" s="1"/>
  <c r="A818" i="34" s="1"/>
  <c r="A819" i="34" s="1"/>
  <c r="A820" i="34" s="1"/>
  <c r="A821" i="34" s="1"/>
  <c r="A822" i="34" s="1"/>
  <c r="A823" i="34" s="1"/>
  <c r="A825" i="34" s="1"/>
  <c r="A826" i="34" s="1"/>
  <c r="A827" i="34" s="1"/>
  <c r="A828" i="34" s="1"/>
  <c r="A829" i="34" s="1"/>
  <c r="A830" i="34" s="1"/>
  <c r="A831" i="34" s="1"/>
  <c r="A832" i="34" s="1"/>
  <c r="A833" i="34" s="1"/>
  <c r="A836" i="34" s="1"/>
  <c r="A837" i="34" s="1"/>
  <c r="A838" i="34" s="1"/>
  <c r="A839" i="34" s="1"/>
  <c r="A841" i="34" s="1"/>
  <c r="A842" i="34" s="1"/>
  <c r="A843" i="34" s="1"/>
  <c r="A844" i="34" s="1"/>
  <c r="A845" i="34" s="1"/>
  <c r="A847" i="34" s="1"/>
  <c r="A848" i="34" s="1"/>
  <c r="A849" i="34" s="1"/>
  <c r="A850" i="34" s="1"/>
  <c r="A851" i="34" s="1"/>
  <c r="A852" i="34" s="1"/>
  <c r="A853" i="34" s="1"/>
  <c r="A854" i="34" s="1"/>
  <c r="A855" i="34" s="1"/>
  <c r="A856" i="34" s="1"/>
  <c r="A857" i="34" s="1"/>
  <c r="A858" i="34" s="1"/>
  <c r="A859" i="34" s="1"/>
  <c r="A860" i="34" s="1"/>
  <c r="A861" i="34" s="1"/>
  <c r="A862" i="34" s="1"/>
  <c r="A863" i="34" s="1"/>
  <c r="A864" i="34" s="1"/>
  <c r="A865" i="34" s="1"/>
  <c r="A866" i="34" s="1"/>
  <c r="A867" i="34" s="1"/>
  <c r="A868" i="34" s="1"/>
  <c r="A869" i="34" s="1"/>
  <c r="A870" i="34" s="1"/>
  <c r="A871" i="34" s="1"/>
  <c r="A872" i="34" s="1"/>
  <c r="A873" i="34" s="1"/>
  <c r="A874" i="34" s="1"/>
  <c r="A875" i="34" s="1"/>
  <c r="A876" i="34" s="1"/>
  <c r="A877" i="34" s="1"/>
  <c r="A878" i="34" s="1"/>
  <c r="A879" i="34" s="1"/>
  <c r="A880" i="34" s="1"/>
  <c r="A881" i="34" s="1"/>
  <c r="A882" i="34" s="1"/>
  <c r="A883" i="34" s="1"/>
  <c r="A884" i="34" s="1"/>
  <c r="A885" i="34" s="1"/>
  <c r="A886" i="34" s="1"/>
  <c r="A887" i="34" s="1"/>
  <c r="A888" i="34" s="1"/>
  <c r="A889" i="34" s="1"/>
  <c r="A890" i="34" s="1"/>
  <c r="A891" i="34" s="1"/>
  <c r="A892" i="34" s="1"/>
  <c r="A893" i="34" s="1"/>
  <c r="A894" i="34" s="1"/>
  <c r="A895" i="34" s="1"/>
  <c r="A896" i="34" s="1"/>
  <c r="A897" i="34" s="1"/>
  <c r="A898" i="34" s="1"/>
  <c r="A899" i="34" s="1"/>
  <c r="A900" i="34" s="1"/>
  <c r="A901" i="34" s="1"/>
  <c r="A902" i="34" s="1"/>
  <c r="A903" i="34" s="1"/>
  <c r="A904" i="34" s="1"/>
  <c r="A905" i="34" s="1"/>
  <c r="A906" i="34" s="1"/>
  <c r="A907" i="34" s="1"/>
  <c r="A908" i="34" s="1"/>
  <c r="A909" i="34" s="1"/>
  <c r="A910" i="34" s="1"/>
  <c r="A911" i="34" s="1"/>
  <c r="A912" i="34" s="1"/>
  <c r="A913" i="34" s="1"/>
  <c r="A914" i="34" s="1"/>
  <c r="A915" i="34" s="1"/>
  <c r="A916" i="34" s="1"/>
  <c r="A917" i="34" s="1"/>
  <c r="A918" i="34" s="1"/>
  <c r="A919" i="34" s="1"/>
  <c r="A920" i="34" s="1"/>
  <c r="A921" i="34" s="1"/>
  <c r="A922" i="34" s="1"/>
  <c r="A923" i="34" s="1"/>
  <c r="A925" i="34" s="1"/>
  <c r="A926" i="34" s="1"/>
  <c r="A927" i="34" s="1"/>
  <c r="A929" i="34" s="1"/>
  <c r="A930" i="34" s="1"/>
  <c r="A931" i="34" s="1"/>
  <c r="A932" i="34" s="1"/>
  <c r="A934" i="34" s="1"/>
  <c r="A935" i="34" s="1"/>
  <c r="A936" i="34" s="1"/>
  <c r="A937" i="34" s="1"/>
  <c r="A938" i="34" s="1"/>
  <c r="A939" i="34" s="1"/>
  <c r="A940" i="34" s="1"/>
  <c r="A941" i="34" s="1"/>
  <c r="A942" i="34" s="1"/>
  <c r="A943" i="34" s="1"/>
  <c r="A944" i="34" s="1"/>
  <c r="A945" i="34" s="1"/>
  <c r="A946" i="34" s="1"/>
  <c r="A947" i="34" s="1"/>
  <c r="A948" i="34" s="1"/>
  <c r="A949" i="34" s="1"/>
  <c r="A950" i="34" s="1"/>
  <c r="A951" i="34" s="1"/>
  <c r="A952" i="34" s="1"/>
  <c r="A953" i="34" s="1"/>
  <c r="A954" i="34" s="1"/>
  <c r="A955" i="34" s="1"/>
  <c r="A956" i="34" s="1"/>
  <c r="A957" i="34" s="1"/>
  <c r="A958" i="34" s="1"/>
  <c r="A959" i="34" s="1"/>
  <c r="A960" i="34" s="1"/>
  <c r="A961" i="34" s="1"/>
  <c r="A962" i="34" s="1"/>
  <c r="A963" i="34" s="1"/>
  <c r="A964" i="34" s="1"/>
  <c r="A965" i="34" s="1"/>
  <c r="A966" i="34" s="1"/>
  <c r="A967" i="34" s="1"/>
  <c r="A968" i="34" s="1"/>
  <c r="A969" i="34" s="1"/>
  <c r="A970" i="34" s="1"/>
  <c r="G969" i="33"/>
  <c r="G968" i="33"/>
  <c r="G967" i="33"/>
  <c r="G966" i="33"/>
  <c r="G965" i="33"/>
  <c r="G964" i="33"/>
  <c r="G963" i="33"/>
  <c r="G962" i="33"/>
  <c r="G961" i="33"/>
  <c r="G960" i="33"/>
  <c r="G959" i="33"/>
  <c r="G958" i="33"/>
  <c r="G957" i="33"/>
  <c r="G956" i="33"/>
  <c r="G955" i="33"/>
  <c r="G954" i="33"/>
  <c r="G953" i="33"/>
  <c r="G952" i="33"/>
  <c r="G951" i="33"/>
  <c r="G950" i="33"/>
  <c r="G949" i="33"/>
  <c r="G948" i="33"/>
  <c r="G947" i="33"/>
  <c r="G946" i="33"/>
  <c r="G945" i="33"/>
  <c r="G944" i="33"/>
  <c r="G943" i="33"/>
  <c r="G942" i="33"/>
  <c r="G941" i="33"/>
  <c r="G940" i="33"/>
  <c r="G939" i="33"/>
  <c r="G938" i="33"/>
  <c r="G937" i="33"/>
  <c r="G936" i="33"/>
  <c r="G935" i="33"/>
  <c r="G934" i="33"/>
  <c r="G932" i="33"/>
  <c r="G931" i="33"/>
  <c r="G930" i="33"/>
  <c r="G929" i="33"/>
  <c r="G927" i="33"/>
  <c r="G926" i="33"/>
  <c r="G925" i="33"/>
  <c r="G923" i="33"/>
  <c r="G922" i="33"/>
  <c r="G921" i="33"/>
  <c r="G920" i="33"/>
  <c r="G919" i="33"/>
  <c r="G918" i="33"/>
  <c r="G917" i="33"/>
  <c r="G916" i="33"/>
  <c r="G915" i="33"/>
  <c r="G914" i="33"/>
  <c r="G913" i="33"/>
  <c r="G912" i="33"/>
  <c r="G911" i="33"/>
  <c r="G910" i="33"/>
  <c r="G909" i="33"/>
  <c r="G908" i="33"/>
  <c r="G907" i="33"/>
  <c r="G906" i="33"/>
  <c r="G905" i="33"/>
  <c r="G904" i="33"/>
  <c r="G903" i="33"/>
  <c r="G902" i="33"/>
  <c r="G901" i="33"/>
  <c r="G900" i="33"/>
  <c r="G899" i="33"/>
  <c r="G898" i="33"/>
  <c r="G897" i="33"/>
  <c r="G896" i="33"/>
  <c r="G895" i="33"/>
  <c r="G894" i="33"/>
  <c r="G893" i="33"/>
  <c r="G892" i="33"/>
  <c r="G891" i="33"/>
  <c r="G890" i="33"/>
  <c r="G889" i="33"/>
  <c r="G888" i="33"/>
  <c r="G887" i="33"/>
  <c r="G886" i="33"/>
  <c r="G885" i="33"/>
  <c r="G884" i="33"/>
  <c r="G883" i="33"/>
  <c r="G882" i="33"/>
  <c r="G881" i="33"/>
  <c r="G880" i="33"/>
  <c r="G879" i="33"/>
  <c r="G878" i="33"/>
  <c r="G877" i="33"/>
  <c r="G876" i="33"/>
  <c r="G875" i="33"/>
  <c r="G874" i="33"/>
  <c r="G873" i="33"/>
  <c r="G872" i="33"/>
  <c r="G871" i="33"/>
  <c r="G870" i="33"/>
  <c r="G869" i="33"/>
  <c r="G868" i="33"/>
  <c r="G867" i="33"/>
  <c r="G866" i="33"/>
  <c r="G865" i="33"/>
  <c r="G864" i="33"/>
  <c r="G863" i="33"/>
  <c r="G862" i="33"/>
  <c r="G861" i="33"/>
  <c r="G860" i="33"/>
  <c r="G859" i="33"/>
  <c r="G858" i="33"/>
  <c r="G857" i="33"/>
  <c r="G856" i="33"/>
  <c r="G855" i="33"/>
  <c r="G854" i="33"/>
  <c r="G853" i="33"/>
  <c r="G852" i="33"/>
  <c r="G851" i="33"/>
  <c r="G850" i="33"/>
  <c r="G849" i="33"/>
  <c r="G848" i="33"/>
  <c r="G847" i="33"/>
  <c r="G845" i="33"/>
  <c r="G844" i="33"/>
  <c r="G843" i="33"/>
  <c r="G842" i="33"/>
  <c r="G841" i="33"/>
  <c r="G839" i="33"/>
  <c r="G838" i="33"/>
  <c r="G837" i="33"/>
  <c r="G836" i="33"/>
  <c r="G833" i="33"/>
  <c r="G832" i="33"/>
  <c r="G831" i="33"/>
  <c r="G830" i="33"/>
  <c r="G829" i="33"/>
  <c r="G828" i="33"/>
  <c r="G827" i="33"/>
  <c r="G826" i="33"/>
  <c r="G825" i="33"/>
  <c r="G823" i="33"/>
  <c r="G822" i="33"/>
  <c r="G821" i="33"/>
  <c r="G820" i="33"/>
  <c r="G819" i="33"/>
  <c r="G818" i="33"/>
  <c r="G817" i="33"/>
  <c r="G816" i="33"/>
  <c r="G815" i="33"/>
  <c r="G814" i="33"/>
  <c r="G813" i="33"/>
  <c r="G812" i="33"/>
  <c r="G811" i="33"/>
  <c r="G810" i="33"/>
  <c r="G809" i="33"/>
  <c r="G808" i="33"/>
  <c r="G807" i="33"/>
  <c r="G806" i="33"/>
  <c r="G805" i="33"/>
  <c r="G804" i="33"/>
  <c r="G769" i="33"/>
  <c r="G768" i="33"/>
  <c r="G767" i="33"/>
  <c r="G766" i="33"/>
  <c r="G765" i="33"/>
  <c r="G764" i="33"/>
  <c r="G763" i="33"/>
  <c r="G762" i="33"/>
  <c r="G761" i="33"/>
  <c r="G760" i="33"/>
  <c r="G759" i="33"/>
  <c r="G758" i="33"/>
  <c r="G757" i="33"/>
  <c r="G723" i="33"/>
  <c r="G722" i="33"/>
  <c r="G721" i="33"/>
  <c r="G720" i="33"/>
  <c r="G719" i="33"/>
  <c r="G718" i="33"/>
  <c r="G717" i="33"/>
  <c r="G716" i="33"/>
  <c r="G715" i="33"/>
  <c r="G714" i="33"/>
  <c r="G713" i="33"/>
  <c r="G712" i="33"/>
  <c r="G711" i="33"/>
  <c r="G709" i="33"/>
  <c r="G708" i="33"/>
  <c r="G707" i="33"/>
  <c r="G705" i="33"/>
  <c r="G704" i="33"/>
  <c r="G703" i="33"/>
  <c r="G702" i="33"/>
  <c r="G701" i="33"/>
  <c r="G700" i="33"/>
  <c r="G699" i="33"/>
  <c r="G698" i="33"/>
  <c r="G697" i="33"/>
  <c r="G696" i="33"/>
  <c r="G695" i="33"/>
  <c r="G694" i="33"/>
  <c r="G693" i="33"/>
  <c r="G692" i="33"/>
  <c r="G691" i="33"/>
  <c r="G690" i="33"/>
  <c r="G689" i="33"/>
  <c r="G688" i="33"/>
  <c r="G687" i="33"/>
  <c r="G686" i="33"/>
  <c r="G685" i="33"/>
  <c r="G684" i="33"/>
  <c r="G683" i="33"/>
  <c r="G682" i="33"/>
  <c r="G681" i="33"/>
  <c r="G680" i="33"/>
  <c r="G679" i="33"/>
  <c r="G678" i="33"/>
  <c r="G677" i="33"/>
  <c r="G676" i="33"/>
  <c r="G675" i="33"/>
  <c r="G674" i="33"/>
  <c r="G673" i="33"/>
  <c r="G672" i="33"/>
  <c r="G671" i="33"/>
  <c r="G670" i="33"/>
  <c r="G669" i="33"/>
  <c r="G668" i="33"/>
  <c r="G667" i="33"/>
  <c r="G666" i="33"/>
  <c r="G665" i="33"/>
  <c r="G664" i="33"/>
  <c r="G663" i="33"/>
  <c r="G662" i="33"/>
  <c r="G661" i="33"/>
  <c r="G660" i="33"/>
  <c r="G659" i="33"/>
  <c r="G658" i="33"/>
  <c r="G657" i="33"/>
  <c r="G656" i="33"/>
  <c r="G655" i="33"/>
  <c r="G654" i="33"/>
  <c r="G653" i="33"/>
  <c r="G652" i="33"/>
  <c r="G651" i="33"/>
  <c r="G650" i="33"/>
  <c r="G649" i="33"/>
  <c r="G648" i="33"/>
  <c r="G646" i="33"/>
  <c r="G645" i="33"/>
  <c r="G644" i="33"/>
  <c r="G643" i="33"/>
  <c r="G642" i="33"/>
  <c r="G641" i="33"/>
  <c r="G640" i="33"/>
  <c r="G639" i="33"/>
  <c r="G638" i="33"/>
  <c r="G637" i="33"/>
  <c r="G636" i="33"/>
  <c r="G635" i="33"/>
  <c r="G634" i="33"/>
  <c r="G633" i="33"/>
  <c r="G632" i="33"/>
  <c r="G631" i="33"/>
  <c r="G630" i="33"/>
  <c r="G629" i="33"/>
  <c r="G628" i="33"/>
  <c r="G627" i="33"/>
  <c r="G626" i="33"/>
  <c r="G625" i="33"/>
  <c r="G624" i="33"/>
  <c r="G623" i="33"/>
  <c r="G622" i="33"/>
  <c r="G621" i="33"/>
  <c r="G620" i="33"/>
  <c r="G619" i="33"/>
  <c r="G618" i="33"/>
  <c r="G617" i="33"/>
  <c r="G616" i="33"/>
  <c r="G615" i="33"/>
  <c r="G614" i="33"/>
  <c r="G613" i="33"/>
  <c r="G612" i="33"/>
  <c r="G611" i="33"/>
  <c r="G610" i="33"/>
  <c r="G609" i="33"/>
  <c r="G608" i="33"/>
  <c r="G607" i="33"/>
  <c r="G606" i="33"/>
  <c r="G605" i="33"/>
  <c r="G604" i="33"/>
  <c r="G603" i="33"/>
  <c r="G602" i="33"/>
  <c r="G601" i="33"/>
  <c r="G600" i="33"/>
  <c r="G599" i="33"/>
  <c r="G598" i="33"/>
  <c r="G596" i="33"/>
  <c r="G595" i="33"/>
  <c r="G594" i="33"/>
  <c r="G593" i="33"/>
  <c r="G592" i="33"/>
  <c r="G591" i="33"/>
  <c r="G590" i="33"/>
  <c r="G589" i="33"/>
  <c r="G588" i="33"/>
  <c r="G587" i="33"/>
  <c r="G586" i="33"/>
  <c r="G585" i="33"/>
  <c r="G583" i="33"/>
  <c r="G582" i="33"/>
  <c r="G581" i="33"/>
  <c r="G580" i="33"/>
  <c r="G579" i="33"/>
  <c r="G578" i="33"/>
  <c r="G577" i="33"/>
  <c r="G576" i="33"/>
  <c r="G575" i="33"/>
  <c r="G574" i="33"/>
  <c r="G572" i="33"/>
  <c r="G571" i="33"/>
  <c r="G570" i="33"/>
  <c r="G569" i="33"/>
  <c r="G568" i="33"/>
  <c r="G567" i="33"/>
  <c r="G566" i="33"/>
  <c r="G565" i="33"/>
  <c r="G564" i="33"/>
  <c r="G563" i="33"/>
  <c r="G562" i="33"/>
  <c r="G561" i="33"/>
  <c r="G560" i="33"/>
  <c r="G559" i="33"/>
  <c r="G558" i="33"/>
  <c r="G557" i="33"/>
  <c r="G556" i="33"/>
  <c r="G555" i="33"/>
  <c r="G554" i="33"/>
  <c r="G553" i="33"/>
  <c r="G552" i="33"/>
  <c r="G551" i="33"/>
  <c r="G550" i="33"/>
  <c r="G549" i="33"/>
  <c r="G548" i="33"/>
  <c r="G547" i="33"/>
  <c r="G546" i="33"/>
  <c r="G545" i="33"/>
  <c r="G544" i="33"/>
  <c r="G543" i="33"/>
  <c r="G542" i="33"/>
  <c r="G541" i="33"/>
  <c r="G540" i="33"/>
  <c r="G539" i="33"/>
  <c r="G538" i="33"/>
  <c r="G537" i="33"/>
  <c r="G536" i="33"/>
  <c r="G535" i="33"/>
  <c r="G534" i="33"/>
  <c r="G533" i="33"/>
  <c r="G531" i="33"/>
  <c r="G530" i="33"/>
  <c r="G529" i="33"/>
  <c r="G528" i="33"/>
  <c r="G526" i="33"/>
  <c r="G525" i="33"/>
  <c r="G524" i="33"/>
  <c r="G523" i="33"/>
  <c r="G522" i="33"/>
  <c r="G521" i="33"/>
  <c r="G520" i="33"/>
  <c r="G519" i="33"/>
  <c r="G518" i="33"/>
  <c r="G517" i="33"/>
  <c r="G516" i="33"/>
  <c r="G515" i="33"/>
  <c r="G514" i="33"/>
  <c r="G513" i="33"/>
  <c r="G512" i="33"/>
  <c r="G511" i="33"/>
  <c r="G510" i="33"/>
  <c r="G509" i="33"/>
  <c r="G508" i="33"/>
  <c r="G507" i="33"/>
  <c r="G506" i="33"/>
  <c r="G505" i="33"/>
  <c r="G504" i="33"/>
  <c r="G503" i="33"/>
  <c r="G502" i="33"/>
  <c r="G501" i="33"/>
  <c r="G500" i="33"/>
  <c r="G499" i="33"/>
  <c r="G498" i="33"/>
  <c r="G497" i="33"/>
  <c r="G496" i="33"/>
  <c r="G495" i="33"/>
  <c r="G494" i="33"/>
  <c r="G493" i="33"/>
  <c r="G492" i="33"/>
  <c r="G490" i="33"/>
  <c r="G489" i="33"/>
  <c r="G488" i="33"/>
  <c r="G487" i="33"/>
  <c r="G486" i="33"/>
  <c r="G484" i="33"/>
  <c r="G483" i="33"/>
  <c r="G482" i="33"/>
  <c r="G481" i="33"/>
  <c r="G480" i="33"/>
  <c r="G479" i="33"/>
  <c r="G478" i="33"/>
  <c r="G477" i="33"/>
  <c r="G476" i="33"/>
  <c r="G475" i="33"/>
  <c r="G474" i="33"/>
  <c r="G473" i="33"/>
  <c r="G472" i="33"/>
  <c r="G471" i="33"/>
  <c r="G470" i="33"/>
  <c r="G469" i="33"/>
  <c r="G468" i="33"/>
  <c r="G467" i="33"/>
  <c r="G466" i="33"/>
  <c r="G465" i="33"/>
  <c r="G464" i="33"/>
  <c r="G463" i="33"/>
  <c r="G462" i="33"/>
  <c r="G461" i="33"/>
  <c r="G460" i="33"/>
  <c r="G459" i="33"/>
  <c r="G458" i="33"/>
  <c r="G457" i="33"/>
  <c r="G456" i="33"/>
  <c r="G455" i="33"/>
  <c r="G454" i="33"/>
  <c r="G453" i="33"/>
  <c r="G452" i="33"/>
  <c r="G451" i="33"/>
  <c r="G450" i="33"/>
  <c r="G449" i="33"/>
  <c r="G448" i="33"/>
  <c r="G447" i="33"/>
  <c r="G446" i="33"/>
  <c r="G445" i="33"/>
  <c r="G444" i="33"/>
  <c r="G443" i="33"/>
  <c r="G441" i="33"/>
  <c r="G440" i="33"/>
  <c r="G439" i="33"/>
  <c r="G438" i="33"/>
  <c r="G437" i="33"/>
  <c r="G436" i="33"/>
  <c r="G435" i="33"/>
  <c r="G434" i="33"/>
  <c r="G433" i="33"/>
  <c r="G432" i="33"/>
  <c r="G431" i="33"/>
  <c r="G430" i="33"/>
  <c r="G429" i="33"/>
  <c r="G428" i="33"/>
  <c r="G427" i="33"/>
  <c r="G426" i="33"/>
  <c r="G425" i="33"/>
  <c r="G424" i="33"/>
  <c r="G423" i="33"/>
  <c r="G422" i="33"/>
  <c r="G421" i="33"/>
  <c r="G420" i="33"/>
  <c r="G419" i="33"/>
  <c r="G418" i="33"/>
  <c r="G417" i="33"/>
  <c r="G416" i="33"/>
  <c r="G415" i="33"/>
  <c r="G414" i="33"/>
  <c r="G413" i="33"/>
  <c r="G412" i="33"/>
  <c r="G411" i="33"/>
  <c r="G410" i="33"/>
  <c r="G409" i="33"/>
  <c r="G408" i="33"/>
  <c r="G407" i="33"/>
  <c r="G406" i="33"/>
  <c r="G405" i="33"/>
  <c r="G404" i="33"/>
  <c r="G403" i="33"/>
  <c r="G402" i="33"/>
  <c r="G401" i="33"/>
  <c r="G400" i="33"/>
  <c r="G399" i="33"/>
  <c r="G398" i="33"/>
  <c r="G397" i="33"/>
  <c r="G392" i="33"/>
  <c r="G391" i="33"/>
  <c r="G390" i="33"/>
  <c r="G388" i="33"/>
  <c r="G387" i="33"/>
  <c r="G386" i="33"/>
  <c r="G385" i="33"/>
  <c r="G384" i="33"/>
  <c r="G383" i="33"/>
  <c r="G382" i="33"/>
  <c r="G381" i="33"/>
  <c r="G380" i="33"/>
  <c r="G379" i="33"/>
  <c r="G377" i="33"/>
  <c r="G376" i="33"/>
  <c r="G375" i="33"/>
  <c r="G374" i="33"/>
  <c r="G373" i="33"/>
  <c r="G372" i="33"/>
  <c r="G371" i="33"/>
  <c r="G370" i="33"/>
  <c r="G369" i="33"/>
  <c r="G368" i="33"/>
  <c r="G366" i="33"/>
  <c r="G365" i="33"/>
  <c r="G364" i="33"/>
  <c r="G363" i="33"/>
  <c r="G362" i="33"/>
  <c r="G361" i="33"/>
  <c r="G360" i="33"/>
  <c r="G359" i="33"/>
  <c r="G358" i="33"/>
  <c r="G357" i="33"/>
  <c r="G356" i="33"/>
  <c r="G355" i="33"/>
  <c r="G354" i="33"/>
  <c r="G353" i="33"/>
  <c r="G352" i="33"/>
  <c r="G351" i="33"/>
  <c r="G350" i="33"/>
  <c r="G349" i="33"/>
  <c r="G348" i="33"/>
  <c r="G347" i="33"/>
  <c r="G346" i="33"/>
  <c r="G345" i="33"/>
  <c r="G344" i="33"/>
  <c r="G343" i="33"/>
  <c r="G342" i="33"/>
  <c r="G341" i="33"/>
  <c r="G340" i="33"/>
  <c r="G339" i="33"/>
  <c r="G338" i="33"/>
  <c r="G337" i="33"/>
  <c r="G336" i="33"/>
  <c r="G335" i="33"/>
  <c r="G334" i="33"/>
  <c r="G333" i="33"/>
  <c r="G332" i="33"/>
  <c r="G331" i="33"/>
  <c r="G330" i="33"/>
  <c r="G329" i="33"/>
  <c r="G328" i="33"/>
  <c r="G327" i="33"/>
  <c r="G326" i="33"/>
  <c r="G325" i="33"/>
  <c r="G324" i="33"/>
  <c r="G323" i="33"/>
  <c r="G322" i="33"/>
  <c r="G321" i="33"/>
  <c r="G320" i="33"/>
  <c r="G319" i="33"/>
  <c r="G273" i="33"/>
  <c r="G272" i="33"/>
  <c r="G271" i="33"/>
  <c r="G240" i="33"/>
  <c r="G239" i="33"/>
  <c r="G238" i="33"/>
  <c r="G237" i="33"/>
  <c r="G236" i="33"/>
  <c r="G235" i="33"/>
  <c r="G234" i="33"/>
  <c r="G233" i="33"/>
  <c r="G232" i="33"/>
  <c r="G231" i="33"/>
  <c r="G230" i="33"/>
  <c r="G229" i="33"/>
  <c r="G228" i="33"/>
  <c r="G227" i="33"/>
  <c r="G226" i="33"/>
  <c r="G225" i="33"/>
  <c r="G224" i="33"/>
  <c r="G223" i="33"/>
  <c r="G222" i="33"/>
  <c r="G221" i="33"/>
  <c r="G220" i="33"/>
  <c r="G219" i="33"/>
  <c r="G218" i="33"/>
  <c r="G217" i="33"/>
  <c r="G216" i="33"/>
  <c r="G215" i="33"/>
  <c r="G214" i="33"/>
  <c r="G213" i="33"/>
  <c r="G212" i="33"/>
  <c r="G211" i="33"/>
  <c r="G210" i="33"/>
  <c r="G209" i="33"/>
  <c r="G208" i="33"/>
  <c r="G207" i="33"/>
  <c r="G206" i="33"/>
  <c r="G205" i="33"/>
  <c r="G204" i="33"/>
  <c r="G202" i="33"/>
  <c r="G201" i="33"/>
  <c r="G200" i="33"/>
  <c r="G199" i="33"/>
  <c r="G198" i="33"/>
  <c r="G197" i="33"/>
  <c r="G196" i="33"/>
  <c r="G195" i="33"/>
  <c r="G194" i="33"/>
  <c r="G193" i="33"/>
  <c r="G192" i="33"/>
  <c r="G191" i="33"/>
  <c r="G190" i="33"/>
  <c r="G189" i="33"/>
  <c r="G188" i="33"/>
  <c r="G187" i="33"/>
  <c r="G186" i="33"/>
  <c r="G185" i="33"/>
  <c r="G184" i="33"/>
  <c r="G183" i="33"/>
  <c r="G182" i="33"/>
  <c r="G181" i="33"/>
  <c r="G180" i="33"/>
  <c r="G179" i="33"/>
  <c r="G178" i="33"/>
  <c r="G177" i="33"/>
  <c r="G176" i="33"/>
  <c r="G175" i="33"/>
  <c r="G174" i="33"/>
  <c r="G173" i="33"/>
  <c r="G172" i="33"/>
  <c r="G171" i="33"/>
  <c r="G170" i="33"/>
  <c r="G169" i="33"/>
  <c r="G168" i="33"/>
  <c r="G167" i="33"/>
  <c r="G166" i="33"/>
  <c r="G165" i="33"/>
  <c r="G164" i="33"/>
  <c r="G163" i="33"/>
  <c r="G162" i="33"/>
  <c r="G161" i="33"/>
  <c r="G160" i="33"/>
  <c r="G159" i="33"/>
  <c r="G158" i="33"/>
  <c r="G157" i="33"/>
  <c r="G156" i="33"/>
  <c r="G155" i="33"/>
  <c r="G154" i="33"/>
  <c r="G153" i="33"/>
  <c r="G152" i="33"/>
  <c r="G151" i="33"/>
  <c r="G150" i="33"/>
  <c r="G149" i="33"/>
  <c r="G148" i="33"/>
  <c r="G147" i="33"/>
  <c r="G146" i="33"/>
  <c r="G145" i="33"/>
  <c r="G144" i="33"/>
  <c r="G143" i="33"/>
  <c r="G142" i="33"/>
  <c r="G141" i="33"/>
  <c r="G140" i="33"/>
  <c r="G139" i="33"/>
  <c r="G138" i="33"/>
  <c r="G137" i="33"/>
  <c r="G136" i="33"/>
  <c r="G135" i="33"/>
  <c r="G134" i="33"/>
  <c r="G133" i="33"/>
  <c r="G132" i="33"/>
  <c r="G131" i="33"/>
  <c r="G130" i="33"/>
  <c r="G129" i="33"/>
  <c r="G128" i="33"/>
  <c r="G127" i="33"/>
  <c r="G126" i="33"/>
  <c r="G125" i="33"/>
  <c r="G123" i="33"/>
  <c r="G122" i="33"/>
  <c r="G121" i="33"/>
  <c r="G120" i="33"/>
  <c r="G119" i="33"/>
  <c r="G118" i="33"/>
  <c r="G117" i="33"/>
  <c r="G116" i="33"/>
  <c r="G115" i="33"/>
  <c r="G114" i="33"/>
  <c r="G113" i="33"/>
  <c r="G112" i="33"/>
  <c r="G111" i="33"/>
  <c r="G110" i="33"/>
  <c r="G109" i="33"/>
  <c r="G108" i="33"/>
  <c r="G107" i="33"/>
  <c r="G106" i="33"/>
  <c r="G105" i="33"/>
  <c r="G104" i="33"/>
  <c r="G103" i="33"/>
  <c r="G102" i="33"/>
  <c r="G101" i="33"/>
  <c r="G100" i="33"/>
  <c r="G99" i="33"/>
  <c r="G98" i="33"/>
  <c r="G97" i="33"/>
  <c r="G96" i="33"/>
  <c r="G95" i="33"/>
  <c r="G94" i="33"/>
  <c r="G93" i="33"/>
  <c r="G92" i="33"/>
  <c r="G91" i="33"/>
  <c r="G90" i="33"/>
  <c r="G89" i="33"/>
  <c r="G88" i="33"/>
  <c r="G87" i="33"/>
  <c r="G86" i="33"/>
  <c r="G85" i="33"/>
  <c r="G84" i="33"/>
  <c r="G83" i="33"/>
  <c r="G82" i="33"/>
  <c r="G81" i="33"/>
  <c r="G80" i="33"/>
  <c r="G79" i="33"/>
  <c r="G78" i="33"/>
  <c r="G77" i="33"/>
  <c r="G76" i="33"/>
  <c r="G75" i="33"/>
  <c r="G74" i="33"/>
  <c r="G73" i="33"/>
  <c r="G72" i="33"/>
  <c r="G71" i="33"/>
  <c r="G70" i="33"/>
  <c r="G69" i="33"/>
  <c r="G68" i="33"/>
  <c r="G67" i="33"/>
  <c r="G66" i="33"/>
  <c r="G65" i="33"/>
  <c r="G64" i="33"/>
  <c r="G63" i="33"/>
  <c r="G62" i="33"/>
  <c r="G61" i="33"/>
  <c r="G60" i="33"/>
  <c r="G59" i="33"/>
  <c r="G58" i="33"/>
  <c r="G57" i="33"/>
  <c r="G56" i="33"/>
  <c r="G55" i="33"/>
  <c r="G54" i="33"/>
  <c r="G53" i="33"/>
  <c r="G52" i="33"/>
  <c r="G51" i="33"/>
  <c r="G50" i="33"/>
  <c r="G49" i="33"/>
  <c r="G48" i="33"/>
  <c r="G47" i="33"/>
  <c r="G46" i="33"/>
  <c r="G45" i="33"/>
  <c r="G44" i="33"/>
  <c r="G43" i="33"/>
  <c r="G42" i="33"/>
  <c r="G41" i="33"/>
  <c r="G40" i="33"/>
  <c r="G39" i="33"/>
  <c r="G38" i="33"/>
  <c r="G37" i="33"/>
  <c r="G36" i="33"/>
  <c r="G35" i="33"/>
  <c r="G34" i="33"/>
  <c r="G33" i="33"/>
  <c r="G32" i="33"/>
  <c r="G31" i="33"/>
  <c r="G30" i="33"/>
  <c r="G29" i="33"/>
  <c r="G28" i="33"/>
  <c r="G27" i="33"/>
  <c r="G26" i="33"/>
  <c r="G25" i="33"/>
  <c r="G24" i="33"/>
  <c r="G23" i="33"/>
  <c r="G22" i="33"/>
  <c r="G21" i="33"/>
  <c r="G20" i="33"/>
  <c r="G19" i="33"/>
  <c r="G18" i="33"/>
  <c r="G17" i="33"/>
  <c r="G16" i="33"/>
  <c r="G15" i="33"/>
  <c r="G14" i="33"/>
  <c r="G13" i="33"/>
  <c r="G12" i="33"/>
  <c r="G11" i="33"/>
  <c r="G10" i="33"/>
  <c r="G9" i="33"/>
  <c r="G8" i="33"/>
  <c r="G7" i="33"/>
  <c r="G6" i="33"/>
  <c r="G3" i="33"/>
  <c r="A4" i="33" s="1"/>
  <c r="A5" i="33" s="1"/>
  <c r="A6" i="33" s="1"/>
  <c r="A7" i="33" s="1"/>
  <c r="A8" i="33" s="1"/>
  <c r="A9" i="33" s="1"/>
  <c r="A10" i="33" s="1"/>
  <c r="A11" i="33" s="1"/>
  <c r="A12" i="33" s="1"/>
  <c r="A13" i="33" s="1"/>
  <c r="A14" i="33" s="1"/>
  <c r="A15" i="33" s="1"/>
  <c r="A16" i="33" s="1"/>
  <c r="A17" i="33" s="1"/>
  <c r="A18" i="33" s="1"/>
  <c r="A19" i="33" s="1"/>
  <c r="A20" i="33" s="1"/>
  <c r="A21" i="33" s="1"/>
  <c r="A22" i="33" s="1"/>
  <c r="A23" i="33" s="1"/>
  <c r="A24" i="33" s="1"/>
  <c r="A25" i="33" s="1"/>
  <c r="A26" i="33" s="1"/>
  <c r="A27" i="33" s="1"/>
  <c r="A28" i="33" s="1"/>
  <c r="A29" i="33" s="1"/>
  <c r="A30" i="33" s="1"/>
  <c r="A31" i="33" s="1"/>
  <c r="A32" i="33" s="1"/>
  <c r="A33" i="33" s="1"/>
  <c r="A34" i="33" s="1"/>
  <c r="A35" i="33" s="1"/>
  <c r="A36" i="33" s="1"/>
  <c r="A37" i="33" s="1"/>
  <c r="A38" i="33" s="1"/>
  <c r="A39" i="33" s="1"/>
  <c r="A40" i="33" s="1"/>
  <c r="A41" i="33" s="1"/>
  <c r="A42" i="33" s="1"/>
  <c r="A43" i="33" s="1"/>
  <c r="A44" i="33" s="1"/>
  <c r="A45" i="33" s="1"/>
  <c r="A46" i="33" s="1"/>
  <c r="A47" i="33" s="1"/>
  <c r="A48" i="33" s="1"/>
  <c r="A49" i="33" s="1"/>
  <c r="A50" i="33" s="1"/>
  <c r="A51" i="33" s="1"/>
  <c r="A52" i="33" s="1"/>
  <c r="A53" i="33" s="1"/>
  <c r="A54" i="33" s="1"/>
  <c r="A55" i="33" s="1"/>
  <c r="A56" i="33" s="1"/>
  <c r="A57" i="33" s="1"/>
  <c r="A58" i="33" s="1"/>
  <c r="A59" i="33" s="1"/>
  <c r="A60" i="33" s="1"/>
  <c r="A61" i="33" s="1"/>
  <c r="A62" i="33" s="1"/>
  <c r="A63" i="33" s="1"/>
  <c r="A64" i="33" s="1"/>
  <c r="A65" i="33" s="1"/>
  <c r="A66" i="33" s="1"/>
  <c r="A67" i="33" s="1"/>
  <c r="A68" i="33" s="1"/>
  <c r="A69" i="33" s="1"/>
  <c r="A70" i="33" s="1"/>
  <c r="A71" i="33" s="1"/>
  <c r="A72" i="33" s="1"/>
  <c r="A73" i="33" s="1"/>
  <c r="A74" i="33" s="1"/>
  <c r="A75" i="33" s="1"/>
  <c r="A76" i="33" s="1"/>
  <c r="A77" i="33" s="1"/>
  <c r="A78" i="33" s="1"/>
  <c r="A79" i="33" s="1"/>
  <c r="A80" i="33" s="1"/>
  <c r="A81" i="33" s="1"/>
  <c r="A82" i="33" s="1"/>
  <c r="A83" i="33" s="1"/>
  <c r="A84" i="33" s="1"/>
  <c r="A85" i="33" s="1"/>
  <c r="A86" i="33" s="1"/>
  <c r="A87" i="33" s="1"/>
  <c r="A88" i="33" s="1"/>
  <c r="A89" i="33" s="1"/>
  <c r="A90" i="33" s="1"/>
  <c r="A91" i="33" s="1"/>
  <c r="A92" i="33" s="1"/>
  <c r="A93" i="33" s="1"/>
  <c r="A94" i="33" s="1"/>
  <c r="A95" i="33" s="1"/>
  <c r="A96" i="33" s="1"/>
  <c r="A97" i="33" s="1"/>
  <c r="A98" i="33" s="1"/>
  <c r="A99" i="33" s="1"/>
  <c r="A100" i="33" s="1"/>
  <c r="A101" i="33" s="1"/>
  <c r="A102" i="33" s="1"/>
  <c r="A103" i="33" s="1"/>
  <c r="A104" i="33" s="1"/>
  <c r="A105" i="33" s="1"/>
  <c r="A106" i="33" s="1"/>
  <c r="A107" i="33" s="1"/>
  <c r="A108" i="33" s="1"/>
  <c r="A109" i="33" s="1"/>
  <c r="A110" i="33" s="1"/>
  <c r="A111" i="33" s="1"/>
  <c r="A112" i="33" s="1"/>
  <c r="A113" i="33" s="1"/>
  <c r="A114" i="33" s="1"/>
  <c r="A115" i="33" s="1"/>
  <c r="A116" i="33" s="1"/>
  <c r="A117" i="33" s="1"/>
  <c r="A118" i="33" s="1"/>
  <c r="A119" i="33" s="1"/>
  <c r="A120" i="33" s="1"/>
  <c r="A121" i="33" s="1"/>
  <c r="A122" i="33" s="1"/>
  <c r="A123" i="33" s="1"/>
  <c r="A125" i="33" s="1"/>
  <c r="A126" i="33" s="1"/>
  <c r="A127" i="33" s="1"/>
  <c r="A128" i="33" s="1"/>
  <c r="A129" i="33" s="1"/>
  <c r="A130" i="33" s="1"/>
  <c r="A131" i="33" s="1"/>
  <c r="A132" i="33" s="1"/>
  <c r="A133" i="33" s="1"/>
  <c r="A134" i="33" s="1"/>
  <c r="A135" i="33" s="1"/>
  <c r="A136" i="33" s="1"/>
  <c r="A137" i="33" s="1"/>
  <c r="A138" i="33" s="1"/>
  <c r="A139" i="33" s="1"/>
  <c r="A140" i="33" s="1"/>
  <c r="A141" i="33" s="1"/>
  <c r="A142" i="33" s="1"/>
  <c r="A143" i="33" s="1"/>
  <c r="A144" i="33" s="1"/>
  <c r="A145" i="33" s="1"/>
  <c r="A146" i="33" s="1"/>
  <c r="A147" i="33" s="1"/>
  <c r="A148" i="33" s="1"/>
  <c r="A149" i="33" s="1"/>
  <c r="A150" i="33" s="1"/>
  <c r="A151" i="33" s="1"/>
  <c r="A152" i="33" s="1"/>
  <c r="A153" i="33" s="1"/>
  <c r="A154" i="33" s="1"/>
  <c r="A155" i="33" s="1"/>
  <c r="A156" i="33" s="1"/>
  <c r="A157" i="33" s="1"/>
  <c r="A158" i="33" s="1"/>
  <c r="A159" i="33" s="1"/>
  <c r="A160" i="33" s="1"/>
  <c r="A161" i="33" s="1"/>
  <c r="A162" i="33" s="1"/>
  <c r="A163" i="33" s="1"/>
  <c r="A164" i="33" s="1"/>
  <c r="A165" i="33" s="1"/>
  <c r="A166" i="33" s="1"/>
  <c r="A167" i="33" s="1"/>
  <c r="A168" i="33" s="1"/>
  <c r="A169" i="33" s="1"/>
  <c r="A170" i="33" s="1"/>
  <c r="A171" i="33" s="1"/>
  <c r="A172" i="33" s="1"/>
  <c r="A173" i="33" s="1"/>
  <c r="A174" i="33" s="1"/>
  <c r="A175" i="33" s="1"/>
  <c r="A176" i="33" s="1"/>
  <c r="A177" i="33" s="1"/>
  <c r="A178" i="33" s="1"/>
  <c r="A179" i="33" s="1"/>
  <c r="A180" i="33" s="1"/>
  <c r="A181" i="33" s="1"/>
  <c r="A182" i="33" s="1"/>
  <c r="A183" i="33" s="1"/>
  <c r="A184" i="33" s="1"/>
  <c r="A185" i="33" s="1"/>
  <c r="A186" i="33" s="1"/>
  <c r="A187" i="33" s="1"/>
  <c r="A188" i="33" s="1"/>
  <c r="A189" i="33" s="1"/>
  <c r="A190" i="33" s="1"/>
  <c r="A191" i="33" s="1"/>
  <c r="A192" i="33" s="1"/>
  <c r="A193" i="33" s="1"/>
  <c r="A194" i="33" s="1"/>
  <c r="A195" i="33" s="1"/>
  <c r="A196" i="33" s="1"/>
  <c r="A197" i="33" s="1"/>
  <c r="A198" i="33" s="1"/>
  <c r="A199" i="33" s="1"/>
  <c r="A200" i="33" s="1"/>
  <c r="A201" i="33" s="1"/>
  <c r="A202" i="33" s="1"/>
  <c r="A204" i="33" s="1"/>
  <c r="A205" i="33" s="1"/>
  <c r="A206" i="33" s="1"/>
  <c r="A207" i="33" s="1"/>
  <c r="A208" i="33" s="1"/>
  <c r="A209" i="33" s="1"/>
  <c r="A210" i="33" s="1"/>
  <c r="A211" i="33" s="1"/>
  <c r="A212" i="33" s="1"/>
  <c r="A213" i="33" s="1"/>
  <c r="A214" i="33" s="1"/>
  <c r="A215" i="33" s="1"/>
  <c r="A216" i="33" s="1"/>
  <c r="A217" i="33" s="1"/>
  <c r="A218" i="33" s="1"/>
  <c r="A219" i="33" s="1"/>
  <c r="A220" i="33" s="1"/>
  <c r="A221" i="33" s="1"/>
  <c r="A222" i="33" s="1"/>
  <c r="A223" i="33" s="1"/>
  <c r="A224" i="33" s="1"/>
  <c r="A225" i="33" s="1"/>
  <c r="A226" i="33" s="1"/>
  <c r="A227" i="33" s="1"/>
  <c r="A228" i="33" s="1"/>
  <c r="A229" i="33" s="1"/>
  <c r="A230" i="33" s="1"/>
  <c r="A231" i="33" s="1"/>
  <c r="A232" i="33" s="1"/>
  <c r="A233" i="33" s="1"/>
  <c r="A234" i="33" s="1"/>
  <c r="A235" i="33" s="1"/>
  <c r="A236" i="33" s="1"/>
  <c r="A237" i="33" s="1"/>
  <c r="A238" i="33" s="1"/>
  <c r="A239" i="33" s="1"/>
  <c r="A240" i="33" s="1"/>
  <c r="A242" i="33" s="1"/>
  <c r="A243" i="33" s="1"/>
  <c r="A244" i="33" s="1"/>
  <c r="A245" i="33" s="1"/>
  <c r="A246" i="33" s="1"/>
  <c r="A247" i="33" s="1"/>
  <c r="A248" i="33" s="1"/>
  <c r="A249" i="33" s="1"/>
  <c r="A250" i="33" s="1"/>
  <c r="A251" i="33" s="1"/>
  <c r="A252" i="33" s="1"/>
  <c r="A253" i="33" s="1"/>
  <c r="A254" i="33" s="1"/>
  <c r="A255" i="33" s="1"/>
  <c r="A256" i="33" s="1"/>
  <c r="A257" i="33" s="1"/>
  <c r="A258" i="33" s="1"/>
  <c r="A259" i="33" s="1"/>
  <c r="A260" i="33" s="1"/>
  <c r="A261" i="33" s="1"/>
  <c r="A262" i="33" s="1"/>
  <c r="A263" i="33" s="1"/>
  <c r="A264" i="33" s="1"/>
  <c r="A265" i="33" s="1"/>
  <c r="A266" i="33" s="1"/>
  <c r="A267" i="33" s="1"/>
  <c r="A268" i="33" s="1"/>
  <c r="A269" i="33" s="1"/>
  <c r="A271" i="33" s="1"/>
  <c r="A272" i="33" s="1"/>
  <c r="A273" i="33" s="1"/>
  <c r="A274" i="33" s="1"/>
  <c r="A275" i="33" s="1"/>
  <c r="A276" i="33" s="1"/>
  <c r="A277" i="33" s="1"/>
  <c r="A278" i="33" s="1"/>
  <c r="A279" i="33" s="1"/>
  <c r="A280" i="33" s="1"/>
  <c r="A281" i="33" s="1"/>
  <c r="A282" i="33" s="1"/>
  <c r="A283" i="33" s="1"/>
  <c r="A284" i="33" s="1"/>
  <c r="A285" i="33" s="1"/>
  <c r="A286" i="33" s="1"/>
  <c r="A287" i="33" s="1"/>
  <c r="A288" i="33" s="1"/>
  <c r="A289" i="33" s="1"/>
  <c r="A290" i="33" s="1"/>
  <c r="A291" i="33" s="1"/>
  <c r="A292" i="33" s="1"/>
  <c r="A293" i="33" s="1"/>
  <c r="A294" i="33" s="1"/>
  <c r="A295" i="33" s="1"/>
  <c r="A296" i="33" s="1"/>
  <c r="A297" i="33" s="1"/>
  <c r="A298" i="33" s="1"/>
  <c r="A299" i="33" s="1"/>
  <c r="A300" i="33" s="1"/>
  <c r="A301" i="33" s="1"/>
  <c r="A302" i="33" s="1"/>
  <c r="A303" i="33" s="1"/>
  <c r="A304" i="33" s="1"/>
  <c r="A305" i="33" s="1"/>
  <c r="A306" i="33" s="1"/>
  <c r="A307" i="33" s="1"/>
  <c r="A308" i="33" s="1"/>
  <c r="A309" i="33" s="1"/>
  <c r="A310" i="33" s="1"/>
  <c r="A311" i="33" s="1"/>
  <c r="A312" i="33" s="1"/>
  <c r="A313" i="33" s="1"/>
  <c r="A314" i="33" s="1"/>
  <c r="A315" i="33" s="1"/>
  <c r="A316" i="33" s="1"/>
  <c r="A317" i="33" s="1"/>
  <c r="A319" i="33" s="1"/>
  <c r="A320" i="33" s="1"/>
  <c r="A321" i="33" s="1"/>
  <c r="A322" i="33" s="1"/>
  <c r="A323" i="33" s="1"/>
  <c r="A324" i="33" s="1"/>
  <c r="A325" i="33" s="1"/>
  <c r="A326" i="33" s="1"/>
  <c r="A327" i="33" s="1"/>
  <c r="A328" i="33" s="1"/>
  <c r="A329" i="33" s="1"/>
  <c r="A330" i="33" s="1"/>
  <c r="A331" i="33" s="1"/>
  <c r="A332" i="33" s="1"/>
  <c r="A333" i="33" s="1"/>
  <c r="A334" i="33" s="1"/>
  <c r="A335" i="33" s="1"/>
  <c r="A336" i="33" s="1"/>
  <c r="A337" i="33" s="1"/>
  <c r="A338" i="33" s="1"/>
  <c r="A339" i="33" s="1"/>
  <c r="A340" i="33" s="1"/>
  <c r="A341" i="33" s="1"/>
  <c r="A342" i="33" s="1"/>
  <c r="A343" i="33" s="1"/>
  <c r="A344" i="33" s="1"/>
  <c r="A345" i="33" s="1"/>
  <c r="A346" i="33" s="1"/>
  <c r="A347" i="33" s="1"/>
  <c r="A348" i="33" s="1"/>
  <c r="A349" i="33" s="1"/>
  <c r="A350" i="33" s="1"/>
  <c r="A351" i="33" s="1"/>
  <c r="A352" i="33" s="1"/>
  <c r="A353" i="33" s="1"/>
  <c r="A354" i="33" s="1"/>
  <c r="A355" i="33" s="1"/>
  <c r="A356" i="33" s="1"/>
  <c r="A357" i="33" s="1"/>
  <c r="A358" i="33" s="1"/>
  <c r="A359" i="33" s="1"/>
  <c r="A360" i="33" s="1"/>
  <c r="A361" i="33" s="1"/>
  <c r="A362" i="33" s="1"/>
  <c r="A363" i="33" s="1"/>
  <c r="A364" i="33" s="1"/>
  <c r="A365" i="33" s="1"/>
  <c r="A366" i="33" s="1"/>
  <c r="A368" i="33" s="1"/>
  <c r="A369" i="33" s="1"/>
  <c r="A370" i="33" s="1"/>
  <c r="A371" i="33" s="1"/>
  <c r="A372" i="33" s="1"/>
  <c r="A373" i="33" s="1"/>
  <c r="A374" i="33" s="1"/>
  <c r="A375" i="33" s="1"/>
  <c r="A376" i="33" s="1"/>
  <c r="A377" i="33" s="1"/>
  <c r="A379" i="33" s="1"/>
  <c r="A380" i="33" s="1"/>
  <c r="A381" i="33" s="1"/>
  <c r="A382" i="33" s="1"/>
  <c r="A383" i="33" s="1"/>
  <c r="A384" i="33" s="1"/>
  <c r="A385" i="33" s="1"/>
  <c r="A386" i="33" s="1"/>
  <c r="A387" i="33" s="1"/>
  <c r="A388" i="33" s="1"/>
  <c r="A390" i="33" s="1"/>
  <c r="A391" i="33" s="1"/>
  <c r="A392" i="33" s="1"/>
  <c r="A393" i="33" s="1"/>
  <c r="A394" i="33" s="1"/>
  <c r="A395" i="33" s="1"/>
  <c r="A396" i="33" s="1"/>
  <c r="A397" i="33" s="1"/>
  <c r="A398" i="33" s="1"/>
  <c r="A399" i="33" s="1"/>
  <c r="A400" i="33" s="1"/>
  <c r="A401" i="33" s="1"/>
  <c r="A402" i="33" s="1"/>
  <c r="A403" i="33" s="1"/>
  <c r="A404" i="33" s="1"/>
  <c r="A405" i="33" s="1"/>
  <c r="A406" i="33" s="1"/>
  <c r="A407" i="33" s="1"/>
  <c r="A408" i="33" s="1"/>
  <c r="A409" i="33" s="1"/>
  <c r="A410" i="33" s="1"/>
  <c r="A411" i="33" s="1"/>
  <c r="A412" i="33" s="1"/>
  <c r="A413" i="33" s="1"/>
  <c r="A414" i="33" s="1"/>
  <c r="A415" i="33" s="1"/>
  <c r="A416" i="33" s="1"/>
  <c r="A417" i="33" s="1"/>
  <c r="A418" i="33" s="1"/>
  <c r="A419" i="33" s="1"/>
  <c r="A420" i="33" s="1"/>
  <c r="A421" i="33" s="1"/>
  <c r="A422" i="33" s="1"/>
  <c r="A423" i="33" s="1"/>
  <c r="A424" i="33" s="1"/>
  <c r="A425" i="33" s="1"/>
  <c r="A426" i="33" s="1"/>
  <c r="A427" i="33" s="1"/>
  <c r="A428" i="33" s="1"/>
  <c r="A429" i="33" s="1"/>
  <c r="A430" i="33" s="1"/>
  <c r="A431" i="33" s="1"/>
  <c r="A432" i="33" s="1"/>
  <c r="A433" i="33" s="1"/>
  <c r="A434" i="33" s="1"/>
  <c r="A435" i="33" s="1"/>
  <c r="A436" i="33" s="1"/>
  <c r="A437" i="33" s="1"/>
  <c r="A438" i="33" s="1"/>
  <c r="A439" i="33" s="1"/>
  <c r="A440" i="33" s="1"/>
  <c r="A441" i="33" s="1"/>
  <c r="A443" i="33" s="1"/>
  <c r="A444" i="33" s="1"/>
  <c r="A445" i="33" s="1"/>
  <c r="A446" i="33" s="1"/>
  <c r="A447" i="33" s="1"/>
  <c r="A448" i="33" s="1"/>
  <c r="A449" i="33" s="1"/>
  <c r="A450" i="33" s="1"/>
  <c r="A451" i="33" s="1"/>
  <c r="A452" i="33" s="1"/>
  <c r="A453" i="33" s="1"/>
  <c r="A454" i="33" s="1"/>
  <c r="A455" i="33" s="1"/>
  <c r="A456" i="33" s="1"/>
  <c r="A457" i="33" s="1"/>
  <c r="A458" i="33" s="1"/>
  <c r="A459" i="33" s="1"/>
  <c r="A460" i="33" s="1"/>
  <c r="A461" i="33" s="1"/>
  <c r="A462" i="33" s="1"/>
  <c r="A463" i="33" s="1"/>
  <c r="A464" i="33" s="1"/>
  <c r="A465" i="33" s="1"/>
  <c r="A466" i="33" s="1"/>
  <c r="A467" i="33" s="1"/>
  <c r="A468" i="33" s="1"/>
  <c r="A469" i="33" s="1"/>
  <c r="A470" i="33" s="1"/>
  <c r="A471" i="33" s="1"/>
  <c r="A472" i="33" s="1"/>
  <c r="A473" i="33" s="1"/>
  <c r="A474" i="33" s="1"/>
  <c r="A475" i="33" s="1"/>
  <c r="A476" i="33" s="1"/>
  <c r="A477" i="33" s="1"/>
  <c r="A478" i="33" s="1"/>
  <c r="A479" i="33" s="1"/>
  <c r="A480" i="33" s="1"/>
  <c r="A481" i="33" s="1"/>
  <c r="A482" i="33" s="1"/>
  <c r="A483" i="33" s="1"/>
  <c r="A484" i="33" s="1"/>
  <c r="A486" i="33" s="1"/>
  <c r="A487" i="33" s="1"/>
  <c r="A488" i="33" s="1"/>
  <c r="A489" i="33" s="1"/>
  <c r="A490" i="33" s="1"/>
  <c r="A491" i="33" s="1"/>
  <c r="A492" i="33" s="1"/>
  <c r="A493" i="33" s="1"/>
  <c r="A494" i="33" s="1"/>
  <c r="A495" i="33" s="1"/>
  <c r="A496" i="33" s="1"/>
  <c r="A497" i="33" s="1"/>
  <c r="A498" i="33" s="1"/>
  <c r="A499" i="33" s="1"/>
  <c r="A500" i="33" s="1"/>
  <c r="A501" i="33" s="1"/>
  <c r="A502" i="33" s="1"/>
  <c r="A503" i="33" s="1"/>
  <c r="A504" i="33" s="1"/>
  <c r="A505" i="33" s="1"/>
  <c r="A506" i="33" s="1"/>
  <c r="A507" i="33" s="1"/>
  <c r="A508" i="33" s="1"/>
  <c r="A509" i="33" s="1"/>
  <c r="A510" i="33" s="1"/>
  <c r="A511" i="33" s="1"/>
  <c r="A512" i="33" s="1"/>
  <c r="A513" i="33" s="1"/>
  <c r="A514" i="33" s="1"/>
  <c r="A515" i="33" s="1"/>
  <c r="A516" i="33" s="1"/>
  <c r="A517" i="33" s="1"/>
  <c r="A518" i="33" s="1"/>
  <c r="A519" i="33" s="1"/>
  <c r="A520" i="33" s="1"/>
  <c r="A521" i="33" s="1"/>
  <c r="A522" i="33" s="1"/>
  <c r="A523" i="33" s="1"/>
  <c r="A524" i="33" s="1"/>
  <c r="A525" i="33" s="1"/>
  <c r="A526" i="33" s="1"/>
  <c r="A528" i="33" s="1"/>
  <c r="A529" i="33" s="1"/>
  <c r="A530" i="33" s="1"/>
  <c r="A531" i="33" s="1"/>
  <c r="A533" i="33" s="1"/>
  <c r="A534" i="33" s="1"/>
  <c r="A535" i="33" s="1"/>
  <c r="A536" i="33" s="1"/>
  <c r="A537" i="33" s="1"/>
  <c r="A538" i="33" s="1"/>
  <c r="A539" i="33" s="1"/>
  <c r="A540" i="33" s="1"/>
  <c r="A541" i="33" s="1"/>
  <c r="A542" i="33" s="1"/>
  <c r="A543" i="33" s="1"/>
  <c r="A544" i="33" s="1"/>
  <c r="A545" i="33" s="1"/>
  <c r="A546" i="33" s="1"/>
  <c r="A547" i="33" s="1"/>
  <c r="A548" i="33" s="1"/>
  <c r="A549" i="33" s="1"/>
  <c r="A550" i="33" s="1"/>
  <c r="A551" i="33" s="1"/>
  <c r="A552" i="33" s="1"/>
  <c r="A553" i="33" s="1"/>
  <c r="A554" i="33" s="1"/>
  <c r="A555" i="33" s="1"/>
  <c r="A556" i="33" s="1"/>
  <c r="A557" i="33" s="1"/>
  <c r="A558" i="33" s="1"/>
  <c r="A559" i="33" s="1"/>
  <c r="A560" i="33" s="1"/>
  <c r="A561" i="33" s="1"/>
  <c r="A562" i="33" s="1"/>
  <c r="A563" i="33" s="1"/>
  <c r="A564" i="33" s="1"/>
  <c r="A565" i="33" s="1"/>
  <c r="A566" i="33" s="1"/>
  <c r="A567" i="33" s="1"/>
  <c r="A568" i="33" s="1"/>
  <c r="A569" i="33" s="1"/>
  <c r="A570" i="33" s="1"/>
  <c r="A571" i="33" s="1"/>
  <c r="A572" i="33" s="1"/>
  <c r="A574" i="33" s="1"/>
  <c r="A575" i="33" s="1"/>
  <c r="A576" i="33" s="1"/>
  <c r="A577" i="33" s="1"/>
  <c r="A578" i="33" s="1"/>
  <c r="A579" i="33" s="1"/>
  <c r="A580" i="33" s="1"/>
  <c r="A581" i="33" s="1"/>
  <c r="A582" i="33" s="1"/>
  <c r="A583" i="33" s="1"/>
  <c r="A585" i="33" s="1"/>
  <c r="A586" i="33" s="1"/>
  <c r="A587" i="33" s="1"/>
  <c r="A588" i="33" s="1"/>
  <c r="A589" i="33" s="1"/>
  <c r="A590" i="33" s="1"/>
  <c r="A591" i="33" s="1"/>
  <c r="A592" i="33" s="1"/>
  <c r="A593" i="33" s="1"/>
  <c r="A594" i="33" s="1"/>
  <c r="A595" i="33" s="1"/>
  <c r="A596" i="33" s="1"/>
  <c r="A598" i="33" s="1"/>
  <c r="A599" i="33" s="1"/>
  <c r="A600" i="33" s="1"/>
  <c r="A601" i="33" s="1"/>
  <c r="A602" i="33" s="1"/>
  <c r="A603" i="33" s="1"/>
  <c r="A604" i="33" s="1"/>
  <c r="A605" i="33" s="1"/>
  <c r="A606" i="33" s="1"/>
  <c r="A607" i="33" s="1"/>
  <c r="A608" i="33" s="1"/>
  <c r="A609" i="33" s="1"/>
  <c r="A610" i="33" s="1"/>
  <c r="A611" i="33" s="1"/>
  <c r="A612" i="33" s="1"/>
  <c r="A613" i="33" s="1"/>
  <c r="A614" i="33" s="1"/>
  <c r="A615" i="33" s="1"/>
  <c r="A616" i="33" s="1"/>
  <c r="A617" i="33" s="1"/>
  <c r="A618" i="33" s="1"/>
  <c r="A619" i="33" s="1"/>
  <c r="A620" i="33" s="1"/>
  <c r="A621" i="33" s="1"/>
  <c r="A622" i="33" s="1"/>
  <c r="A623" i="33" s="1"/>
  <c r="A624" i="33" s="1"/>
  <c r="A625" i="33" s="1"/>
  <c r="A626" i="33" s="1"/>
  <c r="A627" i="33" s="1"/>
  <c r="A628" i="33" s="1"/>
  <c r="A629" i="33" s="1"/>
  <c r="A630" i="33" s="1"/>
  <c r="A631" i="33" s="1"/>
  <c r="A632" i="33" s="1"/>
  <c r="A633" i="33" s="1"/>
  <c r="A634" i="33" s="1"/>
  <c r="A635" i="33" s="1"/>
  <c r="A636" i="33" s="1"/>
  <c r="A637" i="33" s="1"/>
  <c r="A638" i="33" s="1"/>
  <c r="A639" i="33" s="1"/>
  <c r="A640" i="33" s="1"/>
  <c r="A641" i="33" s="1"/>
  <c r="A642" i="33" s="1"/>
  <c r="A643" i="33" s="1"/>
  <c r="A644" i="33" s="1"/>
  <c r="A645" i="33" s="1"/>
  <c r="A646" i="33" s="1"/>
  <c r="A648" i="33" s="1"/>
  <c r="A649" i="33" s="1"/>
  <c r="A650" i="33" s="1"/>
  <c r="A651" i="33" s="1"/>
  <c r="A652" i="33" s="1"/>
  <c r="A653" i="33" s="1"/>
  <c r="A654" i="33" s="1"/>
  <c r="A655" i="33" s="1"/>
  <c r="A656" i="33" s="1"/>
  <c r="A657" i="33" s="1"/>
  <c r="A658" i="33" s="1"/>
  <c r="A659" i="33" s="1"/>
  <c r="A660" i="33" s="1"/>
  <c r="A661" i="33" s="1"/>
  <c r="A662" i="33" s="1"/>
  <c r="A663" i="33" s="1"/>
  <c r="A664" i="33" s="1"/>
  <c r="A665" i="33" s="1"/>
  <c r="A666" i="33" s="1"/>
  <c r="A667" i="33" s="1"/>
  <c r="A668" i="33" s="1"/>
  <c r="A669" i="33" s="1"/>
  <c r="A670" i="33" s="1"/>
  <c r="A671" i="33" s="1"/>
  <c r="A672" i="33" s="1"/>
  <c r="A673" i="33" s="1"/>
  <c r="A674" i="33" s="1"/>
  <c r="A675" i="33" s="1"/>
  <c r="A676" i="33" s="1"/>
  <c r="A677" i="33" s="1"/>
  <c r="A678" i="33" s="1"/>
  <c r="A679" i="33" s="1"/>
  <c r="A680" i="33" s="1"/>
  <c r="A681" i="33" s="1"/>
  <c r="A682" i="33" s="1"/>
  <c r="A683" i="33" s="1"/>
  <c r="A684" i="33" s="1"/>
  <c r="A685" i="33" s="1"/>
  <c r="A686" i="33" s="1"/>
  <c r="A687" i="33" s="1"/>
  <c r="A688" i="33" s="1"/>
  <c r="A689" i="33" s="1"/>
  <c r="A690" i="33" s="1"/>
  <c r="A691" i="33" s="1"/>
  <c r="A692" i="33" s="1"/>
  <c r="A693" i="33" s="1"/>
  <c r="A694" i="33" s="1"/>
  <c r="A695" i="33" s="1"/>
  <c r="A696" i="33" s="1"/>
  <c r="A697" i="33" s="1"/>
  <c r="A698" i="33" s="1"/>
  <c r="A699" i="33" s="1"/>
  <c r="A700" i="33" s="1"/>
  <c r="A701" i="33" s="1"/>
  <c r="A702" i="33" s="1"/>
  <c r="A703" i="33" s="1"/>
  <c r="A704" i="33" s="1"/>
  <c r="A705" i="33" s="1"/>
  <c r="A707" i="33" s="1"/>
  <c r="A708" i="33" s="1"/>
  <c r="A709" i="33" s="1"/>
  <c r="A711" i="33" s="1"/>
  <c r="A712" i="33" s="1"/>
  <c r="A713" i="33" s="1"/>
  <c r="A714" i="33" s="1"/>
  <c r="A715" i="33" s="1"/>
  <c r="A716" i="33" s="1"/>
  <c r="A717" i="33" s="1"/>
  <c r="A718" i="33" s="1"/>
  <c r="A719" i="33" s="1"/>
  <c r="A720" i="33" s="1"/>
  <c r="A721" i="33" s="1"/>
  <c r="A722" i="33" s="1"/>
  <c r="A723" i="33" s="1"/>
  <c r="A724" i="33" s="1"/>
  <c r="A725" i="33" s="1"/>
  <c r="A726" i="33" s="1"/>
  <c r="A727" i="33" s="1"/>
  <c r="A728" i="33" s="1"/>
  <c r="A729" i="33" s="1"/>
  <c r="A730" i="33" s="1"/>
  <c r="A731" i="33" s="1"/>
  <c r="A732" i="33" s="1"/>
  <c r="A733" i="33" s="1"/>
  <c r="A734" i="33" s="1"/>
  <c r="A735" i="33" s="1"/>
  <c r="A736" i="33" s="1"/>
  <c r="A737" i="33" s="1"/>
  <c r="A738" i="33" s="1"/>
  <c r="A739" i="33" s="1"/>
  <c r="A740" i="33" s="1"/>
  <c r="A741" i="33" s="1"/>
  <c r="A742" i="33" s="1"/>
  <c r="A743" i="33" s="1"/>
  <c r="A744" i="33" s="1"/>
  <c r="A745" i="33" s="1"/>
  <c r="A746" i="33" s="1"/>
  <c r="A747" i="33" s="1"/>
  <c r="A748" i="33" s="1"/>
  <c r="A749" i="33" s="1"/>
  <c r="A750" i="33" s="1"/>
  <c r="A751" i="33" s="1"/>
  <c r="A752" i="33" s="1"/>
  <c r="A753" i="33" s="1"/>
  <c r="A754" i="33" s="1"/>
  <c r="A755" i="33" s="1"/>
  <c r="A757" i="33" s="1"/>
  <c r="A758" i="33" s="1"/>
  <c r="A759" i="33" s="1"/>
  <c r="A760" i="33" s="1"/>
  <c r="A761" i="33" s="1"/>
  <c r="A762" i="33" s="1"/>
  <c r="A763" i="33" s="1"/>
  <c r="A764" i="33" s="1"/>
  <c r="A765" i="33" s="1"/>
  <c r="A766" i="33" s="1"/>
  <c r="A767" i="33" s="1"/>
  <c r="A768" i="33" s="1"/>
  <c r="A769" i="33" s="1"/>
  <c r="A770" i="33" s="1"/>
  <c r="A771" i="33" s="1"/>
  <c r="A772" i="33" s="1"/>
  <c r="A773" i="33" s="1"/>
  <c r="A774" i="33" s="1"/>
  <c r="A775" i="33" s="1"/>
  <c r="A776" i="33" s="1"/>
  <c r="A777" i="33" s="1"/>
  <c r="A778" i="33" s="1"/>
  <c r="A779" i="33" s="1"/>
  <c r="A780" i="33" s="1"/>
  <c r="A781" i="33" s="1"/>
  <c r="A782" i="33" s="1"/>
  <c r="A783" i="33" s="1"/>
  <c r="A784" i="33" s="1"/>
  <c r="A785" i="33" s="1"/>
  <c r="A786" i="33" s="1"/>
  <c r="A787" i="33" s="1"/>
  <c r="A788" i="33" s="1"/>
  <c r="A789" i="33" s="1"/>
  <c r="A790" i="33" s="1"/>
  <c r="A791" i="33" s="1"/>
  <c r="A792" i="33" s="1"/>
  <c r="A793" i="33" s="1"/>
  <c r="A794" i="33" s="1"/>
  <c r="A795" i="33" s="1"/>
  <c r="A796" i="33" s="1"/>
  <c r="A797" i="33" s="1"/>
  <c r="A798" i="33" s="1"/>
  <c r="A799" i="33" s="1"/>
  <c r="A800" i="33" s="1"/>
  <c r="A801" i="33" s="1"/>
  <c r="A804" i="33" s="1"/>
  <c r="A805" i="33" s="1"/>
  <c r="A806" i="33" s="1"/>
  <c r="A807" i="33" s="1"/>
  <c r="A808" i="33" s="1"/>
  <c r="A809" i="33" s="1"/>
  <c r="A810" i="33" s="1"/>
  <c r="A811" i="33" s="1"/>
  <c r="A812" i="33" s="1"/>
  <c r="A813" i="33" s="1"/>
  <c r="A814" i="33" s="1"/>
  <c r="A815" i="33" s="1"/>
  <c r="A816" i="33" s="1"/>
  <c r="A817" i="33" s="1"/>
  <c r="A818" i="33" s="1"/>
  <c r="A819" i="33" s="1"/>
  <c r="A820" i="33" s="1"/>
  <c r="A821" i="33" s="1"/>
  <c r="A822" i="33" s="1"/>
  <c r="A823" i="33" s="1"/>
  <c r="A825" i="33" s="1"/>
  <c r="A826" i="33" s="1"/>
  <c r="A827" i="33" s="1"/>
  <c r="A828" i="33" s="1"/>
  <c r="A829" i="33" s="1"/>
  <c r="A830" i="33" s="1"/>
  <c r="A831" i="33" s="1"/>
  <c r="A832" i="33" s="1"/>
  <c r="A833" i="33" s="1"/>
  <c r="A836" i="33" s="1"/>
  <c r="A837" i="33" s="1"/>
  <c r="A838" i="33" s="1"/>
  <c r="A839" i="33" s="1"/>
  <c r="A841" i="33" s="1"/>
  <c r="A842" i="33" s="1"/>
  <c r="A843" i="33" s="1"/>
  <c r="A844" i="33" s="1"/>
  <c r="A845" i="33" s="1"/>
  <c r="A847" i="33" s="1"/>
  <c r="A848" i="33" s="1"/>
  <c r="A849" i="33" s="1"/>
  <c r="A850" i="33" s="1"/>
  <c r="A851" i="33" s="1"/>
  <c r="A852" i="33" s="1"/>
  <c r="A853" i="33" s="1"/>
  <c r="A854" i="33" s="1"/>
  <c r="A855" i="33" s="1"/>
  <c r="A856" i="33" s="1"/>
  <c r="A857" i="33" s="1"/>
  <c r="A858" i="33" s="1"/>
  <c r="A859" i="33" s="1"/>
  <c r="A860" i="33" s="1"/>
  <c r="A861" i="33" s="1"/>
  <c r="A862" i="33" s="1"/>
  <c r="A863" i="33" s="1"/>
  <c r="A864" i="33" s="1"/>
  <c r="A865" i="33" s="1"/>
  <c r="A866" i="33" s="1"/>
  <c r="A867" i="33" s="1"/>
  <c r="A868" i="33" s="1"/>
  <c r="A869" i="33" s="1"/>
  <c r="A870" i="33" s="1"/>
  <c r="A871" i="33" s="1"/>
  <c r="A872" i="33" s="1"/>
  <c r="A873" i="33" s="1"/>
  <c r="A874" i="33" s="1"/>
  <c r="A875" i="33" s="1"/>
  <c r="A876" i="33" s="1"/>
  <c r="A877" i="33" s="1"/>
  <c r="A878" i="33" s="1"/>
  <c r="A879" i="33" s="1"/>
  <c r="A880" i="33" s="1"/>
  <c r="A881" i="33" s="1"/>
  <c r="A882" i="33" s="1"/>
  <c r="A883" i="33" s="1"/>
  <c r="A884" i="33" s="1"/>
  <c r="A885" i="33" s="1"/>
  <c r="A886" i="33" s="1"/>
  <c r="A887" i="33" s="1"/>
  <c r="A888" i="33" s="1"/>
  <c r="A889" i="33" s="1"/>
  <c r="A890" i="33" s="1"/>
  <c r="A891" i="33" s="1"/>
  <c r="A892" i="33" s="1"/>
  <c r="A893" i="33" s="1"/>
  <c r="A894" i="33" s="1"/>
  <c r="A895" i="33" s="1"/>
  <c r="A896" i="33" s="1"/>
  <c r="A897" i="33" s="1"/>
  <c r="A898" i="33" s="1"/>
  <c r="A899" i="33" s="1"/>
  <c r="A900" i="33" s="1"/>
  <c r="A901" i="33" s="1"/>
  <c r="A902" i="33" s="1"/>
  <c r="A903" i="33" s="1"/>
  <c r="A904" i="33" s="1"/>
  <c r="A905" i="33" s="1"/>
  <c r="A906" i="33" s="1"/>
  <c r="A907" i="33" s="1"/>
  <c r="A908" i="33" s="1"/>
  <c r="A909" i="33" s="1"/>
  <c r="A910" i="33" s="1"/>
  <c r="A911" i="33" s="1"/>
  <c r="A912" i="33" s="1"/>
  <c r="A913" i="33" s="1"/>
  <c r="A914" i="33" s="1"/>
  <c r="A915" i="33" s="1"/>
  <c r="A916" i="33" s="1"/>
  <c r="A917" i="33" s="1"/>
  <c r="A918" i="33" s="1"/>
  <c r="A919" i="33" s="1"/>
  <c r="A920" i="33" s="1"/>
  <c r="A921" i="33" s="1"/>
  <c r="A922" i="33" s="1"/>
  <c r="A923" i="33" s="1"/>
  <c r="A925" i="33" s="1"/>
  <c r="A926" i="33" s="1"/>
  <c r="A927" i="33" s="1"/>
  <c r="A929" i="33" s="1"/>
  <c r="A930" i="33" s="1"/>
  <c r="A931" i="33" s="1"/>
  <c r="A932" i="33" s="1"/>
  <c r="A934" i="33" s="1"/>
  <c r="A935" i="33" s="1"/>
  <c r="A936" i="33" s="1"/>
  <c r="A937" i="33" s="1"/>
  <c r="A938" i="33" s="1"/>
  <c r="A939" i="33" s="1"/>
  <c r="A940" i="33" s="1"/>
  <c r="A941" i="33" s="1"/>
  <c r="A942" i="33" s="1"/>
  <c r="A943" i="33" s="1"/>
  <c r="A944" i="33" s="1"/>
  <c r="A945" i="33" s="1"/>
  <c r="A946" i="33" s="1"/>
  <c r="A947" i="33" s="1"/>
  <c r="A948" i="33" s="1"/>
  <c r="A949" i="33" s="1"/>
  <c r="A950" i="33" s="1"/>
  <c r="A951" i="33" s="1"/>
  <c r="A952" i="33" s="1"/>
  <c r="A953" i="33" s="1"/>
  <c r="A954" i="33" s="1"/>
  <c r="A955" i="33" s="1"/>
  <c r="A956" i="33" s="1"/>
  <c r="A957" i="33" s="1"/>
  <c r="A958" i="33" s="1"/>
  <c r="A959" i="33" s="1"/>
  <c r="A960" i="33" s="1"/>
  <c r="A961" i="33" s="1"/>
  <c r="A962" i="33" s="1"/>
  <c r="A963" i="33" s="1"/>
  <c r="A964" i="33" s="1"/>
  <c r="A965" i="33" s="1"/>
  <c r="A966" i="33" s="1"/>
  <c r="A967" i="33" s="1"/>
  <c r="A968" i="33" s="1"/>
  <c r="A969" i="33" s="1"/>
  <c r="A970" i="33" s="1"/>
  <c r="A3" i="35" l="1"/>
  <c r="A127" i="1" l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96" i="1"/>
  <c r="G195" i="1"/>
  <c r="G194" i="1"/>
  <c r="G193" i="1"/>
  <c r="G192" i="1"/>
  <c r="G191" i="1"/>
  <c r="G172" i="1"/>
  <c r="G171" i="1"/>
  <c r="G170" i="1"/>
  <c r="G169" i="1"/>
  <c r="G168" i="1"/>
  <c r="G167" i="1"/>
  <c r="G160" i="1"/>
  <c r="G159" i="1"/>
  <c r="G158" i="1"/>
  <c r="G157" i="1"/>
  <c r="G156" i="1"/>
  <c r="G155" i="1"/>
  <c r="G166" i="1"/>
  <c r="G165" i="1"/>
  <c r="G164" i="1"/>
  <c r="G163" i="1"/>
  <c r="G162" i="1"/>
  <c r="G161" i="1"/>
  <c r="G142" i="1"/>
  <c r="G141" i="1"/>
  <c r="G140" i="1"/>
  <c r="G139" i="1"/>
  <c r="G138" i="1"/>
  <c r="G137" i="1"/>
  <c r="G148" i="1"/>
  <c r="G147" i="1"/>
  <c r="G146" i="1"/>
  <c r="G145" i="1"/>
  <c r="G144" i="1"/>
  <c r="G143" i="1"/>
  <c r="G136" i="1"/>
  <c r="G135" i="1"/>
  <c r="G134" i="1"/>
  <c r="G133" i="1"/>
  <c r="G132" i="1"/>
  <c r="G131" i="1"/>
  <c r="G707" i="1"/>
  <c r="G708" i="1"/>
  <c r="G709" i="1"/>
  <c r="G143" i="35" l="1"/>
  <c r="G142" i="35"/>
  <c r="G141" i="35"/>
  <c r="G140" i="35"/>
  <c r="G139" i="35"/>
  <c r="G138" i="35"/>
  <c r="G137" i="35"/>
  <c r="G136" i="35"/>
  <c r="G135" i="35"/>
  <c r="G134" i="35"/>
  <c r="G133" i="35"/>
  <c r="G132" i="35"/>
  <c r="G131" i="35"/>
  <c r="G130" i="35"/>
  <c r="G129" i="35"/>
  <c r="G127" i="35"/>
  <c r="G126" i="35"/>
  <c r="G125" i="35"/>
  <c r="G124" i="35"/>
  <c r="G123" i="35"/>
  <c r="G122" i="35"/>
  <c r="G120" i="35"/>
  <c r="G118" i="35"/>
  <c r="G117" i="35"/>
  <c r="G116" i="35"/>
  <c r="G115" i="35"/>
  <c r="G114" i="35"/>
  <c r="G113" i="35"/>
  <c r="G111" i="35"/>
  <c r="G110" i="35"/>
  <c r="G109" i="35"/>
  <c r="G108" i="35"/>
  <c r="G107" i="35"/>
  <c r="G106" i="35"/>
  <c r="G105" i="35"/>
  <c r="G104" i="35"/>
  <c r="G103" i="35"/>
  <c r="G102" i="35"/>
  <c r="G101" i="35"/>
  <c r="G100" i="35"/>
  <c r="G99" i="35"/>
  <c r="G97" i="35"/>
  <c r="G96" i="35"/>
  <c r="G95" i="35"/>
  <c r="G94" i="35"/>
  <c r="G93" i="35"/>
  <c r="G92" i="35"/>
  <c r="G91" i="35"/>
  <c r="G90" i="35"/>
  <c r="G89" i="35"/>
  <c r="G88" i="35"/>
  <c r="G87" i="35"/>
  <c r="G86" i="35"/>
  <c r="G85" i="35"/>
  <c r="G84" i="35"/>
  <c r="G83" i="35"/>
  <c r="G82" i="35"/>
  <c r="G81" i="35"/>
  <c r="G80" i="35"/>
  <c r="G79" i="35"/>
  <c r="G78" i="35"/>
  <c r="G77" i="35"/>
  <c r="G76" i="35"/>
  <c r="G75" i="35"/>
  <c r="G65" i="35"/>
  <c r="G64" i="35"/>
  <c r="G63" i="35"/>
  <c r="G62" i="35"/>
  <c r="G61" i="35"/>
  <c r="G60" i="35"/>
  <c r="G59" i="35"/>
  <c r="G58" i="35"/>
  <c r="G56" i="35"/>
  <c r="G55" i="35"/>
  <c r="G54" i="35"/>
  <c r="G53" i="35"/>
  <c r="G52" i="35"/>
  <c r="G51" i="35"/>
  <c r="G50" i="35"/>
  <c r="G49" i="35"/>
  <c r="G48" i="35"/>
  <c r="G47" i="35"/>
  <c r="G46" i="35"/>
  <c r="G45" i="35"/>
  <c r="G44" i="35"/>
  <c r="G43" i="35"/>
  <c r="G42" i="35"/>
  <c r="G41" i="35"/>
  <c r="G40" i="35"/>
  <c r="G39" i="35"/>
  <c r="G38" i="35"/>
  <c r="G36" i="35"/>
  <c r="G34" i="35"/>
  <c r="G33" i="35"/>
  <c r="G32" i="35"/>
  <c r="G31" i="35"/>
  <c r="G30" i="35"/>
  <c r="G29" i="35"/>
  <c r="G28" i="35"/>
  <c r="G27" i="35"/>
  <c r="G26" i="35"/>
  <c r="G25" i="35"/>
  <c r="G24" i="35"/>
  <c r="G23" i="35"/>
  <c r="G22" i="35"/>
  <c r="G21" i="35"/>
  <c r="G19" i="35"/>
  <c r="G18" i="35"/>
  <c r="G17" i="35"/>
  <c r="G16" i="35"/>
  <c r="G14" i="35"/>
  <c r="G13" i="35"/>
  <c r="G12" i="35"/>
  <c r="G11" i="35"/>
  <c r="G10" i="35"/>
  <c r="G9" i="35"/>
  <c r="G8" i="35"/>
  <c r="G7" i="35"/>
  <c r="G6" i="35"/>
  <c r="G5" i="35"/>
  <c r="G4" i="35"/>
  <c r="G3" i="35"/>
  <c r="A4" i="35" s="1"/>
  <c r="A5" i="35" l="1"/>
  <c r="A6" i="35" s="1"/>
  <c r="A7" i="35" s="1"/>
  <c r="A8" i="35" s="1"/>
  <c r="A9" i="35" s="1"/>
  <c r="A10" i="35" s="1"/>
  <c r="A11" i="35" s="1"/>
  <c r="A12" i="35" s="1"/>
  <c r="A13" i="35" s="1"/>
  <c r="A14" i="35" s="1"/>
  <c r="A16" i="35" s="1"/>
  <c r="A17" i="35" s="1"/>
  <c r="A18" i="35" s="1"/>
  <c r="A19" i="35" s="1"/>
  <c r="G596" i="1"/>
  <c r="G388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A20" i="35" l="1"/>
  <c r="A21" i="35" s="1"/>
  <c r="A22" i="35" s="1"/>
  <c r="A23" i="35" s="1"/>
  <c r="A24" i="35" s="1"/>
  <c r="A25" i="35" s="1"/>
  <c r="A26" i="35" s="1"/>
  <c r="A27" i="35" s="1"/>
  <c r="A28" i="35" s="1"/>
  <c r="A29" i="35" s="1"/>
  <c r="A30" i="35" s="1"/>
  <c r="A31" i="35" s="1"/>
  <c r="A32" i="35" s="1"/>
  <c r="A33" i="35" s="1"/>
  <c r="A38" i="35" s="1"/>
  <c r="A39" i="35" s="1"/>
  <c r="A40" i="35" s="1"/>
  <c r="A41" i="35" s="1"/>
  <c r="A42" i="35" s="1"/>
  <c r="A43" i="35" s="1"/>
  <c r="A44" i="35" s="1"/>
  <c r="A45" i="35" s="1"/>
  <c r="A46" i="35" s="1"/>
  <c r="A47" i="35" s="1"/>
  <c r="A48" i="35" s="1"/>
  <c r="A49" i="35" s="1"/>
  <c r="A50" i="35" s="1"/>
  <c r="A51" i="35" s="1"/>
  <c r="A52" i="35" s="1"/>
  <c r="A53" i="35" s="1"/>
  <c r="A54" i="35" s="1"/>
  <c r="A55" i="35" s="1"/>
  <c r="A56" i="35" s="1"/>
  <c r="A58" i="35" s="1"/>
  <c r="A59" i="35" s="1"/>
  <c r="A60" i="35" s="1"/>
  <c r="A61" i="35" s="1"/>
  <c r="A62" i="35" s="1"/>
  <c r="A63" i="35" s="1"/>
  <c r="A64" i="35" s="1"/>
  <c r="A65" i="35" s="1"/>
  <c r="A66" i="35" s="1"/>
  <c r="A67" i="35" s="1"/>
  <c r="A68" i="35" s="1"/>
  <c r="A69" i="35" s="1"/>
  <c r="A70" i="35" s="1"/>
  <c r="A71" i="35" s="1"/>
  <c r="A72" i="35" s="1"/>
  <c r="A73" i="35" s="1"/>
  <c r="A75" i="35" s="1"/>
  <c r="A76" i="35" s="1"/>
  <c r="A77" i="35" s="1"/>
  <c r="A78" i="35" s="1"/>
  <c r="A79" i="35" s="1"/>
  <c r="A80" i="35" s="1"/>
  <c r="A81" i="35" s="1"/>
  <c r="A82" i="35" s="1"/>
  <c r="A83" i="35" s="1"/>
  <c r="A84" i="35" s="1"/>
  <c r="A85" i="35" s="1"/>
  <c r="A86" i="35" s="1"/>
  <c r="A87" i="35" s="1"/>
  <c r="A88" i="35" s="1"/>
  <c r="A89" i="35" s="1"/>
  <c r="A90" i="35" s="1"/>
  <c r="A91" i="35" s="1"/>
  <c r="A92" i="35" s="1"/>
  <c r="A93" i="35" s="1"/>
  <c r="A94" i="35" s="1"/>
  <c r="A95" i="35" s="1"/>
  <c r="A96" i="35" s="1"/>
  <c r="A97" i="35" s="1"/>
  <c r="A99" i="35" s="1"/>
  <c r="A100" i="35" s="1"/>
  <c r="A101" i="35" s="1"/>
  <c r="A102" i="35" s="1"/>
  <c r="A103" i="35" s="1"/>
  <c r="A104" i="35" s="1"/>
  <c r="A105" i="35" s="1"/>
  <c r="A106" i="35" s="1"/>
  <c r="A107" i="35" s="1"/>
  <c r="A108" i="35" s="1"/>
  <c r="A109" i="35" s="1"/>
  <c r="A110" i="35" s="1"/>
  <c r="A111" i="35" s="1"/>
  <c r="A113" i="35" s="1"/>
  <c r="A114" i="35" s="1"/>
  <c r="A115" i="35" s="1"/>
  <c r="A116" i="35" s="1"/>
  <c r="A117" i="35" s="1"/>
  <c r="A118" i="35" s="1"/>
  <c r="A120" i="35" s="1"/>
  <c r="A121" i="35" s="1"/>
  <c r="A122" i="35" s="1"/>
  <c r="A123" i="35" s="1"/>
  <c r="A124" i="35" s="1"/>
  <c r="A125" i="35" s="1"/>
  <c r="A126" i="35" s="1"/>
  <c r="A127" i="35" l="1"/>
  <c r="A128" i="35" s="1"/>
  <c r="A129" i="35" s="1"/>
  <c r="A130" i="35" s="1"/>
  <c r="A131" i="35" s="1"/>
  <c r="A132" i="35" s="1"/>
  <c r="A133" i="35" s="1"/>
  <c r="A134" i="35" s="1"/>
  <c r="A135" i="35" s="1"/>
  <c r="A136" i="35" s="1"/>
  <c r="A137" i="35" s="1"/>
  <c r="G273" i="1"/>
  <c r="G272" i="1"/>
  <c r="G271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J75" i="32" l="1"/>
  <c r="J76" i="32"/>
  <c r="J77" i="32"/>
  <c r="J74" i="32"/>
  <c r="J73" i="32"/>
  <c r="J72" i="32"/>
  <c r="A4" i="32" l="1"/>
  <c r="A5" i="32" s="1"/>
  <c r="A6" i="32" s="1"/>
  <c r="A7" i="32" s="1"/>
  <c r="A8" i="32" s="1"/>
  <c r="A9" i="32" s="1"/>
  <c r="A10" i="32" s="1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l="1"/>
  <c r="A28" i="32" s="1"/>
  <c r="A29" i="32" s="1"/>
  <c r="A30" i="32" s="1"/>
  <c r="A31" i="32" s="1"/>
  <c r="A32" i="32" s="1"/>
  <c r="A33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A56" i="32" s="1"/>
  <c r="A57" i="32" s="1"/>
  <c r="A58" i="32" s="1"/>
  <c r="A59" i="32" s="1"/>
  <c r="A60" i="32" s="1"/>
  <c r="A61" i="32" s="1"/>
  <c r="A62" i="32" s="1"/>
  <c r="A63" i="32" s="1"/>
  <c r="A64" i="32" s="1"/>
  <c r="A65" i="32" s="1"/>
  <c r="A66" i="32" s="1"/>
  <c r="A67" i="32" l="1"/>
  <c r="A68" i="32" s="1"/>
  <c r="A69" i="32" s="1"/>
  <c r="A70" i="32" s="1"/>
  <c r="A72" i="32" s="1"/>
  <c r="A73" i="32" s="1"/>
  <c r="A74" i="32" s="1"/>
  <c r="A75" i="32" s="1"/>
  <c r="A76" i="32" s="1"/>
  <c r="A77" i="32" s="1"/>
  <c r="A78" i="32" s="1"/>
  <c r="A79" i="32" s="1"/>
  <c r="A80" i="32" s="1"/>
  <c r="A81" i="32" s="1"/>
  <c r="A82" i="32" s="1"/>
  <c r="A83" i="32" s="1"/>
  <c r="A84" i="32" s="1"/>
  <c r="A85" i="32" s="1"/>
  <c r="G583" i="1" l="1"/>
  <c r="G582" i="1"/>
  <c r="G581" i="1"/>
  <c r="G580" i="1"/>
  <c r="G579" i="1"/>
  <c r="G578" i="1"/>
  <c r="G577" i="1"/>
  <c r="G576" i="1"/>
  <c r="G575" i="1"/>
  <c r="G574" i="1"/>
  <c r="A138" i="35" l="1"/>
  <c r="G822" i="1"/>
  <c r="G818" i="1"/>
  <c r="G817" i="1"/>
  <c r="G813" i="1"/>
  <c r="G812" i="1"/>
  <c r="G808" i="1"/>
  <c r="G807" i="1"/>
  <c r="A139" i="35" l="1"/>
  <c r="G483" i="1"/>
  <c r="A140" i="35" l="1"/>
  <c r="G238" i="1"/>
  <c r="A141" i="35" l="1"/>
  <c r="A142" i="35" l="1"/>
  <c r="G676" i="1"/>
  <c r="G677" i="1"/>
  <c r="G649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8" i="1"/>
  <c r="A143" i="35" l="1"/>
  <c r="G594" i="1"/>
  <c r="G493" i="1" l="1"/>
  <c r="G202" i="1"/>
  <c r="G201" i="1"/>
  <c r="G200" i="1"/>
  <c r="G199" i="1"/>
  <c r="G198" i="1"/>
  <c r="G197" i="1"/>
  <c r="G126" i="1"/>
  <c r="G127" i="1"/>
  <c r="G128" i="1"/>
  <c r="G129" i="1"/>
  <c r="G130" i="1"/>
  <c r="G149" i="1"/>
  <c r="G150" i="1"/>
  <c r="G151" i="1"/>
  <c r="G152" i="1"/>
  <c r="G153" i="1"/>
  <c r="G154" i="1"/>
  <c r="G173" i="1"/>
  <c r="G174" i="1"/>
  <c r="G175" i="1"/>
  <c r="G176" i="1"/>
  <c r="G177" i="1"/>
  <c r="G178" i="1"/>
  <c r="G607" i="1"/>
  <c r="G606" i="1"/>
  <c r="G605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46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4" i="1"/>
  <c r="G603" i="1"/>
  <c r="G602" i="1"/>
  <c r="G601" i="1"/>
  <c r="G600" i="1"/>
  <c r="G599" i="1"/>
  <c r="G598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3" i="1"/>
  <c r="A4" i="1" s="1"/>
  <c r="A5" i="1" s="1"/>
  <c r="A6" i="1" s="1"/>
  <c r="G125" i="1"/>
  <c r="A7" i="1" l="1"/>
  <c r="G868" i="1" l="1"/>
  <c r="G922" i="1"/>
  <c r="G921" i="1"/>
  <c r="G920" i="1"/>
  <c r="G923" i="1" l="1"/>
  <c r="G919" i="1"/>
  <c r="G918" i="1"/>
  <c r="G917" i="1"/>
  <c r="G916" i="1"/>
  <c r="G915" i="1"/>
  <c r="G914" i="1"/>
  <c r="G534" i="1" l="1"/>
  <c r="G572" i="1"/>
  <c r="G539" i="1"/>
  <c r="G482" i="1" l="1"/>
  <c r="G488" i="1"/>
  <c r="G489" i="1"/>
  <c r="G526" i="1"/>
  <c r="G487" i="1"/>
  <c r="G48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2" i="1"/>
  <c r="G490" i="1"/>
  <c r="G531" i="1"/>
  <c r="G449" i="1" l="1"/>
  <c r="G448" i="1"/>
  <c r="G484" i="1"/>
  <c r="G450" i="1"/>
  <c r="G438" i="1" l="1"/>
  <c r="G440" i="1" l="1"/>
  <c r="G121" i="1"/>
  <c r="G120" i="1"/>
  <c r="G119" i="1"/>
  <c r="G118" i="1"/>
  <c r="G117" i="1"/>
  <c r="G116" i="1"/>
  <c r="G123" i="1"/>
  <c r="G122" i="1"/>
  <c r="G833" i="1" l="1"/>
  <c r="G823" i="1"/>
  <c r="G441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8" i="1"/>
  <c r="G537" i="1"/>
  <c r="G536" i="1"/>
  <c r="G535" i="1"/>
  <c r="G533" i="1"/>
  <c r="G530" i="1"/>
  <c r="G529" i="1"/>
  <c r="G528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A3" i="15"/>
  <c r="A4" i="15" s="1"/>
  <c r="A5" i="15" s="1"/>
  <c r="A6" i="15" s="1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G913" i="1" l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45" i="1"/>
  <c r="G437" i="1"/>
  <c r="G932" i="1" l="1"/>
  <c r="G931" i="1"/>
  <c r="G938" i="1"/>
  <c r="G937" i="1"/>
  <c r="G936" i="1"/>
  <c r="G935" i="1"/>
  <c r="G934" i="1"/>
  <c r="G930" i="1"/>
  <c r="G929" i="1"/>
  <c r="G926" i="1"/>
  <c r="G927" i="1"/>
  <c r="G925" i="1"/>
  <c r="G848" i="1"/>
  <c r="G821" i="1"/>
  <c r="G820" i="1"/>
  <c r="G819" i="1"/>
  <c r="G880" i="1" l="1"/>
  <c r="G879" i="1"/>
  <c r="G878" i="1"/>
  <c r="G877" i="1"/>
  <c r="G876" i="1"/>
  <c r="G875" i="1"/>
  <c r="G874" i="1"/>
  <c r="G873" i="1"/>
  <c r="G872" i="1"/>
  <c r="G871" i="1"/>
  <c r="G870" i="1"/>
  <c r="G869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7" i="1"/>
  <c r="G844" i="1"/>
  <c r="G843" i="1"/>
  <c r="G842" i="1"/>
  <c r="G841" i="1"/>
  <c r="G839" i="1"/>
  <c r="G838" i="1"/>
  <c r="G837" i="1"/>
  <c r="G836" i="1"/>
  <c r="G832" i="1"/>
  <c r="G831" i="1"/>
  <c r="G830" i="1"/>
  <c r="G829" i="1"/>
  <c r="G828" i="1"/>
  <c r="G827" i="1"/>
  <c r="G826" i="1"/>
  <c r="G825" i="1"/>
  <c r="G816" i="1"/>
  <c r="G815" i="1"/>
  <c r="G814" i="1"/>
  <c r="G811" i="1"/>
  <c r="G810" i="1"/>
  <c r="G809" i="1"/>
  <c r="G806" i="1"/>
  <c r="G805" i="1"/>
  <c r="G804" i="1"/>
  <c r="G445" i="1" l="1"/>
  <c r="G444" i="1"/>
  <c r="G439" i="1"/>
  <c r="G397" i="1"/>
  <c r="G595" i="1" l="1"/>
  <c r="G593" i="1"/>
  <c r="G592" i="1"/>
  <c r="G591" i="1"/>
  <c r="G590" i="1"/>
  <c r="G589" i="1"/>
  <c r="G588" i="1"/>
  <c r="G587" i="1"/>
  <c r="G586" i="1"/>
  <c r="G585" i="1"/>
  <c r="G387" i="1"/>
  <c r="G386" i="1"/>
  <c r="G385" i="1"/>
  <c r="G384" i="1"/>
  <c r="G383" i="1"/>
  <c r="G382" i="1"/>
  <c r="G381" i="1"/>
  <c r="G380" i="1"/>
  <c r="G379" i="1"/>
  <c r="G376" i="1"/>
  <c r="G375" i="1"/>
  <c r="G374" i="1"/>
  <c r="G373" i="1"/>
  <c r="G372" i="1"/>
  <c r="G371" i="1"/>
  <c r="G414" i="1" l="1"/>
  <c r="G391" i="1" l="1"/>
  <c r="G390" i="1"/>
  <c r="G392" i="1"/>
  <c r="G368" i="1"/>
  <c r="G240" i="1"/>
  <c r="G220" i="1"/>
  <c r="G219" i="1"/>
  <c r="G217" i="1"/>
  <c r="G215" i="1"/>
  <c r="G213" i="1"/>
  <c r="G211" i="1"/>
  <c r="G209" i="1"/>
  <c r="G207" i="1"/>
  <c r="G418" i="1"/>
  <c r="G407" i="1"/>
  <c r="G406" i="1"/>
  <c r="G402" i="1"/>
  <c r="G401" i="1"/>
  <c r="G417" i="1"/>
  <c r="G416" i="1"/>
  <c r="G443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47" i="1"/>
  <c r="G446" i="1"/>
  <c r="G436" i="1" l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15" i="1"/>
  <c r="G421" i="1"/>
  <c r="G420" i="1"/>
  <c r="G419" i="1"/>
  <c r="G410" i="1"/>
  <c r="G409" i="1"/>
  <c r="G408" i="1"/>
  <c r="G411" i="1"/>
  <c r="G412" i="1"/>
  <c r="G413" i="1"/>
  <c r="G405" i="1"/>
  <c r="G404" i="1"/>
  <c r="G403" i="1"/>
  <c r="G400" i="1"/>
  <c r="G399" i="1"/>
  <c r="G398" i="1"/>
  <c r="G239" i="1"/>
  <c r="G237" i="1"/>
  <c r="G236" i="1"/>
  <c r="G235" i="1"/>
  <c r="G234" i="1"/>
  <c r="G233" i="1"/>
  <c r="G232" i="1"/>
  <c r="G231" i="1"/>
  <c r="G230" i="1"/>
  <c r="G229" i="1"/>
  <c r="G205" i="1"/>
  <c r="G377" i="1"/>
  <c r="G370" i="1"/>
  <c r="G369" i="1"/>
  <c r="G228" i="1"/>
  <c r="G227" i="1"/>
  <c r="G226" i="1"/>
  <c r="G225" i="1"/>
  <c r="G224" i="1"/>
  <c r="G223" i="1"/>
  <c r="G222" i="1"/>
  <c r="G221" i="1"/>
  <c r="G218" i="1"/>
  <c r="G216" i="1"/>
  <c r="G214" i="1"/>
  <c r="G212" i="1"/>
  <c r="G210" i="1"/>
  <c r="G208" i="1"/>
  <c r="G206" i="1"/>
  <c r="G204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A8" i="1" l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l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l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5" i="1" l="1"/>
  <c r="A126" i="1" s="1"/>
  <c r="A204" i="1" l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90" i="1" s="1"/>
  <c r="A391" i="1" s="1"/>
  <c r="A392" i="1" s="1"/>
  <c r="A393" i="1" s="1"/>
  <c r="A394" i="1" s="1"/>
  <c r="A395" i="1" s="1"/>
  <c r="A396" i="1" s="1"/>
  <c r="A397" i="1" s="1"/>
  <c r="A398" i="1" l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8" i="1" s="1"/>
  <c r="A529" i="1" s="1"/>
  <c r="A530" i="1" s="1"/>
  <c r="A531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7" i="1" s="1"/>
  <c r="A708" i="1" s="1"/>
  <c r="A709" i="1" s="1"/>
  <c r="A711" i="1" s="1"/>
  <c r="A712" i="1" l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5" i="1" s="1"/>
  <c r="A826" i="1" s="1"/>
  <c r="A827" i="1" s="1"/>
  <c r="A828" i="1" s="1"/>
  <c r="A829" i="1" s="1"/>
  <c r="A830" i="1" s="1"/>
  <c r="A831" i="1" s="1"/>
  <c r="A832" i="1" s="1"/>
  <c r="A833" i="1" s="1"/>
  <c r="A836" i="1" s="1"/>
  <c r="A837" i="1" s="1"/>
  <c r="A838" i="1" s="1"/>
  <c r="A839" i="1" s="1"/>
  <c r="A841" i="1" s="1"/>
  <c r="A842" i="1" s="1"/>
  <c r="A843" i="1" s="1"/>
  <c r="A844" i="1" s="1"/>
  <c r="A845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5" i="1" s="1"/>
  <c r="A926" i="1" s="1"/>
  <c r="A927" i="1" s="1"/>
  <c r="A929" i="1" s="1"/>
  <c r="A930" i="1" s="1"/>
  <c r="A931" i="1" s="1"/>
  <c r="A932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</calcChain>
</file>

<file path=xl/sharedStrings.xml><?xml version="1.0" encoding="utf-8"?>
<sst xmlns="http://schemas.openxmlformats.org/spreadsheetml/2006/main" count="7601" uniqueCount="1245">
  <si>
    <t>I1</t>
    <phoneticPr fontId="1" type="noConversion"/>
  </si>
  <si>
    <t>I2</t>
  </si>
  <si>
    <t>I3</t>
  </si>
  <si>
    <t>P2</t>
  </si>
  <si>
    <t>P3</t>
  </si>
  <si>
    <t>I total (I1+I2+I3)</t>
    <phoneticPr fontId="1" type="noConversion"/>
  </si>
  <si>
    <t>S2</t>
  </si>
  <si>
    <t>S3</t>
  </si>
  <si>
    <t>PF2</t>
  </si>
  <si>
    <t>PF3</t>
  </si>
  <si>
    <t>K I1</t>
    <phoneticPr fontId="1" type="noConversion"/>
  </si>
  <si>
    <t>K I2</t>
    <phoneticPr fontId="1" type="noConversion"/>
  </si>
  <si>
    <t>K I3</t>
    <phoneticPr fontId="1" type="noConversion"/>
  </si>
  <si>
    <t>CF I1</t>
    <phoneticPr fontId="1" type="noConversion"/>
  </si>
  <si>
    <t>CF I2</t>
    <phoneticPr fontId="1" type="noConversion"/>
  </si>
  <si>
    <t>CF I3</t>
    <phoneticPr fontId="1" type="noConversion"/>
  </si>
  <si>
    <t>CF V2</t>
  </si>
  <si>
    <t>CF V3</t>
  </si>
  <si>
    <t>THD V1</t>
    <phoneticPr fontId="1" type="noConversion"/>
  </si>
  <si>
    <t>THD V2</t>
  </si>
  <si>
    <t>THD V3</t>
  </si>
  <si>
    <t>THD V12</t>
    <phoneticPr fontId="1" type="noConversion"/>
  </si>
  <si>
    <t>THD V23</t>
    <phoneticPr fontId="1" type="noConversion"/>
  </si>
  <si>
    <t>THD V31</t>
    <phoneticPr fontId="1" type="noConversion"/>
  </si>
  <si>
    <t>THD I1</t>
    <phoneticPr fontId="1" type="noConversion"/>
  </si>
  <si>
    <t>THD I2</t>
  </si>
  <si>
    <t>THD I3</t>
  </si>
  <si>
    <t>TDD I1</t>
    <phoneticPr fontId="1" type="noConversion"/>
  </si>
  <si>
    <t>TDD I2</t>
  </si>
  <si>
    <t>TDD I3</t>
  </si>
  <si>
    <t>Frequency</t>
    <phoneticPr fontId="1" type="noConversion"/>
  </si>
  <si>
    <t>kvah last month</t>
    <phoneticPr fontId="1" type="noConversion"/>
  </si>
  <si>
    <t>Wave Form V2 (160 sample)</t>
    <phoneticPr fontId="1" type="noConversion"/>
  </si>
  <si>
    <t>Wave Form V3 (160 sample)</t>
    <phoneticPr fontId="1" type="noConversion"/>
  </si>
  <si>
    <t>Wave Form V12 (160 sample)</t>
    <phoneticPr fontId="1" type="noConversion"/>
  </si>
  <si>
    <t>Wave Form V23 (160 sample)</t>
    <phoneticPr fontId="1" type="noConversion"/>
  </si>
  <si>
    <t>Wave Form V31 (160 sample)</t>
    <phoneticPr fontId="1" type="noConversion"/>
  </si>
  <si>
    <t>Wave Form I1 (160 sample)</t>
    <phoneticPr fontId="1" type="noConversion"/>
  </si>
  <si>
    <t>Wave Form I2 (160 sample)</t>
    <phoneticPr fontId="1" type="noConversion"/>
  </si>
  <si>
    <t>Wave Form I3 (160 sample)</t>
    <phoneticPr fontId="1" type="noConversion"/>
  </si>
  <si>
    <t>In(Measured)</t>
    <phoneticPr fontId="1" type="noConversion"/>
  </si>
  <si>
    <t xml:space="preserve"> </t>
    <phoneticPr fontId="1" type="noConversion"/>
  </si>
  <si>
    <t>Max Demand P(import)</t>
    <phoneticPr fontId="1" type="noConversion"/>
  </si>
  <si>
    <t>Max Demand P(export)</t>
    <phoneticPr fontId="1" type="noConversion"/>
  </si>
  <si>
    <t>Max Demand Q(import)</t>
    <phoneticPr fontId="1" type="noConversion"/>
  </si>
  <si>
    <t>Max Demand Q(export)</t>
    <phoneticPr fontId="1" type="noConversion"/>
  </si>
  <si>
    <t>Max Demand I1</t>
    <phoneticPr fontId="1" type="noConversion"/>
  </si>
  <si>
    <t>Max Demand I2</t>
  </si>
  <si>
    <t>Max Demand I3</t>
  </si>
  <si>
    <t>Demand P(import)</t>
    <phoneticPr fontId="1" type="noConversion"/>
  </si>
  <si>
    <t>Demand P(export)</t>
    <phoneticPr fontId="1" type="noConversion"/>
  </si>
  <si>
    <t>Demand Q(import)</t>
    <phoneticPr fontId="1" type="noConversion"/>
  </si>
  <si>
    <t>Demand Q(export)</t>
    <phoneticPr fontId="1" type="noConversion"/>
  </si>
  <si>
    <t>Demand S(export)</t>
    <phoneticPr fontId="1" type="noConversion"/>
  </si>
  <si>
    <t>Demand I1</t>
    <phoneticPr fontId="1" type="noConversion"/>
  </si>
  <si>
    <t>Demand I2</t>
    <phoneticPr fontId="1" type="noConversion"/>
  </si>
  <si>
    <t>Demand I3</t>
    <phoneticPr fontId="1" type="noConversion"/>
  </si>
  <si>
    <t>Energy</t>
    <phoneticPr fontId="1" type="noConversion"/>
  </si>
  <si>
    <t>float</t>
    <phoneticPr fontId="1" type="noConversion"/>
  </si>
  <si>
    <t>float</t>
    <phoneticPr fontId="1" type="noConversion"/>
  </si>
  <si>
    <t>P1</t>
    <phoneticPr fontId="1" type="noConversion"/>
  </si>
  <si>
    <t>P total</t>
    <phoneticPr fontId="1" type="noConversion"/>
  </si>
  <si>
    <t>Q1</t>
    <phoneticPr fontId="1" type="noConversion"/>
  </si>
  <si>
    <t>Q2</t>
    <phoneticPr fontId="1" type="noConversion"/>
  </si>
  <si>
    <t>Q3</t>
    <phoneticPr fontId="1" type="noConversion"/>
  </si>
  <si>
    <t>Q total</t>
    <phoneticPr fontId="1" type="noConversion"/>
  </si>
  <si>
    <t>S1</t>
    <phoneticPr fontId="1" type="noConversion"/>
  </si>
  <si>
    <t>S total</t>
    <phoneticPr fontId="1" type="noConversion"/>
  </si>
  <si>
    <t>fP1</t>
    <phoneticPr fontId="1" type="noConversion"/>
  </si>
  <si>
    <t>fP2</t>
  </si>
  <si>
    <t>fP3</t>
  </si>
  <si>
    <t>fP total</t>
    <phoneticPr fontId="1" type="noConversion"/>
  </si>
  <si>
    <t>fQ1</t>
    <phoneticPr fontId="1" type="noConversion"/>
  </si>
  <si>
    <t>fQ2</t>
  </si>
  <si>
    <t>fQ3</t>
  </si>
  <si>
    <t>fQ total</t>
    <phoneticPr fontId="1" type="noConversion"/>
  </si>
  <si>
    <t>fS1</t>
    <phoneticPr fontId="1" type="noConversion"/>
  </si>
  <si>
    <t>fS2</t>
  </si>
  <si>
    <t>fS3</t>
  </si>
  <si>
    <t>fS total</t>
    <phoneticPr fontId="1" type="noConversion"/>
  </si>
  <si>
    <t>PF1</t>
    <phoneticPr fontId="1" type="noConversion"/>
  </si>
  <si>
    <t>PF total</t>
    <phoneticPr fontId="1" type="noConversion"/>
  </si>
  <si>
    <t>dPF1</t>
    <phoneticPr fontId="1" type="noConversion"/>
  </si>
  <si>
    <t>dPF2</t>
  </si>
  <si>
    <t>dPF3</t>
  </si>
  <si>
    <t>dPF total</t>
    <phoneticPr fontId="1" type="noConversion"/>
  </si>
  <si>
    <t>CF V1</t>
    <phoneticPr fontId="1" type="noConversion"/>
  </si>
  <si>
    <t>CF V12</t>
    <phoneticPr fontId="1" type="noConversion"/>
  </si>
  <si>
    <t>CF V23</t>
    <phoneticPr fontId="1" type="noConversion"/>
  </si>
  <si>
    <t>CF V31</t>
    <phoneticPr fontId="1" type="noConversion"/>
  </si>
  <si>
    <t>Time Stamp</t>
    <phoneticPr fontId="1" type="noConversion"/>
  </si>
  <si>
    <t>UTC</t>
    <phoneticPr fontId="1" type="noConversion"/>
  </si>
  <si>
    <t>UTC</t>
    <phoneticPr fontId="1" type="noConversion"/>
  </si>
  <si>
    <t>Forecast Demand P(export)</t>
    <phoneticPr fontId="1" type="noConversion"/>
  </si>
  <si>
    <t>Harmonics V1</t>
    <phoneticPr fontId="1" type="noConversion"/>
  </si>
  <si>
    <t>Harmonics V2</t>
  </si>
  <si>
    <t>Harmonics V3</t>
  </si>
  <si>
    <t>Harmonics V12</t>
    <phoneticPr fontId="1" type="noConversion"/>
  </si>
  <si>
    <t>Harmonics V23</t>
    <phoneticPr fontId="1" type="noConversion"/>
  </si>
  <si>
    <t>Harmonics V31</t>
    <phoneticPr fontId="1" type="noConversion"/>
  </si>
  <si>
    <t>Harmonics I1</t>
    <phoneticPr fontId="1" type="noConversion"/>
  </si>
  <si>
    <t>Harmonics I2</t>
  </si>
  <si>
    <t>Harmonics I3</t>
  </si>
  <si>
    <t>Harmonics</t>
    <phoneticPr fontId="1" type="noConversion"/>
  </si>
  <si>
    <t xml:space="preserve"> </t>
    <phoneticPr fontId="1" type="noConversion"/>
  </si>
  <si>
    <t>Power Angle(atan(fPt,fQt) L1</t>
    <phoneticPr fontId="1" type="noConversion"/>
  </si>
  <si>
    <t>Power Angle(atan(fPt,fQt) L2</t>
  </si>
  <si>
    <t>Power Angle(atan(fPt,fQt) L3</t>
  </si>
  <si>
    <t>deformed Power D L1</t>
    <phoneticPr fontId="1" type="noConversion"/>
  </si>
  <si>
    <t>deformed Power D L2</t>
  </si>
  <si>
    <t>deformed Power D L3</t>
  </si>
  <si>
    <t>deformed Power D Total</t>
    <phoneticPr fontId="1" type="noConversion"/>
  </si>
  <si>
    <t>S=sqrt {P^{2}+Q^{2}+D^{2}}</t>
    <phoneticPr fontId="1" type="noConversion"/>
  </si>
  <si>
    <t>reserved</t>
    <phoneticPr fontId="1" type="noConversion"/>
  </si>
  <si>
    <t>S16</t>
    <phoneticPr fontId="1" type="noConversion"/>
  </si>
  <si>
    <t>Wave Sample</t>
    <phoneticPr fontId="1" type="noConversion"/>
  </si>
  <si>
    <t>Max/Min</t>
    <phoneticPr fontId="1" type="noConversion"/>
  </si>
  <si>
    <t>Reset TimeStamp</t>
    <phoneticPr fontId="1" type="noConversion"/>
  </si>
  <si>
    <t>I1</t>
    <phoneticPr fontId="1" type="noConversion"/>
  </si>
  <si>
    <t>I2</t>
    <phoneticPr fontId="1" type="noConversion"/>
  </si>
  <si>
    <t>I3</t>
    <phoneticPr fontId="1" type="noConversion"/>
  </si>
  <si>
    <t>Frequency</t>
    <phoneticPr fontId="1" type="noConversion"/>
  </si>
  <si>
    <t>In</t>
    <phoneticPr fontId="1" type="noConversion"/>
  </si>
  <si>
    <t>U16</t>
    <phoneticPr fontId="1" type="noConversion"/>
  </si>
  <si>
    <t>http://www.relaytech.com/symcomp_calculator.htm</t>
  </si>
  <si>
    <t>95%/Week</t>
    <phoneticPr fontId="1" type="noConversion"/>
  </si>
  <si>
    <t>Info Only</t>
    <phoneticPr fontId="1" type="noConversion"/>
  </si>
  <si>
    <t>99%/Day</t>
    <phoneticPr fontId="1" type="noConversion"/>
  </si>
  <si>
    <t>Inter Harmonics</t>
    <phoneticPr fontId="1" type="noConversion"/>
  </si>
  <si>
    <t>I~</t>
    <phoneticPr fontId="1" type="noConversion"/>
  </si>
  <si>
    <t>Isum</t>
    <phoneticPr fontId="1" type="noConversion"/>
  </si>
  <si>
    <t>I total</t>
    <phoneticPr fontId="1" type="noConversion"/>
  </si>
  <si>
    <t>PF</t>
    <phoneticPr fontId="1" type="noConversion"/>
  </si>
  <si>
    <t>dPF</t>
    <phoneticPr fontId="1" type="noConversion"/>
  </si>
  <si>
    <t>Max Demand S</t>
    <phoneticPr fontId="1" type="noConversion"/>
  </si>
  <si>
    <t>PF L1</t>
    <phoneticPr fontId="1" type="noConversion"/>
  </si>
  <si>
    <t>PF L2</t>
  </si>
  <si>
    <t>PF L3</t>
  </si>
  <si>
    <t>Demand</t>
    <phoneticPr fontId="1" type="noConversion"/>
  </si>
  <si>
    <t>Metering</t>
    <phoneticPr fontId="1" type="noConversion"/>
  </si>
  <si>
    <t>import kvarh</t>
    <phoneticPr fontId="1" type="noConversion"/>
  </si>
  <si>
    <t>export kvarh</t>
    <phoneticPr fontId="1" type="noConversion"/>
  </si>
  <si>
    <t>V</t>
    <phoneticPr fontId="1" type="noConversion"/>
  </si>
  <si>
    <t>EN50160 Last Week</t>
    <phoneticPr fontId="1" type="noConversion"/>
  </si>
  <si>
    <t>최근 24시간 그래프 그린다</t>
    <phoneticPr fontId="1" type="noConversion"/>
  </si>
  <si>
    <t>U32</t>
    <phoneticPr fontId="1" type="noConversion"/>
  </si>
  <si>
    <t>%</t>
    <phoneticPr fontId="1" type="noConversion"/>
  </si>
  <si>
    <t>Internal Temp</t>
    <phoneticPr fontId="1" type="noConversion"/>
  </si>
  <si>
    <t>P2</t>
    <phoneticPr fontId="1" type="noConversion"/>
  </si>
  <si>
    <t>I~</t>
    <phoneticPr fontId="1" type="noConversion"/>
  </si>
  <si>
    <t>serial#</t>
    <phoneticPr fontId="1" type="noConversion"/>
  </si>
  <si>
    <t>HW version</t>
    <phoneticPr fontId="1" type="noConversion"/>
  </si>
  <si>
    <t>FW version</t>
    <phoneticPr fontId="1" type="noConversion"/>
  </si>
  <si>
    <t>mac address</t>
    <phoneticPr fontId="1" type="noConversion"/>
  </si>
  <si>
    <t>U1</t>
    <phoneticPr fontId="1" type="noConversion"/>
  </si>
  <si>
    <t>U2</t>
  </si>
  <si>
    <t>U3</t>
  </si>
  <si>
    <t>U~</t>
    <phoneticPr fontId="1" type="noConversion"/>
  </si>
  <si>
    <t>U12</t>
    <phoneticPr fontId="1" type="noConversion"/>
  </si>
  <si>
    <t>U23</t>
    <phoneticPr fontId="1" type="noConversion"/>
  </si>
  <si>
    <t>U31</t>
    <phoneticPr fontId="1" type="noConversion"/>
  </si>
  <si>
    <t>Upp~</t>
    <phoneticPr fontId="1" type="noConversion"/>
  </si>
  <si>
    <t>U~</t>
    <phoneticPr fontId="1" type="noConversion"/>
  </si>
  <si>
    <t>U Underdeviation L1</t>
    <phoneticPr fontId="1" type="noConversion"/>
  </si>
  <si>
    <t>U Underdeviation L2</t>
  </si>
  <si>
    <t>U Underdeviation L3</t>
  </si>
  <si>
    <t>U Overdeviation L1</t>
    <phoneticPr fontId="1" type="noConversion"/>
  </si>
  <si>
    <t>U Overdeviation L2</t>
  </si>
  <si>
    <t>U Overdeviation L3</t>
  </si>
  <si>
    <t>U Zero Sequence Mag.</t>
    <phoneticPr fontId="1" type="noConversion"/>
  </si>
  <si>
    <t>U Zero Sequence angle</t>
    <phoneticPr fontId="1" type="noConversion"/>
  </si>
  <si>
    <t>U Positive Sequence Mag.</t>
    <phoneticPr fontId="1" type="noConversion"/>
  </si>
  <si>
    <t>U Positive Sequence angle</t>
    <phoneticPr fontId="1" type="noConversion"/>
  </si>
  <si>
    <t>U Negative Sequence Mag</t>
    <phoneticPr fontId="1" type="noConversion"/>
  </si>
  <si>
    <t>Angle U1</t>
    <phoneticPr fontId="1" type="noConversion"/>
  </si>
  <si>
    <t>Angle U2</t>
  </si>
  <si>
    <t>Angle U3</t>
  </si>
  <si>
    <t>U Negative Sequence angle</t>
    <phoneticPr fontId="1" type="noConversion"/>
  </si>
  <si>
    <t>Chip에서 제공하는 결과 사용</t>
    <phoneticPr fontId="1" type="noConversion"/>
  </si>
  <si>
    <t>Wave Form V1 (160 sample)</t>
    <phoneticPr fontId="1" type="noConversion"/>
  </si>
  <si>
    <t>Uu=neg/pos*100</t>
    <phoneticPr fontId="1" type="noConversion"/>
  </si>
  <si>
    <t>Uo=zero/pos*100</t>
    <phoneticPr fontId="1" type="noConversion"/>
  </si>
  <si>
    <t>I Zero Sequence Mag</t>
    <phoneticPr fontId="1" type="noConversion"/>
  </si>
  <si>
    <t>I Zero Sequence angle</t>
    <phoneticPr fontId="1" type="noConversion"/>
  </si>
  <si>
    <t>I Positive Sequence Mag.</t>
    <phoneticPr fontId="1" type="noConversion"/>
  </si>
  <si>
    <t>I Positive Sequence angle</t>
    <phoneticPr fontId="1" type="noConversion"/>
  </si>
  <si>
    <t>I Negative Sequence Mag.</t>
    <phoneticPr fontId="1" type="noConversion"/>
  </si>
  <si>
    <t>I Negative Sequence angle</t>
    <phoneticPr fontId="1" type="noConversion"/>
  </si>
  <si>
    <t>Iunbalance0</t>
    <phoneticPr fontId="1" type="noConversion"/>
  </si>
  <si>
    <t>Uunbalance2</t>
    <phoneticPr fontId="1" type="noConversion"/>
  </si>
  <si>
    <t>Uunbalance0</t>
    <phoneticPr fontId="1" type="noConversion"/>
  </si>
  <si>
    <t>Angle I1</t>
  </si>
  <si>
    <t>Angle I2</t>
  </si>
  <si>
    <t>Angle I3</t>
  </si>
  <si>
    <t>Iunbalance2</t>
  </si>
  <si>
    <t>reserved</t>
  </si>
  <si>
    <t xml:space="preserve"> </t>
  </si>
  <si>
    <t>Temp</t>
  </si>
  <si>
    <t>device Id</t>
    <phoneticPr fontId="1" type="noConversion"/>
  </si>
  <si>
    <t>backlight off time</t>
    <phoneticPr fontId="1" type="noConversion"/>
  </si>
  <si>
    <t>brightness</t>
    <phoneticPr fontId="1" type="noConversion"/>
  </si>
  <si>
    <t>auto rotation</t>
    <phoneticPr fontId="1" type="noConversion"/>
  </si>
  <si>
    <t>demand interval</t>
    <phoneticPr fontId="1" type="noConversion"/>
  </si>
  <si>
    <t>OC Level</t>
    <phoneticPr fontId="1" type="noConversion"/>
  </si>
  <si>
    <t>OC Cycle</t>
    <phoneticPr fontId="1" type="noConversion"/>
  </si>
  <si>
    <t>Sag Cycle</t>
    <phoneticPr fontId="1" type="noConversion"/>
  </si>
  <si>
    <t>Swell Cycle</t>
    <phoneticPr fontId="1" type="noConversion"/>
  </si>
  <si>
    <t>Trigger Action</t>
  </si>
  <si>
    <t>U32</t>
  </si>
  <si>
    <t>U16</t>
  </si>
  <si>
    <t>Host Name</t>
  </si>
  <si>
    <t>Eth#0 IP</t>
  </si>
  <si>
    <t>Eth#0 SUBNET</t>
  </si>
  <si>
    <t>Eth#0 GATEWAY</t>
  </si>
  <si>
    <t>Eth#0 DNS</t>
  </si>
  <si>
    <t>SNTP IP</t>
  </si>
  <si>
    <t>Modbus TCP Port</t>
  </si>
  <si>
    <t>Sag Level(%), 90%</t>
  </si>
  <si>
    <t>Interruption Level, 5%</t>
  </si>
  <si>
    <t>Interruption Time, 60s</t>
  </si>
  <si>
    <t>Active</t>
  </si>
  <si>
    <t>Power Quality Report</t>
  </si>
  <si>
    <t>Start Day</t>
  </si>
  <si>
    <t>Recorder resolution(32k, 8k)</t>
  </si>
  <si>
    <t>Recorded paramater (U or I)</t>
  </si>
  <si>
    <t>pre trigger time(0.1s)</t>
  </si>
  <si>
    <t>post trigger time(1s)</t>
  </si>
  <si>
    <t>Recorder resolution (Half Cycle)</t>
  </si>
  <si>
    <t>Recorded parametrs(U or I)</t>
  </si>
  <si>
    <t>pre trigger time(100 sample)</t>
  </si>
  <si>
    <t>post trigger time(900 sample)</t>
  </si>
  <si>
    <t xml:space="preserve">Command </t>
  </si>
  <si>
    <t>reboot</t>
    <phoneticPr fontId="1" type="noConversion"/>
  </si>
  <si>
    <t>save settings</t>
    <phoneticPr fontId="1" type="noConversion"/>
  </si>
  <si>
    <t>init settings</t>
    <phoneticPr fontId="1" type="noConversion"/>
  </si>
  <si>
    <t>Alarm Definition</t>
  </si>
  <si>
    <t>THD U1</t>
  </si>
  <si>
    <t>THD U2</t>
  </si>
  <si>
    <t>THD U3</t>
  </si>
  <si>
    <t>THD U12</t>
  </si>
  <si>
    <t>THD U23</t>
  </si>
  <si>
    <t>THD U31</t>
  </si>
  <si>
    <t>THD I1</t>
  </si>
  <si>
    <t>Communication Settings</t>
  </si>
  <si>
    <t>ETC</t>
  </si>
  <si>
    <t>U16</t>
    <phoneticPr fontId="1" type="noConversion"/>
  </si>
  <si>
    <t>DI status #0</t>
  </si>
  <si>
    <t>DI status #1</t>
  </si>
  <si>
    <t>DI status #2</t>
  </si>
  <si>
    <t>DI status #3</t>
  </si>
  <si>
    <t>DI Pulse Data #0</t>
  </si>
  <si>
    <t>DI Pulse Data #1</t>
  </si>
  <si>
    <t>DI Pulse Data #2</t>
  </si>
  <si>
    <t>DI Pulse Data #3</t>
  </si>
  <si>
    <t>type</t>
    <phoneticPr fontId="1" type="noConversion"/>
  </si>
  <si>
    <t>IOM Data</t>
  </si>
  <si>
    <t>METER INFO</t>
  </si>
  <si>
    <t>DHCP enabled</t>
  </si>
  <si>
    <t>UTC</t>
  </si>
  <si>
    <t>Present Demand P(import)</t>
    <phoneticPr fontId="1" type="noConversion"/>
  </si>
  <si>
    <t>Present Demand P(export)</t>
    <phoneticPr fontId="1" type="noConversion"/>
  </si>
  <si>
    <t>Present Demand Q(import)</t>
    <phoneticPr fontId="1" type="noConversion"/>
  </si>
  <si>
    <t>Present Demand Q(export)</t>
    <phoneticPr fontId="1" type="noConversion"/>
  </si>
  <si>
    <t>Present Demand S(export)</t>
    <phoneticPr fontId="1" type="noConversion"/>
  </si>
  <si>
    <t>Demand P Array(15분 단위)</t>
  </si>
  <si>
    <t>Demand P 15m(import)</t>
  </si>
  <si>
    <t xml:space="preserve">32K: 67,107,786
8K: 74,518,668
첫번째 번지 접근시 wave data를 modbus map으로 load 한다 </t>
    <phoneticPr fontId="1" type="noConversion"/>
  </si>
  <si>
    <t>start ts</t>
    <phoneticPr fontId="1" type="noConversion"/>
  </si>
  <si>
    <t>fr</t>
    <phoneticPr fontId="1" type="noConversion"/>
  </si>
  <si>
    <t>re</t>
    <phoneticPr fontId="1" type="noConversion"/>
  </si>
  <si>
    <t>count</t>
    <phoneticPr fontId="1" type="noConversion"/>
  </si>
  <si>
    <t>Level 2</t>
  </si>
  <si>
    <t>Level 3</t>
  </si>
  <si>
    <t>PQ Event #2</t>
    <phoneticPr fontId="1" type="noConversion"/>
  </si>
  <si>
    <t>PQ Event #3</t>
  </si>
  <si>
    <t>PQ Event #4</t>
  </si>
  <si>
    <t>PQ Event #5</t>
  </si>
  <si>
    <t>PQ Event #6</t>
  </si>
  <si>
    <t>PQ Event #7</t>
  </si>
  <si>
    <t>PQ Event #8</t>
  </si>
  <si>
    <t>PQ Event #9</t>
  </si>
  <si>
    <t>PQ Event #10</t>
  </si>
  <si>
    <t>PQ Event #11</t>
  </si>
  <si>
    <t>PQ Event #12</t>
  </si>
  <si>
    <t>PQ Event #13</t>
  </si>
  <si>
    <t>PQ Event #14</t>
  </si>
  <si>
    <t>PQ Event #15</t>
  </si>
  <si>
    <t>PQ Event #16</t>
  </si>
  <si>
    <t>PQ Event #17</t>
  </si>
  <si>
    <t>PQ Event #18</t>
  </si>
  <si>
    <t>PQ Event #19</t>
  </si>
  <si>
    <t>PQ Event #20</t>
  </si>
  <si>
    <t>PQ Event #21</t>
  </si>
  <si>
    <t>PQ Event #22</t>
  </si>
  <si>
    <t>PQ Event #23</t>
  </si>
  <si>
    <t>PQ Event #24</t>
  </si>
  <si>
    <t>PQ Event #25</t>
  </si>
  <si>
    <t>PQ Event #26</t>
  </si>
  <si>
    <t>PQ Event #27</t>
  </si>
  <si>
    <t>PQ Event #28</t>
  </si>
  <si>
    <t>PQ Event #29</t>
  </si>
  <si>
    <t>PQ Event #30</t>
  </si>
  <si>
    <t>PQ Event #31</t>
  </si>
  <si>
    <t>U1</t>
    <phoneticPr fontId="1" type="noConversion"/>
  </si>
  <si>
    <t>U~</t>
    <phoneticPr fontId="1" type="noConversion"/>
  </si>
  <si>
    <t>U12</t>
    <phoneticPr fontId="1" type="noConversion"/>
  </si>
  <si>
    <t>U23</t>
    <phoneticPr fontId="1" type="noConversion"/>
  </si>
  <si>
    <t>U31</t>
    <phoneticPr fontId="1" type="noConversion"/>
  </si>
  <si>
    <t>Upp~</t>
    <phoneticPr fontId="1" type="noConversion"/>
  </si>
  <si>
    <t>Voltage Unbalace, Uo</t>
    <phoneticPr fontId="1" type="noConversion"/>
  </si>
  <si>
    <t>Voltage Unbalace, Uu</t>
    <phoneticPr fontId="1" type="noConversion"/>
  </si>
  <si>
    <t>I1</t>
    <phoneticPr fontId="1" type="noConversion"/>
  </si>
  <si>
    <t>P1</t>
    <phoneticPr fontId="1" type="noConversion"/>
  </si>
  <si>
    <t>Ptotal</t>
    <phoneticPr fontId="1" type="noConversion"/>
  </si>
  <si>
    <t>Q1</t>
    <phoneticPr fontId="1" type="noConversion"/>
  </si>
  <si>
    <t>Q2</t>
    <phoneticPr fontId="1" type="noConversion"/>
  </si>
  <si>
    <t>Q3</t>
    <phoneticPr fontId="1" type="noConversion"/>
  </si>
  <si>
    <t>Qtot</t>
    <phoneticPr fontId="1" type="noConversion"/>
  </si>
  <si>
    <t>D1</t>
    <phoneticPr fontId="1" type="noConversion"/>
  </si>
  <si>
    <t>D2</t>
  </si>
  <si>
    <t>D3</t>
  </si>
  <si>
    <t>D</t>
    <phoneticPr fontId="1" type="noConversion"/>
  </si>
  <si>
    <t>S1</t>
    <phoneticPr fontId="1" type="noConversion"/>
  </si>
  <si>
    <t>Stot</t>
    <phoneticPr fontId="1" type="noConversion"/>
  </si>
  <si>
    <t>PF1</t>
    <phoneticPr fontId="1" type="noConversion"/>
  </si>
  <si>
    <t>PFtot</t>
    <phoneticPr fontId="1" type="noConversion"/>
  </si>
  <si>
    <t>THD U1</t>
    <phoneticPr fontId="1" type="noConversion"/>
  </si>
  <si>
    <t>THD U12</t>
    <phoneticPr fontId="1" type="noConversion"/>
  </si>
  <si>
    <t>THD U23</t>
    <phoneticPr fontId="1" type="noConversion"/>
  </si>
  <si>
    <t>THD U31</t>
    <phoneticPr fontId="1" type="noConversion"/>
  </si>
  <si>
    <t>THD I1</t>
    <phoneticPr fontId="1" type="noConversion"/>
  </si>
  <si>
    <t>Dynamic Demand P+</t>
    <phoneticPr fontId="1" type="noConversion"/>
  </si>
  <si>
    <t>Dynamic Demand P-</t>
    <phoneticPr fontId="1" type="noConversion"/>
  </si>
  <si>
    <t>Dynamic Demand Q+</t>
    <phoneticPr fontId="1" type="noConversion"/>
  </si>
  <si>
    <t>Dynamic Demand Q-</t>
    <phoneticPr fontId="1" type="noConversion"/>
  </si>
  <si>
    <t>Dynamic Demand S</t>
    <phoneticPr fontId="1" type="noConversion"/>
  </si>
  <si>
    <t>Dynamic Demand I1</t>
    <phoneticPr fontId="1" type="noConversion"/>
  </si>
  <si>
    <t>Dynamic Demand I2</t>
  </si>
  <si>
    <t>Dynamic Demand I3</t>
  </si>
  <si>
    <t>Max. Demand P+</t>
    <phoneticPr fontId="1" type="noConversion"/>
  </si>
  <si>
    <t>Max. Demand P=-</t>
    <phoneticPr fontId="1" type="noConversion"/>
  </si>
  <si>
    <t>Max. Demand Q+</t>
    <phoneticPr fontId="1" type="noConversion"/>
  </si>
  <si>
    <t>Max. Demand Q-</t>
    <phoneticPr fontId="1" type="noConversion"/>
  </si>
  <si>
    <t>Max. Demand S</t>
    <phoneticPr fontId="1" type="noConversion"/>
  </si>
  <si>
    <t>Max. Demand I1</t>
    <phoneticPr fontId="1" type="noConversion"/>
  </si>
  <si>
    <t>Max. Demand I2</t>
  </si>
  <si>
    <t>Max. Demand I3</t>
  </si>
  <si>
    <t>Temp</t>
    <phoneticPr fontId="1" type="noConversion"/>
  </si>
  <si>
    <t>Freq</t>
    <phoneticPr fontId="1" type="noConversion"/>
  </si>
  <si>
    <t>Alarm Settings #2</t>
    <phoneticPr fontId="1" type="noConversion"/>
  </si>
  <si>
    <t>Alarm Settings</t>
    <phoneticPr fontId="1" type="noConversion"/>
  </si>
  <si>
    <t>Alarm Settings #3</t>
  </si>
  <si>
    <t>Alarm Settings #4</t>
  </si>
  <si>
    <t>Alarm Settings #5</t>
  </si>
  <si>
    <t>Alarm Settings #6</t>
  </si>
  <si>
    <t>Alarm Settings #7</t>
  </si>
  <si>
    <t>Alarm Settings #8</t>
  </si>
  <si>
    <t>Alarm Settings #9</t>
  </si>
  <si>
    <t>Alarm Settings #10</t>
  </si>
  <si>
    <t>Alarm Settings #11</t>
  </si>
  <si>
    <t>Alarm Settings #12</t>
  </si>
  <si>
    <t>Alarm Settings #13</t>
  </si>
  <si>
    <t>Alarm Settings #14</t>
  </si>
  <si>
    <t>Alarm Settings #15</t>
  </si>
  <si>
    <t>Alarm Settings #16</t>
  </si>
  <si>
    <t>Alarm Settings #17</t>
  </si>
  <si>
    <t>Alarm Settings #18</t>
  </si>
  <si>
    <t>Alarm Settings #19</t>
  </si>
  <si>
    <t>Alarm Settings #20</t>
  </si>
  <si>
    <t>Alarm Settings #21</t>
  </si>
  <si>
    <t>Alarm Settings #22</t>
  </si>
  <si>
    <t>Alarm Settings #23</t>
  </si>
  <si>
    <t>Alarm Settings #24</t>
  </si>
  <si>
    <t>Alarm Settings #25</t>
  </si>
  <si>
    <t>Alarm Settings #26</t>
  </si>
  <si>
    <t>Alarm Settings #27</t>
  </si>
  <si>
    <t>Alarm Settings #28</t>
  </si>
  <si>
    <t>Alarm Settings #29</t>
  </si>
  <si>
    <t>Alarm Settings #30</t>
  </si>
  <si>
    <t>Alarm Settings #31</t>
  </si>
  <si>
    <t>Alarm Settings #32</t>
  </si>
  <si>
    <t>PQ 이벤트(Sag, Swell, Transient, OC)</t>
    <phoneticPr fontId="1" type="noConversion"/>
  </si>
  <si>
    <t>PQ Event #32</t>
  </si>
  <si>
    <t xml:space="preserve"> </t>
    <phoneticPr fontId="1" type="noConversion"/>
  </si>
  <si>
    <t>Transient Trigger</t>
    <phoneticPr fontId="1" type="noConversion"/>
  </si>
  <si>
    <t>Transient Current, HoldOff Time</t>
    <phoneticPr fontId="1" type="noConversion"/>
  </si>
  <si>
    <t>Transient Current, Absolute Peak Level</t>
    <phoneticPr fontId="1" type="noConversion"/>
  </si>
  <si>
    <t>Transient Current, Fast Change(%U/us)</t>
    <phoneticPr fontId="1" type="noConversion"/>
  </si>
  <si>
    <t>Transient Current, Trigger Action</t>
    <phoneticPr fontId="1" type="noConversion"/>
  </si>
  <si>
    <t>Transient Voltage, HoldOff Time, 20ms</t>
    <phoneticPr fontId="1" type="noConversion"/>
  </si>
  <si>
    <t>Transient Voltage, Absolute Peak Level, 200%</t>
    <phoneticPr fontId="1" type="noConversion"/>
  </si>
  <si>
    <t>Transient Voltage, Fast Change(%U/us)</t>
    <phoneticPr fontId="1" type="noConversion"/>
  </si>
  <si>
    <t>Transient Voltage, Trigger Action</t>
    <phoneticPr fontId="1" type="noConversion"/>
  </si>
  <si>
    <t>Trend Recorder</t>
    <phoneticPr fontId="1" type="noConversion"/>
  </si>
  <si>
    <t>Angle between fundamental phase voltage and phase current</t>
  </si>
  <si>
    <t xml:space="preserve"> </t>
    <phoneticPr fontId="1" type="noConversion"/>
  </si>
  <si>
    <t>Demand time stamp</t>
    <phoneticPr fontId="1" type="noConversion"/>
  </si>
  <si>
    <t>CRC</t>
    <phoneticPr fontId="1" type="noConversion"/>
  </si>
  <si>
    <t>Trend/Alarm Channel</t>
    <phoneticPr fontId="1" type="noConversion"/>
  </si>
  <si>
    <t>fr</t>
  </si>
  <si>
    <t>re</t>
  </si>
  <si>
    <t>Update TimeStamp</t>
  </si>
  <si>
    <t>I~</t>
  </si>
  <si>
    <t>Itotal</t>
  </si>
  <si>
    <t>In</t>
  </si>
  <si>
    <t>Under Deviation U1</t>
  </si>
  <si>
    <t>Under Deviation U2</t>
  </si>
  <si>
    <t>Under Deviation U3</t>
  </si>
  <si>
    <t>Over Drviation U1</t>
  </si>
  <si>
    <t>Over Drviation U2</t>
  </si>
  <si>
    <t>Over Drviation U3</t>
  </si>
  <si>
    <t>CF U1</t>
  </si>
  <si>
    <t>CF U2</t>
  </si>
  <si>
    <t>CF U3</t>
  </si>
  <si>
    <t>CF U12</t>
  </si>
  <si>
    <t>CF U23</t>
  </si>
  <si>
    <t>CF U31</t>
  </si>
  <si>
    <t>CF I1</t>
  </si>
  <si>
    <t>CF I2</t>
  </si>
  <si>
    <t>CF I3</t>
  </si>
  <si>
    <t>KF I1</t>
  </si>
  <si>
    <t>KF I2</t>
  </si>
  <si>
    <t>KF I3</t>
  </si>
  <si>
    <t>PSt 1</t>
  </si>
  <si>
    <t>PSt 2</t>
  </si>
  <si>
    <t>PSt 3</t>
  </si>
  <si>
    <t>Plt 1</t>
  </si>
  <si>
    <t>Plt 2</t>
  </si>
  <si>
    <t>Plt 3</t>
  </si>
  <si>
    <t>Sig. Volt 1</t>
  </si>
  <si>
    <t>Sig. Volt 2</t>
  </si>
  <si>
    <t>Sig. Volt 3</t>
  </si>
  <si>
    <t>compare Time Delay(1s)</t>
  </si>
  <si>
    <t>U16</t>
    <phoneticPr fontId="1" type="noConversion"/>
  </si>
  <si>
    <t>Alarm Action (None, Relay or Beep)</t>
    <phoneticPr fontId="1" type="noConversion"/>
  </si>
  <si>
    <t>Alarm  Info #1 Channel(0:disabled, &gt;0: enabled)</t>
    <phoneticPr fontId="1" type="noConversion"/>
  </si>
  <si>
    <t>float</t>
  </si>
  <si>
    <t>alarm status</t>
  </si>
  <si>
    <t>alarm log</t>
  </si>
  <si>
    <t>mask</t>
  </si>
  <si>
    <t>Level 1</t>
  </si>
  <si>
    <t>start ts(ms)</t>
  </si>
  <si>
    <t>duration</t>
  </si>
  <si>
    <t>Trend Group #1, Channel #1</t>
  </si>
  <si>
    <t>Trend Group #1, Channel #2</t>
  </si>
  <si>
    <t>Trend Group #1, Channel #3</t>
  </si>
  <si>
    <t>Trend Group #1, Channel #4</t>
  </si>
  <si>
    <t>Trend Group #1, Channel #5</t>
  </si>
  <si>
    <t>Trend Group #1, Channel #6</t>
  </si>
  <si>
    <t>Trend Group #1, Channel #7</t>
  </si>
  <si>
    <t>Trend Group #1, Channel #8</t>
  </si>
  <si>
    <t>Trend Group #1, Channel #9</t>
  </si>
  <si>
    <t>Trend Group #1, Channel #10</t>
  </si>
  <si>
    <t>Trend Group #1, Channel #11</t>
  </si>
  <si>
    <t>Trend Group #1, Channel #12</t>
  </si>
  <si>
    <t>Trend Group #1, Channel #13</t>
  </si>
  <si>
    <t>Trend Group #1, Channel #14</t>
  </si>
  <si>
    <t>Trend Group #1, Channel #15</t>
  </si>
  <si>
    <t>Trend Group #1, Channel #16</t>
  </si>
  <si>
    <t>Trend Group #2, Channel #1</t>
  </si>
  <si>
    <t>Trend Group #2, Channel #2</t>
  </si>
  <si>
    <t>Trend Group #2, Channel #3</t>
  </si>
  <si>
    <t>Trend Group #2, Channel #4</t>
  </si>
  <si>
    <t>Trend Group #2, Channel #5</t>
  </si>
  <si>
    <t>Trend Group #2, Channel #6</t>
  </si>
  <si>
    <t>Trend Group #2, Channel #7</t>
  </si>
  <si>
    <t>Trend Group #2, Channel #8</t>
  </si>
  <si>
    <t>Trend Group #2, Channel #9</t>
  </si>
  <si>
    <t>Trend Group #2, Channel #10</t>
  </si>
  <si>
    <t>Trend Group #2, Channel #11</t>
  </si>
  <si>
    <t>Trend Group #2, Channel #12</t>
  </si>
  <si>
    <t>Trend Group #2, Channel #13</t>
  </si>
  <si>
    <t>Trend Group #2, Channel #14</t>
  </si>
  <si>
    <t>Trend Group #2, Channel #15</t>
  </si>
  <si>
    <t>Trend Group #2, Channel #16</t>
  </si>
  <si>
    <t>Trend Group #1 Active</t>
  </si>
  <si>
    <t>Trend Group #1 Storage Interval</t>
  </si>
  <si>
    <t>Trend Group #3, Channel #1</t>
  </si>
  <si>
    <t>Trend Group #3, Channel #2</t>
  </si>
  <si>
    <t>Trend Group #3, Channel #3</t>
  </si>
  <si>
    <t>Trend Group #3, Channel #4</t>
  </si>
  <si>
    <t>Trend Group #3, Channel #5</t>
  </si>
  <si>
    <t>Trend Group #3, Channel #6</t>
  </si>
  <si>
    <t>Trend Group #3, Channel #7</t>
  </si>
  <si>
    <t>Trend Group #3, Channel #8</t>
  </si>
  <si>
    <t>Trend Group #3, Channel #9</t>
  </si>
  <si>
    <t>Trend Group #3, Channel #10</t>
  </si>
  <si>
    <t>Trend Group #3, Channel #11</t>
  </si>
  <si>
    <t>Trend Group #3, Channel #12</t>
  </si>
  <si>
    <t>Trend Group #3, Channel #13</t>
  </si>
  <si>
    <t>Trend Group #3, Channel #14</t>
  </si>
  <si>
    <t>Trend Group #3, Channel #15</t>
  </si>
  <si>
    <t>Trend Group #3, Channel #16</t>
  </si>
  <si>
    <t>Trend Group #4, Channel #1</t>
  </si>
  <si>
    <t>Trend Group #4, Channel #2</t>
  </si>
  <si>
    <t>Trend Group #4, Channel #3</t>
  </si>
  <si>
    <t>Trend Group #4, Channel #4</t>
  </si>
  <si>
    <t>Trend Group #4, Channel #5</t>
  </si>
  <si>
    <t>Trend Group #4, Channel #6</t>
  </si>
  <si>
    <t>Trend Group #4, Channel #7</t>
  </si>
  <si>
    <t>Trend Group #4, Channel #8</t>
  </si>
  <si>
    <t>Trend Group #4, Channel #9</t>
  </si>
  <si>
    <t>Trend Group #4, Channel #10</t>
  </si>
  <si>
    <t>Trend Group #4, Channel #11</t>
  </si>
  <si>
    <t>Trend Group #4, Channel #12</t>
  </si>
  <si>
    <t>Trend Group #4, Channel #13</t>
  </si>
  <si>
    <t>Trend Group #4, Channel #14</t>
  </si>
  <si>
    <t>Trend Group #4, Channel #15</t>
  </si>
  <si>
    <t>Trend Group #4, Channel #16</t>
  </si>
  <si>
    <t>Trend Group #4 Active</t>
  </si>
  <si>
    <t>Trend Group #4 Storage Interval</t>
  </si>
  <si>
    <t>Recorder</t>
  </si>
  <si>
    <t>Waveform</t>
  </si>
  <si>
    <t>Disturbance</t>
  </si>
  <si>
    <t>PQ Event</t>
  </si>
  <si>
    <t>UTC Time</t>
    <phoneticPr fontId="1" type="noConversion"/>
  </si>
  <si>
    <t>float</t>
    <phoneticPr fontId="1" type="noConversion"/>
  </si>
  <si>
    <t>Alarm Level</t>
    <phoneticPr fontId="1" type="noConversion"/>
  </si>
  <si>
    <t>Alarm Cond (0: &lt; , 1:&gt;)</t>
    <phoneticPr fontId="1" type="noConversion"/>
  </si>
  <si>
    <t>Hysteresis (% of Nominal)</t>
    <phoneticPr fontId="1" type="noConversion"/>
  </si>
  <si>
    <t>Trend Group #2 Active</t>
    <phoneticPr fontId="1" type="noConversion"/>
  </si>
  <si>
    <t>Trend Group #2 Storage Interval</t>
    <phoneticPr fontId="1" type="noConversion"/>
  </si>
  <si>
    <t xml:space="preserve"> </t>
    <phoneticPr fontId="1" type="noConversion"/>
  </si>
  <si>
    <t>Trend Group #3 Active</t>
    <phoneticPr fontId="1" type="noConversion"/>
  </si>
  <si>
    <t>Trend Group #3 Storage Interval</t>
    <phoneticPr fontId="1" type="noConversion"/>
  </si>
  <si>
    <t>Trend Group #1 Version</t>
    <phoneticPr fontId="1" type="noConversion"/>
  </si>
  <si>
    <t>FW_BUILD_YEAR</t>
    <phoneticPr fontId="1" type="noConversion"/>
  </si>
  <si>
    <t>FW_BUILD_MON</t>
    <phoneticPr fontId="1" type="noConversion"/>
  </si>
  <si>
    <t>FW_BUILD_DAY</t>
    <phoneticPr fontId="1" type="noConversion"/>
  </si>
  <si>
    <t>2019-5-11변경</t>
    <phoneticPr fontId="1" type="noConversion"/>
  </si>
  <si>
    <t>export kwh</t>
    <phoneticPr fontId="1" type="noConversion"/>
  </si>
  <si>
    <t>kvah</t>
    <phoneticPr fontId="1" type="noConversion"/>
  </si>
  <si>
    <t>export kwh last month</t>
    <phoneticPr fontId="1" type="noConversion"/>
  </si>
  <si>
    <t>import kvarh last month</t>
    <phoneticPr fontId="1" type="noConversion"/>
  </si>
  <si>
    <t>export kvarh last month</t>
    <phoneticPr fontId="1" type="noConversion"/>
  </si>
  <si>
    <t>Voltage Quality RealTime Value</t>
    <phoneticPr fontId="1" type="noConversion"/>
  </si>
  <si>
    <t>UTC</t>
    <phoneticPr fontId="1" type="noConversion"/>
  </si>
  <si>
    <t xml:space="preserve"> </t>
    <phoneticPr fontId="1" type="noConversion"/>
  </si>
  <si>
    <t>월간리포트 생성위한 10분 평균</t>
    <phoneticPr fontId="1" type="noConversion"/>
  </si>
  <si>
    <t>U32</t>
    <phoneticPr fontId="1" type="noConversion"/>
  </si>
  <si>
    <t>U64</t>
    <phoneticPr fontId="1" type="noConversion"/>
  </si>
  <si>
    <t>import kwh</t>
    <phoneticPr fontId="1" type="noConversion"/>
  </si>
  <si>
    <t>export kwh</t>
    <phoneticPr fontId="1" type="noConversion"/>
  </si>
  <si>
    <t>import kvarh</t>
    <phoneticPr fontId="1" type="noConversion"/>
  </si>
  <si>
    <t>kvah</t>
    <phoneticPr fontId="1" type="noConversion"/>
  </si>
  <si>
    <t>이벤트 리스트</t>
    <phoneticPr fontId="1" type="noConversion"/>
  </si>
  <si>
    <t>float</t>
    <phoneticPr fontId="1" type="noConversion"/>
  </si>
  <si>
    <t>vscale</t>
    <phoneticPr fontId="1" type="noConversion"/>
  </si>
  <si>
    <t>iscale</t>
    <phoneticPr fontId="1" type="noConversion"/>
  </si>
  <si>
    <t>U16</t>
    <phoneticPr fontId="1" type="noConversion"/>
  </si>
  <si>
    <t>Energy log</t>
    <phoneticPr fontId="1" type="noConversion"/>
  </si>
  <si>
    <t xml:space="preserve">*통신이 끊어진 경우 복구를 위해 사용된다 </t>
    <phoneticPr fontId="1" type="noConversion"/>
  </si>
  <si>
    <t>demand</t>
    <phoneticPr fontId="1" type="noConversion"/>
  </si>
  <si>
    <t>demand log last day</t>
    <phoneticPr fontId="1" type="noConversion"/>
  </si>
  <si>
    <t>U16</t>
    <phoneticPr fontId="1" type="noConversion"/>
  </si>
  <si>
    <t>U32</t>
    <phoneticPr fontId="1" type="noConversion"/>
  </si>
  <si>
    <t>Time Stamp</t>
    <phoneticPr fontId="1" type="noConversion"/>
  </si>
  <si>
    <t>전일 디멘트 로그</t>
    <phoneticPr fontId="1" type="noConversion"/>
  </si>
  <si>
    <t>max/min reset period</t>
    <phoneticPr fontId="1" type="noConversion"/>
  </si>
  <si>
    <t>0: daily
1: weekly
2: monthly</t>
    <phoneticPr fontId="1" type="noConversion"/>
  </si>
  <si>
    <t>Time Stamp(Demand Log 시작일)</t>
    <phoneticPr fontId="1" type="noConversion"/>
  </si>
  <si>
    <t xml:space="preserve"> </t>
    <phoneticPr fontId="1" type="noConversion"/>
  </si>
  <si>
    <t>#4</t>
  </si>
  <si>
    <t>#5</t>
  </si>
  <si>
    <t>#6</t>
  </si>
  <si>
    <t>#7</t>
  </si>
  <si>
    <t>#8</t>
  </si>
  <si>
    <t>#9</t>
  </si>
  <si>
    <t xml:space="preserve"> </t>
    <phoneticPr fontId="1" type="noConversion"/>
  </si>
  <si>
    <t>120 ~ 300%</t>
    <phoneticPr fontId="1" type="noConversion"/>
  </si>
  <si>
    <t>4~10% (120 ~ 320%)</t>
    <phoneticPr fontId="1" type="noConversion"/>
  </si>
  <si>
    <t>200 ~ 1000ms</t>
    <phoneticPr fontId="1" type="noConversion"/>
  </si>
  <si>
    <t>정격의 2배</t>
    <phoneticPr fontId="1" type="noConversion"/>
  </si>
  <si>
    <t xml:space="preserve">Swell Level(%), 110~200~ </t>
    <phoneticPr fontId="1" type="noConversion"/>
  </si>
  <si>
    <t xml:space="preserve"> &lt; 90%</t>
    <phoneticPr fontId="1" type="noConversion"/>
  </si>
  <si>
    <t xml:space="preserve"> &gt; 110%</t>
    <phoneticPr fontId="1" type="noConversion"/>
  </si>
  <si>
    <t xml:space="preserve"> &lt; 5%</t>
    <phoneticPr fontId="1" type="noConversion"/>
  </si>
  <si>
    <t>unused</t>
    <phoneticPr fontId="1" type="noConversion"/>
  </si>
  <si>
    <t>holdOff Cycle</t>
    <phoneticPr fontId="1" type="noConversion"/>
  </si>
  <si>
    <t xml:space="preserve"> </t>
    <phoneticPr fontId="1" type="noConversion"/>
  </si>
  <si>
    <t>In(Calculated)</t>
    <phoneticPr fontId="1" type="noConversion"/>
  </si>
  <si>
    <t>Ia+Ib+Ic+In = Ig</t>
    <phoneticPr fontId="1" type="noConversion"/>
  </si>
  <si>
    <t>1. 5A: -3P4W(In) -3P3W(Ig), 2. AT/VT: Ig로 사용</t>
    <phoneticPr fontId="1" type="noConversion"/>
  </si>
  <si>
    <t>1. 5A: -3P4W(Ig=Ia+Ib+Ic+In), -3P3W(Ig=Ia+Ib+Ic), 2. AT/VT: 5A와 동일</t>
    <phoneticPr fontId="1" type="noConversion"/>
  </si>
  <si>
    <t>0: None
1: Event Only, 
2: Wave Capture</t>
    <phoneticPr fontId="1" type="noConversion"/>
  </si>
  <si>
    <t>0: None
1: Event Only, 
2: Wave Capture</t>
    <phoneticPr fontId="1" type="noConversion"/>
  </si>
  <si>
    <t>0: None
1: Event Only, 
2: Wave Capture&amp;RMS</t>
    <phoneticPr fontId="1" type="noConversion"/>
  </si>
  <si>
    <t>Sag Coount</t>
    <phoneticPr fontId="1" type="noConversion"/>
  </si>
  <si>
    <t>Swell Count</t>
    <phoneticPr fontId="1" type="noConversion"/>
  </si>
  <si>
    <t>PQ Event Counter</t>
    <phoneticPr fontId="1" type="noConversion"/>
  </si>
  <si>
    <t>Max. Demand for current TDD(A) - unused</t>
    <phoneticPr fontId="1" type="noConversion"/>
  </si>
  <si>
    <t>분단위</t>
    <phoneticPr fontId="1" type="noConversion"/>
  </si>
  <si>
    <t>Time Zone (~720 ~ 720)</t>
    <phoneticPr fontId="1" type="noConversion"/>
  </si>
  <si>
    <t>type</t>
    <phoneticPr fontId="1" type="noConversion"/>
  </si>
  <si>
    <t>W</t>
    <phoneticPr fontId="1" type="noConversion"/>
  </si>
  <si>
    <t>VAR</t>
    <phoneticPr fontId="1" type="noConversion"/>
  </si>
  <si>
    <t>VA</t>
    <phoneticPr fontId="1" type="noConversion"/>
  </si>
  <si>
    <t>누설전류</t>
    <phoneticPr fontId="1" type="noConversion"/>
  </si>
  <si>
    <t>라인주파수</t>
    <phoneticPr fontId="1" type="noConversion"/>
  </si>
  <si>
    <t>선간 전압 12</t>
    <phoneticPr fontId="1" type="noConversion"/>
  </si>
  <si>
    <t>선간 전압 23</t>
    <phoneticPr fontId="1" type="noConversion"/>
  </si>
  <si>
    <t>선간 전압 31</t>
    <phoneticPr fontId="1" type="noConversion"/>
  </si>
  <si>
    <t>유효전력 P1</t>
    <phoneticPr fontId="1" type="noConversion"/>
  </si>
  <si>
    <t>유효전력 P2</t>
  </si>
  <si>
    <t>유효전력 P3</t>
  </si>
  <si>
    <t>유효전력 P-total</t>
    <phoneticPr fontId="1" type="noConversion"/>
  </si>
  <si>
    <t>무효전력 Q1</t>
    <phoneticPr fontId="1" type="noConversion"/>
  </si>
  <si>
    <t>무효전력 Q2</t>
  </si>
  <si>
    <t>무효전력 Q3</t>
  </si>
  <si>
    <t>무효전력 Q-total</t>
    <phoneticPr fontId="1" type="noConversion"/>
  </si>
  <si>
    <t>피상전력 S1</t>
    <phoneticPr fontId="1" type="noConversion"/>
  </si>
  <si>
    <t>피상전력 S2</t>
  </si>
  <si>
    <t>피상전력 S3</t>
  </si>
  <si>
    <t>피상전력 S-total</t>
    <phoneticPr fontId="1" type="noConversion"/>
  </si>
  <si>
    <t>역률 PF-total</t>
    <phoneticPr fontId="1" type="noConversion"/>
  </si>
  <si>
    <t>역률 PF1</t>
    <phoneticPr fontId="1" type="noConversion"/>
  </si>
  <si>
    <t>역률 PF2</t>
  </si>
  <si>
    <t>역률 PF3</t>
  </si>
  <si>
    <t>상전압 1</t>
    <phoneticPr fontId="1" type="noConversion"/>
  </si>
  <si>
    <t>상전압 2</t>
  </si>
  <si>
    <t>상전압 3</t>
  </si>
  <si>
    <t>상전압 평균</t>
    <phoneticPr fontId="1" type="noConversion"/>
  </si>
  <si>
    <t>선간 전압 평균</t>
    <phoneticPr fontId="1" type="noConversion"/>
  </si>
  <si>
    <t>상전류 1</t>
    <phoneticPr fontId="1" type="noConversion"/>
  </si>
  <si>
    <t>상전류 2</t>
  </si>
  <si>
    <t>상전류 3</t>
  </si>
  <si>
    <t>DAQ server ip</t>
    <phoneticPr fontId="1" type="noConversion"/>
  </si>
  <si>
    <t>DAQ interval (minute)</t>
    <phoneticPr fontId="1" type="noConversion"/>
  </si>
  <si>
    <t xml:space="preserve">DAQ device id </t>
    <phoneticPr fontId="1" type="noConversion"/>
  </si>
  <si>
    <t>DAQ bitspersample (0: 16bit, 1: 32bit)</t>
    <phoneticPr fontId="1" type="noConversion"/>
  </si>
  <si>
    <t>DAQ sampling buffer length
(0: 2k, 1: 4k, 2: 8k, 3: 16k, 4: 32k, 5: 64)</t>
    <phoneticPr fontId="1" type="noConversion"/>
  </si>
  <si>
    <t>DAQ sampling rate
(0: 2k, 1: 4k, 2: 8k, 3: 16k, 4: 32k)</t>
    <phoneticPr fontId="1" type="noConversion"/>
  </si>
  <si>
    <t>name</t>
    <phoneticPr fontId="1" type="noConversion"/>
  </si>
  <si>
    <t>설명</t>
    <phoneticPr fontId="1" type="noConversion"/>
  </si>
  <si>
    <t>address</t>
    <phoneticPr fontId="1" type="noConversion"/>
  </si>
  <si>
    <t>TYPE</t>
    <phoneticPr fontId="1" type="noConversion"/>
  </si>
  <si>
    <t>Word Count</t>
    <phoneticPr fontId="1" type="noConversion"/>
  </si>
  <si>
    <t>Item
Count</t>
    <phoneticPr fontId="1" type="noConversion"/>
  </si>
  <si>
    <t>Unit</t>
    <phoneticPr fontId="1" type="noConversion"/>
  </si>
  <si>
    <t>Hz</t>
    <phoneticPr fontId="1" type="noConversion"/>
  </si>
  <si>
    <t>℃</t>
    <phoneticPr fontId="1" type="noConversion"/>
  </si>
  <si>
    <t>A</t>
    <phoneticPr fontId="1" type="noConversion"/>
  </si>
  <si>
    <t>Degree</t>
    <phoneticPr fontId="1" type="noConversion"/>
  </si>
  <si>
    <t>Crest Factor : 파고율</t>
    <phoneticPr fontId="1" type="noConversion"/>
  </si>
  <si>
    <t>K-FACTOR : 고조파 허용율</t>
    <phoneticPr fontId="1" type="noConversion"/>
  </si>
  <si>
    <t>Setting 영역 시작</t>
    <phoneticPr fontId="1" type="noConversion"/>
  </si>
  <si>
    <t>Group</t>
    <phoneticPr fontId="1" type="noConversion"/>
  </si>
  <si>
    <t>Function code</t>
    <phoneticPr fontId="1" type="noConversion"/>
  </si>
  <si>
    <t>U1</t>
  </si>
  <si>
    <t>상전압 1</t>
  </si>
  <si>
    <t>3,4</t>
  </si>
  <si>
    <t>I1</t>
  </si>
  <si>
    <t>THD V1</t>
  </si>
  <si>
    <t>TDD I1</t>
  </si>
  <si>
    <t>reserved</t>
    <phoneticPr fontId="1" type="noConversion"/>
  </si>
  <si>
    <t>Ig</t>
    <phoneticPr fontId="1" type="noConversion"/>
  </si>
  <si>
    <t>fU1</t>
    <phoneticPr fontId="1" type="noConversion"/>
  </si>
  <si>
    <t>fU2</t>
    <phoneticPr fontId="1" type="noConversion"/>
  </si>
  <si>
    <t>fU3</t>
    <phoneticPr fontId="1" type="noConversion"/>
  </si>
  <si>
    <t>fU~</t>
    <phoneticPr fontId="1" type="noConversion"/>
  </si>
  <si>
    <t>기본파 U1</t>
    <phoneticPr fontId="1" type="noConversion"/>
  </si>
  <si>
    <t>기본파 U2</t>
    <phoneticPr fontId="1" type="noConversion"/>
  </si>
  <si>
    <t>기본파 U3</t>
    <phoneticPr fontId="1" type="noConversion"/>
  </si>
  <si>
    <t>기본파 전압 평균</t>
    <phoneticPr fontId="1" type="noConversion"/>
  </si>
  <si>
    <t>fI1</t>
    <phoneticPr fontId="1" type="noConversion"/>
  </si>
  <si>
    <t>fI2</t>
    <phoneticPr fontId="1" type="noConversion"/>
  </si>
  <si>
    <t>fI3</t>
    <phoneticPr fontId="1" type="noConversion"/>
  </si>
  <si>
    <t>fI~</t>
    <phoneticPr fontId="1" type="noConversion"/>
  </si>
  <si>
    <t>기본파 I1</t>
    <phoneticPr fontId="1" type="noConversion"/>
  </si>
  <si>
    <t>기본파 I2</t>
    <phoneticPr fontId="1" type="noConversion"/>
  </si>
  <si>
    <t>기본파 I3</t>
    <phoneticPr fontId="1" type="noConversion"/>
  </si>
  <si>
    <t>기본파 전류 평균</t>
    <phoneticPr fontId="1" type="noConversion"/>
  </si>
  <si>
    <t>V</t>
    <phoneticPr fontId="1" type="noConversion"/>
  </si>
  <si>
    <t>A</t>
    <phoneticPr fontId="1" type="noConversion"/>
  </si>
  <si>
    <t>상전류 1</t>
    <phoneticPr fontId="1" type="noConversion"/>
  </si>
  <si>
    <t>상전류 3</t>
    <phoneticPr fontId="1" type="noConversion"/>
  </si>
  <si>
    <t>고조파함유율 상전압 1</t>
    <phoneticPr fontId="1" type="noConversion"/>
  </si>
  <si>
    <t>고조파함유율 상전압 2</t>
  </si>
  <si>
    <t>고조파함유율 상전압 3</t>
  </si>
  <si>
    <t>고조파함유율 상전류 1</t>
    <phoneticPr fontId="1" type="noConversion"/>
  </si>
  <si>
    <t>고조파함유율 상전류 2</t>
  </si>
  <si>
    <t>고조파함유율 상전류 3</t>
  </si>
  <si>
    <t>디맨드왜형율 상전류 1</t>
    <phoneticPr fontId="1" type="noConversion"/>
  </si>
  <si>
    <t>디맨드왜형율 상전류 2</t>
  </si>
  <si>
    <t>디맨드왜형율 상전류 3</t>
  </si>
  <si>
    <t>EN50160 This Week</t>
    <phoneticPr fontId="1" type="noConversion"/>
  </si>
  <si>
    <t>Heatbit</t>
    <phoneticPr fontId="1" type="noConversion"/>
  </si>
  <si>
    <t>HW Model</t>
    <phoneticPr fontId="1" type="noConversion"/>
  </si>
  <si>
    <t>HW Version</t>
    <phoneticPr fontId="1" type="noConversion"/>
  </si>
  <si>
    <t>FW Version</t>
    <phoneticPr fontId="1" type="noConversion"/>
  </si>
  <si>
    <t>FW_BUILD_YEAR</t>
    <phoneticPr fontId="1" type="noConversion"/>
  </si>
  <si>
    <t>FW_BUILD_DAY</t>
    <phoneticPr fontId="1" type="noConversion"/>
  </si>
  <si>
    <t>Serial Num</t>
    <phoneticPr fontId="1" type="noConversion"/>
  </si>
  <si>
    <t>Status</t>
    <phoneticPr fontId="1" type="noConversion"/>
  </si>
  <si>
    <t>Decription</t>
    <phoneticPr fontId="1" type="noConversion"/>
  </si>
  <si>
    <t>1P</t>
    <phoneticPr fontId="1" type="noConversion"/>
  </si>
  <si>
    <t>3P</t>
    <phoneticPr fontId="1" type="noConversion"/>
  </si>
  <si>
    <t>U16</t>
    <phoneticPr fontId="1" type="noConversion"/>
  </si>
  <si>
    <t>U16</t>
    <phoneticPr fontId="1" type="noConversion"/>
  </si>
  <si>
    <t>#1</t>
    <phoneticPr fontId="1" type="noConversion"/>
  </si>
  <si>
    <t>float</t>
    <phoneticPr fontId="1" type="noConversion"/>
  </si>
  <si>
    <t>Common</t>
    <phoneticPr fontId="1" type="noConversion"/>
  </si>
  <si>
    <t>1st draft</t>
    <phoneticPr fontId="1" type="noConversion"/>
  </si>
  <si>
    <t>CB Type</t>
    <phoneticPr fontId="1" type="noConversion"/>
  </si>
  <si>
    <t>CB Status</t>
    <phoneticPr fontId="1" type="noConversion"/>
  </si>
  <si>
    <t>상전류 2</t>
    <phoneticPr fontId="1" type="noConversion"/>
  </si>
  <si>
    <t>P total</t>
    <phoneticPr fontId="1" type="noConversion"/>
  </si>
  <si>
    <t>kVARh_imp</t>
    <phoneticPr fontId="1" type="noConversion"/>
  </si>
  <si>
    <t>kVAh</t>
    <phoneticPr fontId="1" type="noConversion"/>
  </si>
  <si>
    <t>kWh_imp</t>
    <phoneticPr fontId="1" type="noConversion"/>
  </si>
  <si>
    <t>kWh_imp_this_month</t>
    <phoneticPr fontId="1" type="noConversion"/>
  </si>
  <si>
    <t>kWh_imp_last_month</t>
    <phoneticPr fontId="1" type="noConversion"/>
  </si>
  <si>
    <t>P1</t>
    <phoneticPr fontId="1" type="noConversion"/>
  </si>
  <si>
    <t>P2</t>
    <phoneticPr fontId="1" type="noConversion"/>
  </si>
  <si>
    <t>P3</t>
    <phoneticPr fontId="1" type="noConversion"/>
  </si>
  <si>
    <t>Q total</t>
    <phoneticPr fontId="1" type="noConversion"/>
  </si>
  <si>
    <t>S total</t>
    <phoneticPr fontId="1" type="noConversion"/>
  </si>
  <si>
    <t>PF total</t>
    <phoneticPr fontId="1" type="noConversion"/>
  </si>
  <si>
    <t>U12</t>
    <phoneticPr fontId="1" type="noConversion"/>
  </si>
  <si>
    <t>U23</t>
    <phoneticPr fontId="1" type="noConversion"/>
  </si>
  <si>
    <t>U31</t>
    <phoneticPr fontId="1" type="noConversion"/>
  </si>
  <si>
    <t>Hz</t>
    <phoneticPr fontId="1" type="noConversion"/>
  </si>
  <si>
    <t>V</t>
    <phoneticPr fontId="1" type="noConversion"/>
  </si>
  <si>
    <t>A</t>
    <phoneticPr fontId="1" type="noConversion"/>
  </si>
  <si>
    <t>W</t>
    <phoneticPr fontId="1" type="noConversion"/>
  </si>
  <si>
    <t>Var</t>
    <phoneticPr fontId="1" type="noConversion"/>
  </si>
  <si>
    <t>VA</t>
    <phoneticPr fontId="1" type="noConversion"/>
  </si>
  <si>
    <t>%</t>
    <phoneticPr fontId="1" type="noConversion"/>
  </si>
  <si>
    <t>kWh</t>
    <phoneticPr fontId="1" type="noConversion"/>
  </si>
  <si>
    <t>kVarh</t>
    <phoneticPr fontId="1" type="noConversion"/>
  </si>
  <si>
    <t>kVAh</t>
    <phoneticPr fontId="1" type="noConversion"/>
  </si>
  <si>
    <t>%</t>
    <phoneticPr fontId="1" type="noConversion"/>
  </si>
  <si>
    <t>%</t>
    <phoneticPr fontId="1" type="noConversion"/>
  </si>
  <si>
    <t>Volt. Unbalance</t>
    <phoneticPr fontId="1" type="noConversion"/>
  </si>
  <si>
    <t>Current Unbalance</t>
    <phoneticPr fontId="1" type="noConversion"/>
  </si>
  <si>
    <t>#2</t>
    <phoneticPr fontId="1" type="noConversion"/>
  </si>
  <si>
    <t>U32</t>
    <phoneticPr fontId="1" type="noConversion"/>
  </si>
  <si>
    <t>#3</t>
    <phoneticPr fontId="1" type="noConversion"/>
  </si>
  <si>
    <t>#1</t>
    <phoneticPr fontId="1" type="noConversion"/>
  </si>
  <si>
    <t>Harmonics by order</t>
    <phoneticPr fontId="1" type="noConversion"/>
  </si>
  <si>
    <t>3,4</t>
    <phoneticPr fontId="1" type="noConversion"/>
  </si>
  <si>
    <t>3,4</t>
    <phoneticPr fontId="1" type="noConversion"/>
  </si>
  <si>
    <t>S16</t>
  </si>
  <si>
    <t>#3</t>
    <phoneticPr fontId="1" type="noConversion"/>
  </si>
  <si>
    <t>1~41th</t>
    <phoneticPr fontId="1" type="noConversion"/>
  </si>
  <si>
    <t>#5</t>
    <phoneticPr fontId="1" type="noConversion"/>
  </si>
  <si>
    <t>start date</t>
    <phoneticPr fontId="1" type="noConversion"/>
  </si>
  <si>
    <t>end date</t>
    <phoneticPr fontId="1" type="noConversion"/>
  </si>
  <si>
    <t>status&amp;compliance</t>
    <phoneticPr fontId="1" type="noConversion"/>
  </si>
  <si>
    <t>Frequency Variation 1(%)</t>
    <phoneticPr fontId="1" type="noConversion"/>
  </si>
  <si>
    <t>Frequency Variation 2(%)</t>
    <phoneticPr fontId="1" type="noConversion"/>
  </si>
  <si>
    <t>Voltage Variation 1 L1(%)</t>
    <phoneticPr fontId="1" type="noConversion"/>
  </si>
  <si>
    <t>Voltage Variation 1 L2(%)</t>
    <phoneticPr fontId="1" type="noConversion"/>
  </si>
  <si>
    <t>Voltage Variation 1 L3(%)</t>
    <phoneticPr fontId="1" type="noConversion"/>
  </si>
  <si>
    <t>Voltage Variation 2 L1(%)</t>
    <phoneticPr fontId="1" type="noConversion"/>
  </si>
  <si>
    <t>Voltage Variation 2 L2(%)</t>
    <phoneticPr fontId="1" type="noConversion"/>
  </si>
  <si>
    <t>Voltage Variation 2 L3(%)</t>
    <phoneticPr fontId="1" type="noConversion"/>
  </si>
  <si>
    <t>Voltage Unbalance(%)</t>
    <phoneticPr fontId="1" type="noConversion"/>
  </si>
  <si>
    <t>THDs Variation L1(%)</t>
    <phoneticPr fontId="1" type="noConversion"/>
  </si>
  <si>
    <t>THDs Variation L2(%)</t>
    <phoneticPr fontId="1" type="noConversion"/>
  </si>
  <si>
    <t>THDs Variation L3(%)</t>
    <phoneticPr fontId="1" type="noConversion"/>
  </si>
  <si>
    <t>Harmonics Variatiopn L1(%)</t>
    <phoneticPr fontId="1" type="noConversion"/>
  </si>
  <si>
    <t>Harmonics Variatiopn L2(%)</t>
    <phoneticPr fontId="1" type="noConversion"/>
  </si>
  <si>
    <t>Harmonics Variatiopn L3(%)</t>
    <phoneticPr fontId="1" type="noConversion"/>
  </si>
  <si>
    <t>Flickers Pst L1(%)</t>
    <phoneticPr fontId="1" type="noConversion"/>
  </si>
  <si>
    <t>Flickers Pst L2(%)</t>
    <phoneticPr fontId="1" type="noConversion"/>
  </si>
  <si>
    <t>Flickers Pst L3(%)</t>
    <phoneticPr fontId="1" type="noConversion"/>
  </si>
  <si>
    <t>Flickers Plt L1(%)</t>
    <phoneticPr fontId="1" type="noConversion"/>
  </si>
  <si>
    <t>Flickers Plt L2(%)</t>
    <phoneticPr fontId="1" type="noConversion"/>
  </si>
  <si>
    <t>Flickers Plt L3(%)</t>
    <phoneticPr fontId="1" type="noConversion"/>
  </si>
  <si>
    <t>Signaling Voltage L1(%)</t>
    <phoneticPr fontId="1" type="noConversion"/>
  </si>
  <si>
    <t>Signaling Voltage L2(%)</t>
    <phoneticPr fontId="1" type="noConversion"/>
  </si>
  <si>
    <t>Signaling Voltage L3(%)</t>
    <phoneticPr fontId="1" type="noConversion"/>
  </si>
  <si>
    <t>Voltage Dips L1</t>
    <phoneticPr fontId="1" type="noConversion"/>
  </si>
  <si>
    <t>Voltage Dips L2</t>
  </si>
  <si>
    <t>Voltage Dips L3</t>
    <phoneticPr fontId="1" type="noConversion"/>
  </si>
  <si>
    <t>Voltage Dips Multi Phase</t>
    <phoneticPr fontId="1" type="noConversion"/>
  </si>
  <si>
    <t>Voltage Swells L1</t>
    <phoneticPr fontId="1" type="noConversion"/>
  </si>
  <si>
    <t>Voltage Swells L2</t>
  </si>
  <si>
    <t>Voltage Swells L3</t>
  </si>
  <si>
    <t>Voltage Swells Multi Phase</t>
    <phoneticPr fontId="1" type="noConversion"/>
  </si>
  <si>
    <t>Short Interruptions L1</t>
    <phoneticPr fontId="1" type="noConversion"/>
  </si>
  <si>
    <t>Short Interruptions L2</t>
  </si>
  <si>
    <t>Short Interruptions L3</t>
  </si>
  <si>
    <t>Short Interruptions Multi Phase</t>
    <phoneticPr fontId="1" type="noConversion"/>
  </si>
  <si>
    <t>Long Interruptions L1</t>
    <phoneticPr fontId="1" type="noConversion"/>
  </si>
  <si>
    <t>Long Interruptions L2</t>
  </si>
  <si>
    <t>Long Interruptions L3</t>
  </si>
  <si>
    <t>Long Interruptions Multi Phase</t>
    <phoneticPr fontId="1" type="noConversion"/>
  </si>
  <si>
    <t>Rapid Voltage Changes L1</t>
    <phoneticPr fontId="1" type="noConversion"/>
  </si>
  <si>
    <t>Rapid Voltage Changes L2</t>
  </si>
  <si>
    <t>Rapid Voltage Changes L3</t>
  </si>
  <si>
    <t>Rapid Voltage Changes Multi Phase</t>
    <phoneticPr fontId="1" type="noConversion"/>
  </si>
  <si>
    <t>status</t>
    <phoneticPr fontId="1" type="noConversion"/>
  </si>
  <si>
    <t>compilance</t>
    <phoneticPr fontId="1" type="noConversion"/>
  </si>
  <si>
    <t>reset Ts</t>
  </si>
  <si>
    <t>Alarm State #1</t>
    <phoneticPr fontId="1" type="noConversion"/>
  </si>
  <si>
    <t>Alarm Channel</t>
  </si>
  <si>
    <t>Alarm Condition</t>
  </si>
  <si>
    <t>Alarm Level</t>
  </si>
  <si>
    <t>Alarm Status</t>
  </si>
  <si>
    <t>Alarm Count</t>
  </si>
  <si>
    <t>Alarm State #2</t>
    <phoneticPr fontId="1" type="noConversion"/>
  </si>
  <si>
    <t>Alarm State #3</t>
  </si>
  <si>
    <t>Alarm State #4</t>
  </si>
  <si>
    <t>Alarm State #5</t>
  </si>
  <si>
    <t>Alarm State #6</t>
  </si>
  <si>
    <t>Alarm State #7</t>
  </si>
  <si>
    <t>Alarm State #8</t>
  </si>
  <si>
    <t>Alarm State #9</t>
  </si>
  <si>
    <t>Alarm State #10</t>
  </si>
  <si>
    <t>Alarm State #11</t>
  </si>
  <si>
    <t>Alarm State #12</t>
  </si>
  <si>
    <t>Alarm State #13</t>
  </si>
  <si>
    <t>Alarm State #14</t>
  </si>
  <si>
    <t>Alarm State #15</t>
  </si>
  <si>
    <t>Alarm State #16</t>
  </si>
  <si>
    <t>Alarm State #17</t>
  </si>
  <si>
    <t>Alarm State #18</t>
  </si>
  <si>
    <t>Alarm State #19</t>
  </si>
  <si>
    <t>Alarm State #20</t>
  </si>
  <si>
    <t>Alarm State #21</t>
  </si>
  <si>
    <t>Alarm State #22</t>
  </si>
  <si>
    <t>Alarm State #23</t>
  </si>
  <si>
    <t>Alarm State #24</t>
  </si>
  <si>
    <t>Alarm State #25</t>
  </si>
  <si>
    <t>Alarm State #26</t>
  </si>
  <si>
    <t>Alarm State #27</t>
  </si>
  <si>
    <t>Alarm State #28</t>
  </si>
  <si>
    <t>Alarm State #29</t>
  </si>
  <si>
    <t>Alarm State #30</t>
  </si>
  <si>
    <t>Alarm State #31</t>
  </si>
  <si>
    <t>Alarm State #32</t>
  </si>
  <si>
    <t>update Ts</t>
  </si>
  <si>
    <t>0 ~ 1023</t>
    <phoneticPr fontId="1" type="noConversion"/>
  </si>
  <si>
    <t>전체 log 수</t>
    <phoneticPr fontId="1" type="noConversion"/>
  </si>
  <si>
    <t>Alarm Log #1</t>
    <phoneticPr fontId="1" type="noConversion"/>
  </si>
  <si>
    <t>Time Stamp</t>
  </si>
  <si>
    <t>status</t>
  </si>
  <si>
    <t>Alarm Channel &amp; Condition</t>
  </si>
  <si>
    <t>level</t>
  </si>
  <si>
    <t>Value</t>
  </si>
  <si>
    <t>Alarm Log #2</t>
    <phoneticPr fontId="1" type="noConversion"/>
  </si>
  <si>
    <t>Alarm Log #3</t>
  </si>
  <si>
    <t>Alarm Log #4</t>
  </si>
  <si>
    <t>Alarm Log #5</t>
  </si>
  <si>
    <t>Alarm Log #6</t>
  </si>
  <si>
    <t>Alarm Log #7</t>
  </si>
  <si>
    <t>Alarm Log #8</t>
  </si>
  <si>
    <t>Alarm Log #9</t>
  </si>
  <si>
    <t>Alarm Log #10</t>
  </si>
  <si>
    <t>Alarm Log #11</t>
  </si>
  <si>
    <t>Alarm Log #12</t>
  </si>
  <si>
    <t>Alarm Log #13</t>
  </si>
  <si>
    <t>Alarm Log #14</t>
  </si>
  <si>
    <t>Alarm Log #15</t>
  </si>
  <si>
    <t>Alarm Log #16</t>
  </si>
  <si>
    <t>Alarm Log #17</t>
  </si>
  <si>
    <t>Alarm Log #18</t>
  </si>
  <si>
    <t>Alarm Log #19</t>
  </si>
  <si>
    <t>Alarm Log #20</t>
  </si>
  <si>
    <t>Alarm Log #21</t>
  </si>
  <si>
    <t>Alarm Log #22</t>
  </si>
  <si>
    <t>Alarm Log #23</t>
  </si>
  <si>
    <t>Alarm Log #24</t>
  </si>
  <si>
    <t>Alarm Log #25</t>
  </si>
  <si>
    <t>Alarm Log #26</t>
  </si>
  <si>
    <t>Alarm Log #27</t>
  </si>
  <si>
    <t>Alarm Log #28</t>
  </si>
  <si>
    <t>Alarm Log #29</t>
  </si>
  <si>
    <t>Alarm Log #30</t>
  </si>
  <si>
    <t>Alarm Log #31</t>
  </si>
  <si>
    <t>Alarm Log #32</t>
  </si>
  <si>
    <t>Update TimeStamp</t>
    <phoneticPr fontId="1" type="noConversion"/>
  </si>
  <si>
    <t>U THD1</t>
    <phoneticPr fontId="1" type="noConversion"/>
  </si>
  <si>
    <t>U THD2</t>
  </si>
  <si>
    <t>U THD3</t>
  </si>
  <si>
    <t>Upp THD1</t>
    <phoneticPr fontId="1" type="noConversion"/>
  </si>
  <si>
    <t>Upp THD2</t>
  </si>
  <si>
    <t>Upp THD3</t>
  </si>
  <si>
    <t>U Unbal Uu</t>
    <phoneticPr fontId="1" type="noConversion"/>
  </si>
  <si>
    <t>U Unbal Uo</t>
    <phoneticPr fontId="1" type="noConversion"/>
  </si>
  <si>
    <t>I THD1</t>
    <phoneticPr fontId="1" type="noConversion"/>
  </si>
  <si>
    <t>I THD2</t>
  </si>
  <si>
    <t>I THD3</t>
  </si>
  <si>
    <t>I TDD1</t>
    <phoneticPr fontId="1" type="noConversion"/>
  </si>
  <si>
    <t>I TDD2</t>
  </si>
  <si>
    <t>I TDD3</t>
  </si>
  <si>
    <t>K-factor 1</t>
    <phoneticPr fontId="1" type="noConversion"/>
  </si>
  <si>
    <t>K-factor 2</t>
  </si>
  <si>
    <t>K-factor 3</t>
  </si>
  <si>
    <t>I Unbal Iu</t>
    <phoneticPr fontId="1" type="noConversion"/>
  </si>
  <si>
    <t>I Unbal Io</t>
    <phoneticPr fontId="1" type="noConversion"/>
  </si>
  <si>
    <t>kw imp</t>
    <phoneticPr fontId="1" type="noConversion"/>
  </si>
  <si>
    <t>kw exp</t>
    <phoneticPr fontId="1" type="noConversion"/>
  </si>
  <si>
    <t>kvar lag</t>
    <phoneticPr fontId="1" type="noConversion"/>
  </si>
  <si>
    <t>kvar lead</t>
    <phoneticPr fontId="1" type="noConversion"/>
  </si>
  <si>
    <t>kVA</t>
    <phoneticPr fontId="1" type="noConversion"/>
  </si>
  <si>
    <t>temperature #1</t>
    <phoneticPr fontId="1" type="noConversion"/>
  </si>
  <si>
    <t>temperature #2</t>
  </si>
  <si>
    <t>temperature #3</t>
  </si>
  <si>
    <t>temperature #4</t>
  </si>
  <si>
    <t>temperature #5</t>
  </si>
  <si>
    <t>kwh import</t>
    <phoneticPr fontId="1" type="noConversion"/>
  </si>
  <si>
    <t>kvarh lag</t>
    <phoneticPr fontId="1" type="noConversion"/>
  </si>
  <si>
    <t>kvarh lead</t>
    <phoneticPr fontId="1" type="noConversion"/>
  </si>
  <si>
    <t xml:space="preserve">kVAh </t>
    <phoneticPr fontId="1" type="noConversion"/>
  </si>
  <si>
    <t>energy log last day 01h</t>
    <phoneticPr fontId="1" type="noConversion"/>
  </si>
  <si>
    <t>energy log last day 02h</t>
  </si>
  <si>
    <t>energy log last day 03h</t>
  </si>
  <si>
    <t>energy log last day 04h</t>
  </si>
  <si>
    <t>energy log last day 05h</t>
  </si>
  <si>
    <t>energy log last day 06h</t>
  </si>
  <si>
    <t>energy log last day 07h</t>
  </si>
  <si>
    <t>energy log last day 08h</t>
  </si>
  <si>
    <t>energy log last day 09h</t>
  </si>
  <si>
    <t>energy log last day 10h</t>
  </si>
  <si>
    <t>energy log last day 11h</t>
  </si>
  <si>
    <t>energy log last day 12h</t>
  </si>
  <si>
    <t>energy log last day 13h</t>
  </si>
  <si>
    <t>energy log last day 14h</t>
  </si>
  <si>
    <t>energy log last day 15h</t>
  </si>
  <si>
    <t>energy log last day 16h</t>
  </si>
  <si>
    <t>energy log last day 17h</t>
  </si>
  <si>
    <t>energy log last day 18h</t>
  </si>
  <si>
    <t>energy log last day 19h</t>
  </si>
  <si>
    <t>energy log last day 20h</t>
  </si>
  <si>
    <t>energy log last day 21h</t>
  </si>
  <si>
    <t>energy log last day 22h</t>
  </si>
  <si>
    <t>energy log last day 23h</t>
  </si>
  <si>
    <t>energy log this day 01h</t>
    <phoneticPr fontId="1" type="noConversion"/>
  </si>
  <si>
    <t>energy log this day 02h</t>
  </si>
  <si>
    <t>energy log this day 03h</t>
  </si>
  <si>
    <t>energy log this day 04h</t>
  </si>
  <si>
    <t>energy log this day 05h</t>
  </si>
  <si>
    <t>energy log this day 06h</t>
  </si>
  <si>
    <t>energy log this day 07h</t>
  </si>
  <si>
    <t>energy log this day 08h</t>
  </si>
  <si>
    <t>energy log this day 09h</t>
  </si>
  <si>
    <t>energy log this day 10h</t>
  </si>
  <si>
    <t>energy log this day 11h</t>
  </si>
  <si>
    <t>energy log this day 12h</t>
  </si>
  <si>
    <t>energy log this day 13h</t>
  </si>
  <si>
    <t>energy log this day 14h</t>
  </si>
  <si>
    <t>energy log this day 15h</t>
  </si>
  <si>
    <t>energy log this day 16h</t>
  </si>
  <si>
    <t>energy log this day 17h</t>
  </si>
  <si>
    <t>energy log this day 18h</t>
  </si>
  <si>
    <t>energy log this day 19h</t>
  </si>
  <si>
    <t>energy log this day 20h</t>
  </si>
  <si>
    <t>energy log this day 21h</t>
  </si>
  <si>
    <t>energy log this day 22h</t>
  </si>
  <si>
    <t>energy log this day 23h</t>
  </si>
  <si>
    <t>1 : E_SAG  
2 : E_SWELL
3 : E_sINTR
4 : E_lINTR
5 : E_OC
6 : E_RVC
7 : E_TrV
8 : E_TrC</t>
    <phoneticPr fontId="1" type="noConversion"/>
  </si>
  <si>
    <t>TEMP #0</t>
    <phoneticPr fontId="1" type="noConversion"/>
  </si>
  <si>
    <t>TEMP #1</t>
  </si>
  <si>
    <t>TEMP #2</t>
  </si>
  <si>
    <t>TEMP #3</t>
  </si>
  <si>
    <t>IOM SETTING</t>
    <phoneticPr fontId="1" type="noConversion"/>
  </si>
  <si>
    <t>0 : DI, 1 : PI</t>
    <phoneticPr fontId="1" type="noConversion"/>
  </si>
  <si>
    <t>DI TYPE #0~3</t>
    <phoneticPr fontId="1" type="noConversion"/>
  </si>
  <si>
    <t>DI  debounce  #0~3</t>
    <phoneticPr fontId="1" type="noConversion"/>
  </si>
  <si>
    <t>PI  Scale  #0~3</t>
    <phoneticPr fontId="1" type="noConversion"/>
  </si>
  <si>
    <t>STATUS</t>
    <phoneticPr fontId="1" type="noConversion"/>
  </si>
  <si>
    <t>1 : online, 0 : offline</t>
    <phoneticPr fontId="1" type="noConversion"/>
  </si>
  <si>
    <t>Voltage Under Deviation L1</t>
  </si>
  <si>
    <t>%</t>
  </si>
  <si>
    <t>Voltage Under Deviation L2</t>
  </si>
  <si>
    <t>Voltage Under Deviation L3</t>
  </si>
  <si>
    <t>Voltage Under Value L1</t>
  </si>
  <si>
    <t>rms</t>
  </si>
  <si>
    <t>Voltage Under Value L2</t>
  </si>
  <si>
    <t>Voltage Under Value L3</t>
  </si>
  <si>
    <t>Voltage Over Deviation L1</t>
  </si>
  <si>
    <t>Voltage Over Deviation L2</t>
  </si>
  <si>
    <t>Voltage Over Deviation L3</t>
  </si>
  <si>
    <t>Voltage Over Value L1</t>
  </si>
  <si>
    <t>Voltage Over Value L2</t>
  </si>
  <si>
    <t>Voltage Over Value L3</t>
  </si>
  <si>
    <t>Flickers Pi L1</t>
  </si>
  <si>
    <t>150/180 Cycles</t>
  </si>
  <si>
    <t>Flickers Pi L2</t>
  </si>
  <si>
    <t>Flickers Pi L3</t>
  </si>
  <si>
    <t>Flicker Pst L1</t>
  </si>
  <si>
    <t>10min</t>
  </si>
  <si>
    <t>Flicker Pst L2</t>
  </si>
  <si>
    <t>Flicker Pst L3</t>
  </si>
  <si>
    <t>Flicker Plt L1</t>
  </si>
  <si>
    <t>2hr</t>
  </si>
  <si>
    <t>Flicker Plt L2</t>
  </si>
  <si>
    <t>Flicker Plt L3</t>
  </si>
  <si>
    <t>Signaling Volt L1</t>
  </si>
  <si>
    <t>Magnitude of current 10/12 cycles
as a percentage of nominal voltage.</t>
  </si>
  <si>
    <t>Signaling Volt L2</t>
  </si>
  <si>
    <t>Signaling Volt L3</t>
  </si>
  <si>
    <t>Signaling Volt Max L1</t>
  </si>
  <si>
    <t>Maximum magnitude of MSV from recording started
as a percentage of nominal voltage</t>
  </si>
  <si>
    <t>Signaling Volt Max L2</t>
  </si>
  <si>
    <t>Signaling Volt Max L3</t>
  </si>
  <si>
    <t>SNTP Mode</t>
  </si>
  <si>
    <t>0 : not use, 1 : use</t>
  </si>
  <si>
    <t>SNTP Interval</t>
  </si>
  <si>
    <t>min</t>
  </si>
  <si>
    <t>DAQ format</t>
    <phoneticPr fontId="1" type="noConversion"/>
  </si>
  <si>
    <t>#1 wiring mode</t>
    <phoneticPr fontId="1" type="noConversion"/>
  </si>
  <si>
    <t>#1 V nominal</t>
    <phoneticPr fontId="1" type="noConversion"/>
  </si>
  <si>
    <t>#1 PT1</t>
    <phoneticPr fontId="1" type="noConversion"/>
  </si>
  <si>
    <t>#1 PT2</t>
    <phoneticPr fontId="1" type="noConversion"/>
  </si>
  <si>
    <t>#1 reserved</t>
    <phoneticPr fontId="1" type="noConversion"/>
  </si>
  <si>
    <t>#2 PT</t>
    <phoneticPr fontId="1" type="noConversion"/>
  </si>
  <si>
    <t>#3 PT</t>
  </si>
  <si>
    <t>#4 PT</t>
  </si>
  <si>
    <t>#5 PT</t>
  </si>
  <si>
    <t>#6 PT</t>
  </si>
  <si>
    <t>#1 I Nominal</t>
    <phoneticPr fontId="1" type="noConversion"/>
  </si>
  <si>
    <t>#1 CT1</t>
    <phoneticPr fontId="1" type="noConversion"/>
  </si>
  <si>
    <t>#1 CT2</t>
    <phoneticPr fontId="1" type="noConversion"/>
  </si>
  <si>
    <t>#1 turns</t>
    <phoneticPr fontId="1" type="noConversion"/>
  </si>
  <si>
    <t>#1 Starting Current</t>
    <phoneticPr fontId="1" type="noConversion"/>
  </si>
  <si>
    <t>#1 CT1 direction</t>
    <phoneticPr fontId="1" type="noConversion"/>
  </si>
  <si>
    <t>#1 CT2 direction</t>
    <phoneticPr fontId="1" type="noConversion"/>
  </si>
  <si>
    <t>#1 CT3 direction</t>
    <phoneticPr fontId="1" type="noConversion"/>
  </si>
  <si>
    <t>#1 Rogowski CT Model</t>
    <phoneticPr fontId="1" type="noConversion"/>
  </si>
  <si>
    <t>* phase resolution 
60Hz: 0.0211, 50Hz: 0.0176
* range: +63 ~ -383
 1.329 ~ -8.079
 1.107 ~ -6.732</t>
    <phoneticPr fontId="1" type="noConversion"/>
  </si>
  <si>
    <t xml:space="preserve">#1 phase offset 1
</t>
    <phoneticPr fontId="1" type="noConversion"/>
  </si>
  <si>
    <t>#1 phase offset 2</t>
    <phoneticPr fontId="1" type="noConversion"/>
  </si>
  <si>
    <t>#1 phase offset 3</t>
    <phoneticPr fontId="1" type="noConversion"/>
  </si>
  <si>
    <t>1: 200mV:100mV
2: 200mV:1.5mA
3: 200mV:0.1mA</t>
    <phoneticPr fontId="1" type="noConversion"/>
  </si>
  <si>
    <t>#1 ZCT Type</t>
    <phoneticPr fontId="1" type="noConversion"/>
  </si>
  <si>
    <t>#1 ZCT Scale</t>
    <phoneticPr fontId="1" type="noConversion"/>
  </si>
  <si>
    <t>#2 CT</t>
    <phoneticPr fontId="1" type="noConversion"/>
  </si>
  <si>
    <t>#3 CT</t>
  </si>
  <si>
    <t>#4 CT</t>
  </si>
  <si>
    <t>#5 CT</t>
  </si>
  <si>
    <t>#6 CT</t>
  </si>
  <si>
    <t>0: 5A, 1: 100mA/333mV, 2: Rogowski</t>
    <phoneticPr fontId="1" type="noConversion"/>
  </si>
  <si>
    <t>0: positive, 1: negative</t>
    <phoneticPr fontId="1" type="noConversion"/>
  </si>
  <si>
    <t>0: RMS(S=VA)
1: vector(S=sqrt(P*P+Q*Q)</t>
    <phoneticPr fontId="1" type="noConversion"/>
  </si>
  <si>
    <t>VA type</t>
    <phoneticPr fontId="1" type="noConversion"/>
  </si>
  <si>
    <t>PF sign</t>
    <phoneticPr fontId="1" type="noConversion"/>
  </si>
  <si>
    <t>0: IEC, 1: IEEE</t>
    <phoneticPr fontId="1" type="noConversion"/>
  </si>
  <si>
    <t>FC</t>
    <phoneticPr fontId="1" type="noConversion"/>
  </si>
  <si>
    <t>Global Alarm Status</t>
    <phoneticPr fontId="1" type="noConversion"/>
  </si>
  <si>
    <t>(alarm 하나라도 있으면 1, 아니면 0)</t>
    <phoneticPr fontId="1" type="noConversion"/>
  </si>
  <si>
    <t>3,16</t>
  </si>
  <si>
    <t>3,16</t>
    <phoneticPr fontId="1" type="noConversion"/>
  </si>
  <si>
    <t>ITIC</t>
    <phoneticPr fontId="1" type="noConversion"/>
  </si>
  <si>
    <t>count</t>
  </si>
  <si>
    <t>Log #1</t>
    <phoneticPr fontId="1" type="noConversion"/>
  </si>
  <si>
    <t>start ts</t>
  </si>
  <si>
    <t>type</t>
  </si>
  <si>
    <r>
      <t xml:space="preserve">#define E_SAG 1  
#define E_SWELL 2
#define E_sINTR 3
#define E_lINTR 4
#define E_OC 5
#define E_RVC 6
#define E_TrV 7
#define E_TrC 8
</t>
    </r>
    <r>
      <rPr>
        <sz val="10"/>
        <color rgb="FFFF0000"/>
        <rFont val="맑은 고딕"/>
        <family val="3"/>
        <charset val="129"/>
        <scheme val="minor"/>
      </rPr>
      <t>bit15: 1 -&gt; Event Only</t>
    </r>
    <phoneticPr fontId="1" type="noConversion"/>
  </si>
  <si>
    <t>Normal</t>
  </si>
  <si>
    <t>Log #2</t>
    <phoneticPr fontId="1" type="noConversion"/>
  </si>
  <si>
    <t>Log #3</t>
  </si>
  <si>
    <t>Log #4</t>
  </si>
  <si>
    <t>Log #5</t>
  </si>
  <si>
    <t>Log #6</t>
  </si>
  <si>
    <t>Log #7</t>
  </si>
  <si>
    <t>Log #8</t>
  </si>
  <si>
    <t>Log #9</t>
  </si>
  <si>
    <t>Log #10</t>
  </si>
  <si>
    <t>Log #11</t>
  </si>
  <si>
    <t>Log #12</t>
  </si>
  <si>
    <t>Log #13</t>
  </si>
  <si>
    <t>Log #14</t>
  </si>
  <si>
    <t>Log #15</t>
  </si>
  <si>
    <t>Log #16</t>
  </si>
  <si>
    <t>Log #17</t>
  </si>
  <si>
    <t>Log #18</t>
  </si>
  <si>
    <t>Log #19</t>
  </si>
  <si>
    <t>Log #20</t>
  </si>
  <si>
    <t>Log #21</t>
  </si>
  <si>
    <t>Log #22</t>
  </si>
  <si>
    <t>Log #23</t>
  </si>
  <si>
    <t>Log #24</t>
  </si>
  <si>
    <t>Log #25</t>
  </si>
  <si>
    <t>Log #26</t>
  </si>
  <si>
    <t>Log #27</t>
  </si>
  <si>
    <t>Log #28</t>
  </si>
  <si>
    <t>Log #29</t>
  </si>
  <si>
    <t>Log #30</t>
  </si>
  <si>
    <t>Log #31</t>
  </si>
  <si>
    <t>Log #32</t>
  </si>
  <si>
    <t>ITIC(Configurator)</t>
    <phoneticPr fontId="1" type="noConversion"/>
  </si>
  <si>
    <t>4~255ms</t>
    <phoneticPr fontId="1" type="noConversion"/>
  </si>
  <si>
    <t>clear PI</t>
    <phoneticPr fontId="1" type="noConversion"/>
  </si>
  <si>
    <t>not used</t>
    <phoneticPr fontId="1" type="noConversion"/>
  </si>
  <si>
    <t>3ch redefine</t>
    <phoneticPr fontId="1" type="noConversion"/>
  </si>
  <si>
    <t xml:space="preserve">bit 0: Freq Var1
bit 1: Freq Var2
bit 2: Volt Var1 L1
bit 3: Volt Var1 L2
bit 4: Volt Var1 L3
bit 5: Volt Var2 L1
bit 6: Volt Var2 L2
bit 7: Volt Var2 L3
bit 8: Unbalance
bit 9:  Volt THD L1
bit 10: Volt THD L2
bit 11: Volt THD L3
bit 12: Volt HD L1
bit 13: Volt HD L2
bit 14: Volt HD L3
bit 15: Pst L1
bit 16: Pst L2
bit 17: Pst L3
bit 18: Plt L1
bit 19: Plt L2
bit 20: Plt L3
bit 21: SigVolt L1
bit 22: SigVolt L2
bit 23: SigVolt L3
bit 31: Complete
[status]
0: OK
1: failed
</t>
    <phoneticPr fontId="1" type="noConversion"/>
  </si>
  <si>
    <t>SEQ</t>
    <phoneticPr fontId="1" type="noConversion"/>
  </si>
  <si>
    <t>PT #1~9</t>
    <phoneticPr fontId="1" type="noConversion"/>
  </si>
  <si>
    <t>#7 PT</t>
  </si>
  <si>
    <t>#8 PT</t>
  </si>
  <si>
    <t>#9 PT</t>
  </si>
  <si>
    <t>CT #1~9</t>
    <phoneticPr fontId="1" type="noConversion"/>
  </si>
  <si>
    <t>#7 CT</t>
  </si>
  <si>
    <t>#8 CT</t>
  </si>
  <si>
    <t>#9 CT</t>
  </si>
  <si>
    <t>seq</t>
    <phoneticPr fontId="1" type="noConversion"/>
  </si>
  <si>
    <t>feeder count</t>
    <phoneticPr fontId="1" type="noConversion"/>
  </si>
  <si>
    <t>TEST MODE</t>
    <phoneticPr fontId="1" type="noConversion"/>
  </si>
  <si>
    <t>TEST MODE INTERVAL</t>
    <phoneticPr fontId="1" type="noConversion"/>
  </si>
  <si>
    <t>0 : not use, 1 : use</t>
    <phoneticPr fontId="1" type="noConversion"/>
  </si>
  <si>
    <t>MODBUS RX COUNT</t>
    <phoneticPr fontId="1" type="noConversion"/>
  </si>
  <si>
    <t>ALARM STS</t>
    <phoneticPr fontId="1" type="noConversion"/>
  </si>
  <si>
    <t>EVENT STS</t>
    <phoneticPr fontId="1" type="noConversion"/>
  </si>
  <si>
    <t>RSTP STS[0~1]</t>
    <phoneticPr fontId="1" type="noConversion"/>
  </si>
  <si>
    <t>MAC MSB</t>
    <phoneticPr fontId="1" type="noConversion"/>
  </si>
  <si>
    <t>IP ADDR</t>
    <phoneticPr fontId="1" type="noConversion"/>
  </si>
  <si>
    <t>SNTP STS</t>
    <phoneticPr fontId="1" type="noConversion"/>
  </si>
  <si>
    <t>DEV STS</t>
    <phoneticPr fontId="1" type="noConversion"/>
  </si>
  <si>
    <t>HEART BIT</t>
    <phoneticPr fontId="1" type="noConversion"/>
  </si>
  <si>
    <t>NET STS</t>
    <phoneticPr fontId="1" type="noConversion"/>
  </si>
  <si>
    <t>TOT STS</t>
    <phoneticPr fontId="1" type="noConversion"/>
  </si>
  <si>
    <t>Calibration command all, #1~9</t>
    <phoneticPr fontId="1" type="noConversion"/>
  </si>
  <si>
    <t>Max Timestamp</t>
  </si>
  <si>
    <t>Max</t>
  </si>
  <si>
    <t>Min</t>
  </si>
  <si>
    <t>Min Timestamp</t>
  </si>
  <si>
    <t>import kwh(0 ~ 999,999,999.9 kw) TOTAL</t>
    <phoneticPr fontId="1" type="noConversion"/>
  </si>
  <si>
    <t>export kwh TOTAL</t>
    <phoneticPr fontId="1" type="noConversion"/>
  </si>
  <si>
    <t>import kvarh TOTAL</t>
    <phoneticPr fontId="1" type="noConversion"/>
  </si>
  <si>
    <t>export kvarh TOTAL</t>
    <phoneticPr fontId="1" type="noConversion"/>
  </si>
  <si>
    <t>kvah TOTAL</t>
    <phoneticPr fontId="1" type="noConversion"/>
  </si>
  <si>
    <t>import kwh(0 ~ 999,999,999.9 kw) L1</t>
    <phoneticPr fontId="1" type="noConversion"/>
  </si>
  <si>
    <t>export kwh L1</t>
    <phoneticPr fontId="1" type="noConversion"/>
  </si>
  <si>
    <t>import kvarh L1</t>
    <phoneticPr fontId="1" type="noConversion"/>
  </si>
  <si>
    <t>export kvarh L1</t>
    <phoneticPr fontId="1" type="noConversion"/>
  </si>
  <si>
    <t>kvah L1</t>
    <phoneticPr fontId="1" type="noConversion"/>
  </si>
  <si>
    <t>import kwh this month TOTAL</t>
    <phoneticPr fontId="1" type="noConversion"/>
  </si>
  <si>
    <t>export kwh this month TOTAL</t>
    <phoneticPr fontId="1" type="noConversion"/>
  </si>
  <si>
    <t>import kvarh this month TOTAL</t>
    <phoneticPr fontId="1" type="noConversion"/>
  </si>
  <si>
    <t>export kvarh this month TOTAL</t>
    <phoneticPr fontId="1" type="noConversion"/>
  </si>
  <si>
    <t>kvah this month TOTAL</t>
    <phoneticPr fontId="1" type="noConversion"/>
  </si>
  <si>
    <t>누적 L1 유효전력량</t>
    <phoneticPr fontId="1" type="noConversion"/>
  </si>
  <si>
    <t>누적 L2 유효전력량</t>
    <phoneticPr fontId="1" type="noConversion"/>
  </si>
  <si>
    <t>누적 L3 유효전력량</t>
    <phoneticPr fontId="1" type="noConversion"/>
  </si>
  <si>
    <t>누적 TOTAL 유효전력량</t>
    <phoneticPr fontId="1" type="noConversion"/>
  </si>
  <si>
    <t>import kwh(0 ~ 999,999,999.9 kw) L2</t>
    <phoneticPr fontId="1" type="noConversion"/>
  </si>
  <si>
    <t>export kwh L2</t>
    <phoneticPr fontId="1" type="noConversion"/>
  </si>
  <si>
    <t>import kvarh L2</t>
    <phoneticPr fontId="1" type="noConversion"/>
  </si>
  <si>
    <t>export kvarh L2</t>
    <phoneticPr fontId="1" type="noConversion"/>
  </si>
  <si>
    <t>kvah L2</t>
    <phoneticPr fontId="1" type="noConversion"/>
  </si>
  <si>
    <t>import kwh(0 ~ 999,999,999.9 kw) L3</t>
    <phoneticPr fontId="1" type="noConversion"/>
  </si>
  <si>
    <t>export kwh L3</t>
    <phoneticPr fontId="1" type="noConversion"/>
  </si>
  <si>
    <t>import kvarh L3</t>
    <phoneticPr fontId="1" type="noConversion"/>
  </si>
  <si>
    <t>export kvarh L3</t>
    <phoneticPr fontId="1" type="noConversion"/>
  </si>
  <si>
    <t>kvah L3</t>
    <phoneticPr fontId="1" type="noConversion"/>
  </si>
  <si>
    <t>import kwh this month L1</t>
    <phoneticPr fontId="1" type="noConversion"/>
  </si>
  <si>
    <t>export kwh this month L1</t>
    <phoneticPr fontId="1" type="noConversion"/>
  </si>
  <si>
    <t>import kvarh this month L1</t>
    <phoneticPr fontId="1" type="noConversion"/>
  </si>
  <si>
    <t>export kvarh this month L1</t>
    <phoneticPr fontId="1" type="noConversion"/>
  </si>
  <si>
    <t>kvah this month L1</t>
    <phoneticPr fontId="1" type="noConversion"/>
  </si>
  <si>
    <t>import kwh this month L2</t>
    <phoneticPr fontId="1" type="noConversion"/>
  </si>
  <si>
    <t>export kwh this month L2</t>
    <phoneticPr fontId="1" type="noConversion"/>
  </si>
  <si>
    <t>import kvarh this month L2</t>
    <phoneticPr fontId="1" type="noConversion"/>
  </si>
  <si>
    <t>export kvarh this month L2</t>
    <phoneticPr fontId="1" type="noConversion"/>
  </si>
  <si>
    <t>kvah this month L2</t>
    <phoneticPr fontId="1" type="noConversion"/>
  </si>
  <si>
    <t>import kwh this month L3</t>
    <phoneticPr fontId="1" type="noConversion"/>
  </si>
  <si>
    <t>export kwh this month L3</t>
    <phoneticPr fontId="1" type="noConversion"/>
  </si>
  <si>
    <t>import kvarh this month L3</t>
    <phoneticPr fontId="1" type="noConversion"/>
  </si>
  <si>
    <t>export kvarh this month L3</t>
    <phoneticPr fontId="1" type="noConversion"/>
  </si>
  <si>
    <t>kvah this month L3</t>
    <phoneticPr fontId="1" type="noConversion"/>
  </si>
  <si>
    <t>TOTAL THIS MONTH</t>
    <phoneticPr fontId="1" type="noConversion"/>
  </si>
  <si>
    <t>L1 THIS MONTH</t>
    <phoneticPr fontId="1" type="noConversion"/>
  </si>
  <si>
    <t>L2 THIS MONTH</t>
    <phoneticPr fontId="1" type="noConversion"/>
  </si>
  <si>
    <t>L3 THIS MONTH</t>
    <phoneticPr fontId="1" type="noConversion"/>
  </si>
  <si>
    <t>import kwh last month TOTAL</t>
    <phoneticPr fontId="1" type="noConversion"/>
  </si>
  <si>
    <t>TOTAL LAST MONTH</t>
    <phoneticPr fontId="1" type="noConversion"/>
  </si>
  <si>
    <t>L1 LAST MONTH</t>
    <phoneticPr fontId="1" type="noConversion"/>
  </si>
  <si>
    <t>L2 LAST MONTH</t>
    <phoneticPr fontId="1" type="noConversion"/>
  </si>
  <si>
    <t>L3 LAST MONTH</t>
    <phoneticPr fontId="1" type="noConversion"/>
  </si>
  <si>
    <t>import kwh last month L1</t>
    <phoneticPr fontId="1" type="noConversion"/>
  </si>
  <si>
    <t>import kwh last month L2</t>
    <phoneticPr fontId="1" type="noConversion"/>
  </si>
  <si>
    <t>import kwh last month L3</t>
    <phoneticPr fontId="1" type="noConversion"/>
  </si>
  <si>
    <t>TOTAL,L1,L2,L3</t>
    <phoneticPr fontId="1" type="noConversion"/>
  </si>
  <si>
    <t>ENERGY PHASE L1,2,3 ADD</t>
    <phoneticPr fontId="1" type="noConversion"/>
  </si>
  <si>
    <t>0: not used
1 : 3p4w
2 : 3p3w(2CT), 3 : 3p3w(3CT)
4: 1p2w(L1), 5 : 1p2w(L2), 6 : 1p2w(L3)
7: 1p3w
8 : SIMULATION</t>
    <phoneticPr fontId="1" type="noConversion"/>
  </si>
  <si>
    <t>addr</t>
    <phoneticPr fontId="1" type="noConversion"/>
  </si>
  <si>
    <t>240~479</t>
    <phoneticPr fontId="1" type="noConversion"/>
  </si>
  <si>
    <t>date</t>
    <phoneticPr fontId="1" type="noConversion"/>
  </si>
  <si>
    <t>description</t>
    <phoneticPr fontId="1" type="noConversion"/>
  </si>
  <si>
    <t>0x1234</t>
  </si>
  <si>
    <t>0x1234</t>
    <phoneticPr fontId="1" type="noConversion"/>
  </si>
  <si>
    <t>CLASS A 필수항목</t>
    <phoneticPr fontId="1" type="noConversion"/>
  </si>
  <si>
    <t>VOLTAGE ZERO CROSSING CHECK</t>
    <phoneticPr fontId="1" type="noConversion"/>
  </si>
  <si>
    <t>시동전류 검출</t>
    <phoneticPr fontId="1" type="noConversion"/>
  </si>
  <si>
    <t>U~</t>
  </si>
  <si>
    <t>상전압 평균</t>
  </si>
  <si>
    <t>Upp~</t>
  </si>
  <si>
    <t>선간 전압 평균</t>
  </si>
  <si>
    <t>상전류 평균</t>
    <phoneticPr fontId="1" type="noConversion"/>
  </si>
  <si>
    <t>SHEET</t>
    <phoneticPr fontId="1" type="noConversion"/>
  </si>
  <si>
    <t>#1,2,3 Simple</t>
  </si>
  <si>
    <t>U~, UPP~, I~, RESERVED ADD</t>
    <phoneticPr fontId="1" type="noConversion"/>
  </si>
  <si>
    <t>50032, 50040, 50050, 50098</t>
    <phoneticPr fontId="1" type="noConversion"/>
  </si>
  <si>
    <t>load event ALL,#1~3</t>
    <phoneticPr fontId="1" type="noConversion"/>
  </si>
  <si>
    <t>load alarm ALL,#1~3</t>
    <phoneticPr fontId="1" type="noConversion"/>
  </si>
  <si>
    <t>Alarm Ack ALL,#1~3</t>
    <phoneticPr fontId="1" type="noConversion"/>
  </si>
  <si>
    <t>Event Ack ALL,#1~3</t>
    <phoneticPr fontId="1" type="noConversion"/>
  </si>
  <si>
    <t>clear alarm ALL,#1~3</t>
    <phoneticPr fontId="1" type="noConversion"/>
  </si>
  <si>
    <t>clear event ALL,#1~3</t>
    <phoneticPr fontId="1" type="noConversion"/>
  </si>
  <si>
    <t>1: down, 2:up, 3:top, 4 : bottom</t>
    <phoneticPr fontId="1" type="noConversion"/>
  </si>
  <si>
    <t>clear demand ALL,#1~3</t>
    <phoneticPr fontId="1" type="noConversion"/>
  </si>
  <si>
    <t>clear minmax ALL,#1~3</t>
    <phoneticPr fontId="1" type="noConversion"/>
  </si>
  <si>
    <t>clear energy ALL,#1~3</t>
    <phoneticPr fontId="1" type="noConversion"/>
  </si>
  <si>
    <t>240~479</t>
    <phoneticPr fontId="1" type="noConversion"/>
  </si>
  <si>
    <t>energy R/W</t>
    <phoneticPr fontId="1" type="noConversion"/>
  </si>
  <si>
    <t>#1~3ch modbus</t>
    <phoneticPr fontId="1" type="noConversion"/>
  </si>
  <si>
    <t>"</t>
    <phoneticPr fontId="1" type="noConversion"/>
  </si>
  <si>
    <t>common</t>
    <phoneticPr fontId="1" type="noConversion"/>
  </si>
  <si>
    <t>load ITIC</t>
    <phoneticPr fontId="1" type="noConversion"/>
  </si>
  <si>
    <t>load ITIC2</t>
    <phoneticPr fontId="1" type="noConversion"/>
  </si>
  <si>
    <t>load/clear ch수 조정(9-&gt;3)</t>
    <phoneticPr fontId="1" type="noConversion"/>
  </si>
  <si>
    <t>7473~7511</t>
    <phoneticPr fontId="1" type="noConversion"/>
  </si>
  <si>
    <t>clear ITIC,ITIC2</t>
    <phoneticPr fontId="1" type="noConversion"/>
  </si>
  <si>
    <t>0~1 : 1</t>
    <phoneticPr fontId="1" type="noConversion"/>
  </si>
  <si>
    <t>Target Demand (W) #1~3</t>
    <phoneticPr fontId="1" type="noConversion"/>
  </si>
  <si>
    <t>Target Demand (W) #1~3</t>
    <phoneticPr fontId="1" type="noConversion"/>
  </si>
  <si>
    <t>7392, 7405, 7410</t>
    <phoneticPr fontId="1" type="noConversion"/>
  </si>
  <si>
    <t>HWMODEL 삭제</t>
    <phoneticPr fontId="1" type="noConversion"/>
  </si>
  <si>
    <t>ALARM+EVENT+NET+SNTP+DEV</t>
    <phoneticPr fontId="1" type="noConversion"/>
  </si>
  <si>
    <t>1 : DEVICE ERROR 0 : DEVICE OK</t>
    <phoneticPr fontId="1" type="noConversion"/>
  </si>
  <si>
    <t>V-ref, 1=1V</t>
    <phoneticPr fontId="1" type="noConversion"/>
  </si>
  <si>
    <t>I-ref,  1=0.1A</t>
    <phoneticPr fontId="1" type="noConversion"/>
  </si>
  <si>
    <t>In-ref, 1=0.1</t>
    <phoneticPr fontId="1" type="noConversion"/>
  </si>
  <si>
    <t>0: Enable Calibration
1: U gain
2: I gain
3: W gain
4: Ph gain
5: clear V
6: clear I
7: clear W
8: clear phase
9: IN gain
10: clear IN
11: Disable Calibration
12: save Calibration
13: Upp gain
14: clear Upp gain
15: set dcos
16: clear DcOffset
17: TEMP gain
18: clear TEMP</t>
    <phoneticPr fontId="1" type="noConversion"/>
  </si>
  <si>
    <t>U, I ANGLE 추가</t>
    <phoneticPr fontId="1" type="noConversion"/>
  </si>
  <si>
    <t>SIMPLE</t>
    <phoneticPr fontId="1" type="noConversion"/>
  </si>
  <si>
    <t>HW MODEL</t>
    <phoneticPr fontId="1" type="noConversion"/>
  </si>
  <si>
    <t xml:space="preserve">BIT 0 - 1 : CH2, 0 : CH3   </t>
    <phoneticPr fontId="1" type="noConversion"/>
  </si>
  <si>
    <t>Temp-ref, 1=1 Celsius</t>
    <phoneticPr fontId="1" type="noConversion"/>
  </si>
  <si>
    <t>PT/WIRING MODE COUNT</t>
    <phoneticPr fontId="1" type="noConversion"/>
  </si>
  <si>
    <t>0 : 60Hz, 1 : 50Hz</t>
    <phoneticPr fontId="1" type="noConversion"/>
  </si>
  <si>
    <t>1 : 0.001In</t>
    <phoneticPr fontId="1" type="noConversion"/>
  </si>
  <si>
    <t>CT1의 % ,DEFAULT 50</t>
    <phoneticPr fontId="1" type="noConversion"/>
  </si>
  <si>
    <t>생산시 설정</t>
    <phoneticPr fontId="1" type="noConversion"/>
  </si>
  <si>
    <t>0:1,1:5,2:15,3:30,4:60</t>
    <phoneticPr fontId="1" type="noConversion"/>
  </si>
  <si>
    <t>0 : DISABLE, 1 : ENABLE</t>
    <phoneticPr fontId="1" type="noConversion"/>
  </si>
  <si>
    <t>0 : 1MIN
1 : 2MIN
2 : 3MIN
3 : 5MIN
4 : 10MIN
5 : 15MIN
6 : 20MIN
7 : 30MIN
8 : 60MIN</t>
    <phoneticPr fontId="1" type="noConversion"/>
  </si>
  <si>
    <t>Trend Group #1 Active</t>
    <phoneticPr fontId="1" type="noConversion"/>
  </si>
  <si>
    <t>0 : Sunday, 1 : monday ~</t>
    <phoneticPr fontId="1" type="noConversion"/>
  </si>
  <si>
    <t>0~F</t>
    <phoneticPr fontId="1" type="noConversion"/>
  </si>
  <si>
    <t>alarm channel sheet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</si>
</sst>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\-000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b/>
      <i/>
      <sz val="9"/>
      <color theme="1"/>
      <name val="맑은 고딕"/>
      <family val="3"/>
      <charset val="129"/>
      <scheme val="minor"/>
    </font>
    <font>
      <sz val="10"/>
      <color theme="1"/>
      <name val="바탕"/>
      <family val="1"/>
      <charset val="129"/>
    </font>
    <font>
      <sz val="9"/>
      <color theme="1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34998626667073579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9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76" fontId="3" fillId="0" borderId="1" xfId="0" applyNumberFormat="1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176" fontId="3" fillId="3" borderId="1" xfId="0" applyNumberFormat="1" applyFont="1" applyFill="1" applyBorder="1" applyAlignment="1">
      <alignment horizontal="left" vertical="center" wrapText="1"/>
    </xf>
    <xf numFmtId="0" fontId="3" fillId="3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3" borderId="1" xfId="0" applyFont="1" applyFill="1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0" borderId="1" xfId="0" applyFont="1" applyBorder="1" applyAlignment="1" applyProtection="1">
      <alignment horizontal="center" vertical="center" wrapText="1"/>
      <protection locked="0"/>
    </xf>
    <xf numFmtId="176" fontId="3" fillId="3" borderId="1" xfId="0" applyNumberFormat="1" applyFont="1" applyFill="1" applyBorder="1" applyAlignment="1" applyProtection="1">
      <alignment horizontal="left" vertical="center" wrapText="1"/>
      <protection locked="0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center" vertical="center" wrapText="1"/>
    </xf>
    <xf numFmtId="176" fontId="3" fillId="0" borderId="9" xfId="0" applyNumberFormat="1" applyFont="1" applyBorder="1" applyAlignment="1">
      <alignment horizontal="left" vertical="center" wrapText="1"/>
    </xf>
    <xf numFmtId="0" fontId="3" fillId="0" borderId="9" xfId="0" applyFont="1" applyBorder="1" applyAlignment="1">
      <alignment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176" fontId="3" fillId="0" borderId="14" xfId="0" applyNumberFormat="1" applyFont="1" applyBorder="1" applyAlignment="1">
      <alignment horizontal="left" vertical="center" wrapText="1"/>
    </xf>
    <xf numFmtId="0" fontId="3" fillId="0" borderId="14" xfId="0" applyFont="1" applyBorder="1" applyAlignment="1">
      <alignment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8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3" fillId="7" borderId="0" xfId="0" applyFont="1" applyFill="1" applyBorder="1" applyAlignment="1">
      <alignment horizontal="center" vertical="center" wrapText="1"/>
    </xf>
    <xf numFmtId="0" fontId="3" fillId="6" borderId="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Fill="1" applyBorder="1">
      <alignment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5" borderId="9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4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5" borderId="9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4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left" vertical="center"/>
    </xf>
    <xf numFmtId="0" fontId="2" fillId="0" borderId="1" xfId="0" applyFont="1" applyFill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3" fillId="9" borderId="1" xfId="0" applyFont="1" applyFill="1" applyBorder="1">
      <alignment vertical="center"/>
    </xf>
    <xf numFmtId="0" fontId="3" fillId="0" borderId="9" xfId="0" applyFont="1" applyBorder="1" applyAlignment="1">
      <alignment horizontal="left" vertical="center" wrapText="1" indent="5"/>
    </xf>
    <xf numFmtId="0" fontId="3" fillId="9" borderId="5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4" xfId="0" applyFont="1" applyBorder="1" applyAlignment="1">
      <alignment horizontal="left" vertical="top" wrapText="1"/>
    </xf>
    <xf numFmtId="0" fontId="3" fillId="11" borderId="1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left" vertical="center" wrapText="1"/>
    </xf>
    <xf numFmtId="0" fontId="3" fillId="5" borderId="9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4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6" fontId="3" fillId="12" borderId="1" xfId="0" applyNumberFormat="1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gif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gif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gif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85</xdr:row>
      <xdr:rowOff>104775</xdr:rowOff>
    </xdr:from>
    <xdr:to>
      <xdr:col>10</xdr:col>
      <xdr:colOff>304800</xdr:colOff>
      <xdr:row>87</xdr:row>
      <xdr:rowOff>9525</xdr:rowOff>
    </xdr:to>
    <xdr:sp macro="" textlink="">
      <xdr:nvSpPr>
        <xdr:cNvPr id="1025" name="AutoShape 1" descr="{\displaystyle S={\sqrt {P^{2}+Q^{2}+D^{2}}}}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10982325" y="1382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9525</xdr:colOff>
      <xdr:row>75</xdr:row>
      <xdr:rowOff>161925</xdr:rowOff>
    </xdr:from>
    <xdr:to>
      <xdr:col>9</xdr:col>
      <xdr:colOff>4876800</xdr:colOff>
      <xdr:row>82</xdr:row>
      <xdr:rowOff>147638</xdr:rowOff>
    </xdr:to>
    <xdr:pic>
      <xdr:nvPicPr>
        <xdr:cNvPr id="6" name="그림 5" descr="http://lh6.ggpht.com/_X6JnoL0U4BY/S1f2WqMkAEI/AAAAAAAAHXo/xFhHaHQ9Pv8/tmpFE22_thumb1_thumb.jpg?imgmax=800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5300" y="15163800"/>
          <a:ext cx="4848225" cy="1385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</xdr:colOff>
      <xdr:row>347</xdr:row>
      <xdr:rowOff>85726</xdr:rowOff>
    </xdr:from>
    <xdr:to>
      <xdr:col>9</xdr:col>
      <xdr:colOff>4876800</xdr:colOff>
      <xdr:row>361</xdr:row>
      <xdr:rowOff>191698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10325" y="43462576"/>
          <a:ext cx="4295775" cy="2906322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330</xdr:row>
      <xdr:rowOff>91767</xdr:rowOff>
    </xdr:from>
    <xdr:to>
      <xdr:col>9</xdr:col>
      <xdr:colOff>5037608</xdr:colOff>
      <xdr:row>344</xdr:row>
      <xdr:rowOff>47009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10325" y="40553967"/>
          <a:ext cx="4999508" cy="2755592"/>
        </a:xfrm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302</xdr:row>
      <xdr:rowOff>185378</xdr:rowOff>
    </xdr:from>
    <xdr:to>
      <xdr:col>9</xdr:col>
      <xdr:colOff>5284225</xdr:colOff>
      <xdr:row>305</xdr:row>
      <xdr:rowOff>200024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848850" y="56125703"/>
          <a:ext cx="5274700" cy="614721"/>
        </a:xfrm>
        <a:prstGeom prst="rect">
          <a:avLst/>
        </a:prstGeom>
      </xdr:spPr>
    </xdr:pic>
    <xdr:clientData/>
  </xdr:twoCellAnchor>
  <xdr:twoCellAnchor editAs="oneCell">
    <xdr:from>
      <xdr:col>9</xdr:col>
      <xdr:colOff>723901</xdr:colOff>
      <xdr:row>274</xdr:row>
      <xdr:rowOff>104776</xdr:rowOff>
    </xdr:from>
    <xdr:to>
      <xdr:col>10</xdr:col>
      <xdr:colOff>676276</xdr:colOff>
      <xdr:row>292</xdr:row>
      <xdr:rowOff>53642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829676" y="42710101"/>
          <a:ext cx="5686425" cy="354931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233</xdr:row>
      <xdr:rowOff>66675</xdr:rowOff>
    </xdr:from>
    <xdr:to>
      <xdr:col>11</xdr:col>
      <xdr:colOff>422664</xdr:colOff>
      <xdr:row>252</xdr:row>
      <xdr:rowOff>43208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43625" y="27327225"/>
          <a:ext cx="7196620" cy="37770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52</xdr:row>
      <xdr:rowOff>190500</xdr:rowOff>
    </xdr:from>
    <xdr:to>
      <xdr:col>13</xdr:col>
      <xdr:colOff>329453</xdr:colOff>
      <xdr:row>75</xdr:row>
      <xdr:rowOff>152400</xdr:rowOff>
    </xdr:to>
    <xdr:pic>
      <xdr:nvPicPr>
        <xdr:cNvPr id="9" name="그림 8" descr="https://www.se.com/se/library/SCHNEIDER_ELECTRIC/SE_LOCAL/APS/204386_085E/0.2C2.gif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7200" y="10591800"/>
          <a:ext cx="8115300" cy="456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8</xdr:col>
      <xdr:colOff>304800</xdr:colOff>
      <xdr:row>2</xdr:row>
      <xdr:rowOff>142875</xdr:rowOff>
    </xdr:to>
    <xdr:sp macro="" textlink="">
      <xdr:nvSpPr>
        <xdr:cNvPr id="2" name="AutoShape 1" descr="{\displaystyle S={\sqrt {P^{2}+Q^{2}+D^{2}}}}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15573375" y="1745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304800</xdr:colOff>
      <xdr:row>2</xdr:row>
      <xdr:rowOff>19050</xdr:rowOff>
    </xdr:to>
    <xdr:sp macro="" textlink="">
      <xdr:nvSpPr>
        <xdr:cNvPr id="10" name="AutoShape 1" descr="{\displaystyle S={\sqrt {P^{2}+Q^{2}+D^{2}}}}">
          <a:extLst>
            <a:ext uri="{FF2B5EF4-FFF2-40B4-BE49-F238E27FC236}">
              <a16:creationId xmlns:a16="http://schemas.microsoft.com/office/drawing/2014/main" id="{EA8A46EE-4EC1-4C96-994E-1B772A334286}"/>
            </a:ext>
          </a:extLst>
        </xdr:cNvPr>
        <xdr:cNvSpPr>
          <a:spLocks noChangeAspect="1" noChangeArrowheads="1"/>
        </xdr:cNvSpPr>
      </xdr:nvSpPr>
      <xdr:spPr bwMode="auto">
        <a:xfrm>
          <a:off x="15011400" y="1725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9</xdr:col>
      <xdr:colOff>4410075</xdr:colOff>
      <xdr:row>9</xdr:row>
      <xdr:rowOff>100013</xdr:rowOff>
    </xdr:to>
    <xdr:pic>
      <xdr:nvPicPr>
        <xdr:cNvPr id="11" name="그림 10" descr="http://lh6.ggpht.com/_X6JnoL0U4BY/S1f2WqMkAEI/AAAAAAAAHXo/xFhHaHQ9Pv8/tmpFE22_thumb1_thumb.jpg?imgmax=800">
          <a:extLst>
            <a:ext uri="{FF2B5EF4-FFF2-40B4-BE49-F238E27FC236}">
              <a16:creationId xmlns:a16="http://schemas.microsoft.com/office/drawing/2014/main" id="{BF8FC0F7-B99F-4060-B83C-76E7175DE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6875" y="15316200"/>
          <a:ext cx="4867275" cy="1385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9</xdr:col>
      <xdr:colOff>4381500</xdr:colOff>
      <xdr:row>19</xdr:row>
      <xdr:rowOff>134547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14FDE3E3-F362-475B-8D1A-14BD5167B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15450" y="64246126"/>
          <a:ext cx="4838700" cy="2906322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9</xdr:col>
      <xdr:colOff>4542308</xdr:colOff>
      <xdr:row>18</xdr:row>
      <xdr:rowOff>126692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CF8D761C-A0FF-4744-97FB-6218B5CC7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15450" y="60851742"/>
          <a:ext cx="4999508" cy="2755592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9</xdr:col>
      <xdr:colOff>4817500</xdr:colOff>
      <xdr:row>4</xdr:row>
      <xdr:rowOff>33696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42D02075-BA34-4131-8F0D-F954553C7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86875" y="55344653"/>
          <a:ext cx="5274700" cy="614721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9</xdr:col>
      <xdr:colOff>5229225</xdr:colOff>
      <xdr:row>24</xdr:row>
      <xdr:rowOff>34591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0F9E1B0-AC4D-4767-B1C9-0F6E6B5AB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001251" y="49663351"/>
          <a:ext cx="5686425" cy="3549316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10</xdr:col>
      <xdr:colOff>651264</xdr:colOff>
      <xdr:row>25</xdr:row>
      <xdr:rowOff>119408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E3B591DB-BA6B-4F5B-9332-73F07A8B4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277350" y="36023550"/>
          <a:ext cx="6842514" cy="3777008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12</xdr:col>
      <xdr:colOff>558053</xdr:colOff>
      <xdr:row>31</xdr:row>
      <xdr:rowOff>0</xdr:rowOff>
    </xdr:to>
    <xdr:pic>
      <xdr:nvPicPr>
        <xdr:cNvPr id="17" name="그림 16" descr="https://www.se.com/se/library/SCHNEIDER_ELECTRIC/SE_LOCAL/APS/204386_085E/0.2C2.gif">
          <a:extLst>
            <a:ext uri="{FF2B5EF4-FFF2-40B4-BE49-F238E27FC236}">
              <a16:creationId xmlns:a16="http://schemas.microsoft.com/office/drawing/2014/main" id="{C0E27E53-4394-4AD0-8C47-6BF652B5F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8775" y="10744200"/>
          <a:ext cx="8120903" cy="456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85</xdr:row>
      <xdr:rowOff>104775</xdr:rowOff>
    </xdr:from>
    <xdr:to>
      <xdr:col>10</xdr:col>
      <xdr:colOff>304800</xdr:colOff>
      <xdr:row>87</xdr:row>
      <xdr:rowOff>66675</xdr:rowOff>
    </xdr:to>
    <xdr:sp macro="" textlink="">
      <xdr:nvSpPr>
        <xdr:cNvPr id="3" name="AutoShape 1" descr="{\displaystyle S={\sqrt {P^{2}+Q^{2}+D^{2}}}}">
          <a:extLst>
            <a:ext uri="{FF2B5EF4-FFF2-40B4-BE49-F238E27FC236}">
              <a16:creationId xmlns:a16="http://schemas.microsoft.com/office/drawing/2014/main" id="{0B4D22C1-511F-4424-8446-60F04A488688}"/>
            </a:ext>
          </a:extLst>
        </xdr:cNvPr>
        <xdr:cNvSpPr>
          <a:spLocks noChangeAspect="1" noChangeArrowheads="1"/>
        </xdr:cNvSpPr>
      </xdr:nvSpPr>
      <xdr:spPr bwMode="auto">
        <a:xfrm>
          <a:off x="14525625" y="1725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9525</xdr:colOff>
      <xdr:row>75</xdr:row>
      <xdr:rowOff>161925</xdr:rowOff>
    </xdr:from>
    <xdr:to>
      <xdr:col>9</xdr:col>
      <xdr:colOff>4876800</xdr:colOff>
      <xdr:row>84</xdr:row>
      <xdr:rowOff>4763</xdr:rowOff>
    </xdr:to>
    <xdr:pic>
      <xdr:nvPicPr>
        <xdr:cNvPr id="4" name="그림 3" descr="http://lh6.ggpht.com/_X6JnoL0U4BY/S1f2WqMkAEI/AAAAAAAAHXo/xFhHaHQ9Pv8/tmpFE22_thumb1_thumb.jpg?imgmax=800">
          <a:extLst>
            <a:ext uri="{FF2B5EF4-FFF2-40B4-BE49-F238E27FC236}">
              <a16:creationId xmlns:a16="http://schemas.microsoft.com/office/drawing/2014/main" id="{7F1AFF78-E4DD-4020-B7DA-736766299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01100" y="15316200"/>
          <a:ext cx="4867275" cy="1385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</xdr:colOff>
      <xdr:row>347</xdr:row>
      <xdr:rowOff>85726</xdr:rowOff>
    </xdr:from>
    <xdr:to>
      <xdr:col>9</xdr:col>
      <xdr:colOff>4876800</xdr:colOff>
      <xdr:row>364</xdr:row>
      <xdr:rowOff>77398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686A367C-FAD0-4DB1-B836-2AEA632EE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29675" y="75047476"/>
          <a:ext cx="4838700" cy="2906322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330</xdr:row>
      <xdr:rowOff>91767</xdr:rowOff>
    </xdr:from>
    <xdr:to>
      <xdr:col>9</xdr:col>
      <xdr:colOff>5037608</xdr:colOff>
      <xdr:row>346</xdr:row>
      <xdr:rowOff>104159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F87FB5F4-794C-4636-9D18-481F294BD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29675" y="71653092"/>
          <a:ext cx="4999508" cy="2755592"/>
        </a:xfrm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302</xdr:row>
      <xdr:rowOff>185378</xdr:rowOff>
    </xdr:from>
    <xdr:to>
      <xdr:col>9</xdr:col>
      <xdr:colOff>5284225</xdr:colOff>
      <xdr:row>306</xdr:row>
      <xdr:rowOff>104774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2192AFEF-4FE4-40E3-8E0A-91D329734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01100" y="66146003"/>
          <a:ext cx="5274700" cy="614721"/>
        </a:xfrm>
        <a:prstGeom prst="rect">
          <a:avLst/>
        </a:prstGeom>
      </xdr:spPr>
    </xdr:pic>
    <xdr:clientData/>
  </xdr:twoCellAnchor>
  <xdr:twoCellAnchor editAs="oneCell">
    <xdr:from>
      <xdr:col>9</xdr:col>
      <xdr:colOff>723901</xdr:colOff>
      <xdr:row>274</xdr:row>
      <xdr:rowOff>104776</xdr:rowOff>
    </xdr:from>
    <xdr:to>
      <xdr:col>10</xdr:col>
      <xdr:colOff>676276</xdr:colOff>
      <xdr:row>295</xdr:row>
      <xdr:rowOff>53642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3DB8F441-16D2-4DC3-AA76-D08E3879F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15476" y="60464701"/>
          <a:ext cx="5686425" cy="354931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233</xdr:row>
      <xdr:rowOff>66675</xdr:rowOff>
    </xdr:from>
    <xdr:to>
      <xdr:col>11</xdr:col>
      <xdr:colOff>422664</xdr:colOff>
      <xdr:row>255</xdr:row>
      <xdr:rowOff>71783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21DC492E-4720-4633-841F-39571842A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791575" y="46824900"/>
          <a:ext cx="6842514" cy="37770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52</xdr:row>
      <xdr:rowOff>190500</xdr:rowOff>
    </xdr:from>
    <xdr:to>
      <xdr:col>13</xdr:col>
      <xdr:colOff>329453</xdr:colOff>
      <xdr:row>79</xdr:row>
      <xdr:rowOff>104775</xdr:rowOff>
    </xdr:to>
    <xdr:pic>
      <xdr:nvPicPr>
        <xdr:cNvPr id="18" name="그림 17" descr="https://www.se.com/se/library/SCHNEIDER_ELECTRIC/SE_LOCAL/APS/204386_085E/0.2C2.gif">
          <a:extLst>
            <a:ext uri="{FF2B5EF4-FFF2-40B4-BE49-F238E27FC236}">
              <a16:creationId xmlns:a16="http://schemas.microsoft.com/office/drawing/2014/main" id="{B1D37EA7-FDEC-435B-8123-DBB6EBB08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0744200"/>
          <a:ext cx="8120903" cy="456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85</xdr:row>
      <xdr:rowOff>104775</xdr:rowOff>
    </xdr:from>
    <xdr:to>
      <xdr:col>10</xdr:col>
      <xdr:colOff>304800</xdr:colOff>
      <xdr:row>87</xdr:row>
      <xdr:rowOff>9525</xdr:rowOff>
    </xdr:to>
    <xdr:sp macro="" textlink="">
      <xdr:nvSpPr>
        <xdr:cNvPr id="19" name="AutoShape 1" descr="{\displaystyle S={\sqrt {P^{2}+Q^{2}+D^{2}}}}">
          <a:extLst>
            <a:ext uri="{FF2B5EF4-FFF2-40B4-BE49-F238E27FC236}">
              <a16:creationId xmlns:a16="http://schemas.microsoft.com/office/drawing/2014/main" id="{6F98F0A7-F109-4755-A133-E7F272964895}"/>
            </a:ext>
          </a:extLst>
        </xdr:cNvPr>
        <xdr:cNvSpPr>
          <a:spLocks noChangeAspect="1" noChangeArrowheads="1"/>
        </xdr:cNvSpPr>
      </xdr:nvSpPr>
      <xdr:spPr bwMode="auto">
        <a:xfrm>
          <a:off x="14525625" y="1808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9525</xdr:colOff>
      <xdr:row>75</xdr:row>
      <xdr:rowOff>161925</xdr:rowOff>
    </xdr:from>
    <xdr:to>
      <xdr:col>9</xdr:col>
      <xdr:colOff>4876800</xdr:colOff>
      <xdr:row>82</xdr:row>
      <xdr:rowOff>147638</xdr:rowOff>
    </xdr:to>
    <xdr:pic>
      <xdr:nvPicPr>
        <xdr:cNvPr id="20" name="그림 19" descr="http://lh6.ggpht.com/_X6JnoL0U4BY/S1f2WqMkAEI/AAAAAAAAHXo/xFhHaHQ9Pv8/tmpFE22_thumb1_thumb.jpg?imgmax=800">
          <a:extLst>
            <a:ext uri="{FF2B5EF4-FFF2-40B4-BE49-F238E27FC236}">
              <a16:creationId xmlns:a16="http://schemas.microsoft.com/office/drawing/2014/main" id="{5E53CE08-5E78-4F53-B6AE-D0D95F676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01100" y="16144875"/>
          <a:ext cx="4867275" cy="1385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</xdr:colOff>
      <xdr:row>347</xdr:row>
      <xdr:rowOff>85726</xdr:rowOff>
    </xdr:from>
    <xdr:to>
      <xdr:col>9</xdr:col>
      <xdr:colOff>4876800</xdr:colOff>
      <xdr:row>361</xdr:row>
      <xdr:rowOff>191698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EBED3B3C-42B0-41E2-AEE3-0C80D8505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29675" y="75876151"/>
          <a:ext cx="4838700" cy="2906322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330</xdr:row>
      <xdr:rowOff>91767</xdr:rowOff>
    </xdr:from>
    <xdr:to>
      <xdr:col>9</xdr:col>
      <xdr:colOff>5037608</xdr:colOff>
      <xdr:row>344</xdr:row>
      <xdr:rowOff>47009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04F92083-18D8-43F7-AAD9-61861EA68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29675" y="72481767"/>
          <a:ext cx="4999508" cy="2755592"/>
        </a:xfrm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302</xdr:row>
      <xdr:rowOff>185378</xdr:rowOff>
    </xdr:from>
    <xdr:to>
      <xdr:col>9</xdr:col>
      <xdr:colOff>5284225</xdr:colOff>
      <xdr:row>305</xdr:row>
      <xdr:rowOff>200024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1A33C2B2-653E-4EB4-AEB8-22384EABE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01100" y="66974678"/>
          <a:ext cx="5274700" cy="614721"/>
        </a:xfrm>
        <a:prstGeom prst="rect">
          <a:avLst/>
        </a:prstGeom>
      </xdr:spPr>
    </xdr:pic>
    <xdr:clientData/>
  </xdr:twoCellAnchor>
  <xdr:twoCellAnchor editAs="oneCell">
    <xdr:from>
      <xdr:col>9</xdr:col>
      <xdr:colOff>723901</xdr:colOff>
      <xdr:row>274</xdr:row>
      <xdr:rowOff>104776</xdr:rowOff>
    </xdr:from>
    <xdr:to>
      <xdr:col>10</xdr:col>
      <xdr:colOff>676276</xdr:colOff>
      <xdr:row>292</xdr:row>
      <xdr:rowOff>53642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D4055591-6470-4BBC-BA4B-84C86BF73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15476" y="61293376"/>
          <a:ext cx="5686425" cy="354931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233</xdr:row>
      <xdr:rowOff>66675</xdr:rowOff>
    </xdr:from>
    <xdr:to>
      <xdr:col>11</xdr:col>
      <xdr:colOff>422664</xdr:colOff>
      <xdr:row>252</xdr:row>
      <xdr:rowOff>43208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22B83434-5A17-4DB8-B920-DCA65C816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791575" y="47653575"/>
          <a:ext cx="6842514" cy="37770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52</xdr:row>
      <xdr:rowOff>190500</xdr:rowOff>
    </xdr:from>
    <xdr:to>
      <xdr:col>13</xdr:col>
      <xdr:colOff>329453</xdr:colOff>
      <xdr:row>75</xdr:row>
      <xdr:rowOff>152400</xdr:rowOff>
    </xdr:to>
    <xdr:pic>
      <xdr:nvPicPr>
        <xdr:cNvPr id="26" name="그림 25" descr="https://www.se.com/se/library/SCHNEIDER_ELECTRIC/SE_LOCAL/APS/204386_085E/0.2C2.gif">
          <a:extLst>
            <a:ext uri="{FF2B5EF4-FFF2-40B4-BE49-F238E27FC236}">
              <a16:creationId xmlns:a16="http://schemas.microsoft.com/office/drawing/2014/main" id="{45E3C8BC-AB09-4644-A0E5-626DEA5E6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572875"/>
          <a:ext cx="8120903" cy="456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10</xdr:col>
      <xdr:colOff>304800</xdr:colOff>
      <xdr:row>1</xdr:row>
      <xdr:rowOff>123825</xdr:rowOff>
    </xdr:to>
    <xdr:sp macro="" textlink="">
      <xdr:nvSpPr>
        <xdr:cNvPr id="2" name="AutoShape 1" descr="{\displaystyle S={\sqrt {P^{2}+Q^{2}+D^{2}}}}">
          <a:extLst>
            <a:ext uri="{FF2B5EF4-FFF2-40B4-BE49-F238E27FC236}">
              <a16:creationId xmlns:a16="http://schemas.microsoft.com/office/drawing/2014/main" id="{4541D6CD-3226-4F89-947C-700260C1A77A}"/>
            </a:ext>
          </a:extLst>
        </xdr:cNvPr>
        <xdr:cNvSpPr>
          <a:spLocks noChangeAspect="1" noChangeArrowheads="1"/>
        </xdr:cNvSpPr>
      </xdr:nvSpPr>
      <xdr:spPr bwMode="auto">
        <a:xfrm>
          <a:off x="15011400" y="1725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9525</xdr:colOff>
      <xdr:row>0</xdr:row>
      <xdr:rowOff>0</xdr:rowOff>
    </xdr:from>
    <xdr:to>
      <xdr:col>9</xdr:col>
      <xdr:colOff>4876800</xdr:colOff>
      <xdr:row>7</xdr:row>
      <xdr:rowOff>119063</xdr:rowOff>
    </xdr:to>
    <xdr:pic>
      <xdr:nvPicPr>
        <xdr:cNvPr id="3" name="그림 2" descr="http://lh6.ggpht.com/_X6JnoL0U4BY/S1f2WqMkAEI/AAAAAAAAHXo/xFhHaHQ9Pv8/tmpFE22_thumb1_thumb.jpg?imgmax=800">
          <a:extLst>
            <a:ext uri="{FF2B5EF4-FFF2-40B4-BE49-F238E27FC236}">
              <a16:creationId xmlns:a16="http://schemas.microsoft.com/office/drawing/2014/main" id="{18644531-536C-42A8-9FEB-6A4620441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6875" y="15316200"/>
          <a:ext cx="4867275" cy="1385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</xdr:colOff>
      <xdr:row>0</xdr:row>
      <xdr:rowOff>0</xdr:rowOff>
    </xdr:from>
    <xdr:to>
      <xdr:col>9</xdr:col>
      <xdr:colOff>4876800</xdr:colOff>
      <xdr:row>16</xdr:row>
      <xdr:rowOff>29772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912565D-5FC5-4243-92D7-01EE7A1DB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15450" y="64246126"/>
          <a:ext cx="4838700" cy="2906322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0</xdr:row>
      <xdr:rowOff>0</xdr:rowOff>
    </xdr:from>
    <xdr:to>
      <xdr:col>9</xdr:col>
      <xdr:colOff>5037608</xdr:colOff>
      <xdr:row>15</xdr:row>
      <xdr:rowOff>60017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92C43931-47BB-417B-93D5-E880CFDF4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15450" y="60851742"/>
          <a:ext cx="4999508" cy="2755592"/>
        </a:xfrm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0</xdr:row>
      <xdr:rowOff>0</xdr:rowOff>
    </xdr:from>
    <xdr:to>
      <xdr:col>9</xdr:col>
      <xdr:colOff>5284225</xdr:colOff>
      <xdr:row>3</xdr:row>
      <xdr:rowOff>71796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FF0A75B8-3996-4D65-A40E-54A2CBC34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86875" y="55344653"/>
          <a:ext cx="5274700" cy="614721"/>
        </a:xfrm>
        <a:prstGeom prst="rect">
          <a:avLst/>
        </a:prstGeom>
      </xdr:spPr>
    </xdr:pic>
    <xdr:clientData/>
  </xdr:twoCellAnchor>
  <xdr:twoCellAnchor editAs="oneCell">
    <xdr:from>
      <xdr:col>9</xdr:col>
      <xdr:colOff>723901</xdr:colOff>
      <xdr:row>0</xdr:row>
      <xdr:rowOff>0</xdr:rowOff>
    </xdr:from>
    <xdr:to>
      <xdr:col>10</xdr:col>
      <xdr:colOff>676276</xdr:colOff>
      <xdr:row>19</xdr:row>
      <xdr:rowOff>129841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C8082A34-0DCC-4B74-8590-64DFB6CF2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001251" y="49663351"/>
          <a:ext cx="5686425" cy="354931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11</xdr:col>
      <xdr:colOff>422664</xdr:colOff>
      <xdr:row>21</xdr:row>
      <xdr:rowOff>5108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A01149B7-557B-4FF8-97A8-BB21789DE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277350" y="36023550"/>
          <a:ext cx="6842514" cy="37770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13</xdr:col>
      <xdr:colOff>329453</xdr:colOff>
      <xdr:row>25</xdr:row>
      <xdr:rowOff>66675</xdr:rowOff>
    </xdr:to>
    <xdr:pic>
      <xdr:nvPicPr>
        <xdr:cNvPr id="9" name="그림 8" descr="https://www.se.com/se/library/SCHNEIDER_ELECTRIC/SE_LOCAL/APS/204386_085E/0.2C2.gif">
          <a:extLst>
            <a:ext uri="{FF2B5EF4-FFF2-40B4-BE49-F238E27FC236}">
              <a16:creationId xmlns:a16="http://schemas.microsoft.com/office/drawing/2014/main" id="{6EAA738B-C5AD-4781-9FF2-CA0B7D6DD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8775" y="10744200"/>
          <a:ext cx="8120903" cy="456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85</xdr:row>
      <xdr:rowOff>104775</xdr:rowOff>
    </xdr:from>
    <xdr:to>
      <xdr:col>10</xdr:col>
      <xdr:colOff>304800</xdr:colOff>
      <xdr:row>87</xdr:row>
      <xdr:rowOff>66675</xdr:rowOff>
    </xdr:to>
    <xdr:sp macro="" textlink="">
      <xdr:nvSpPr>
        <xdr:cNvPr id="10" name="AutoShape 1" descr="{\displaystyle S={\sqrt {P^{2}+Q^{2}+D^{2}}}}">
          <a:extLst>
            <a:ext uri="{FF2B5EF4-FFF2-40B4-BE49-F238E27FC236}">
              <a16:creationId xmlns:a16="http://schemas.microsoft.com/office/drawing/2014/main" id="{6E67FE93-F8AF-4E72-8B72-0EE73FF2103B}"/>
            </a:ext>
          </a:extLst>
        </xdr:cNvPr>
        <xdr:cNvSpPr>
          <a:spLocks noChangeAspect="1" noChangeArrowheads="1"/>
        </xdr:cNvSpPr>
      </xdr:nvSpPr>
      <xdr:spPr bwMode="auto">
        <a:xfrm>
          <a:off x="14525625" y="1725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9525</xdr:colOff>
      <xdr:row>75</xdr:row>
      <xdr:rowOff>161925</xdr:rowOff>
    </xdr:from>
    <xdr:to>
      <xdr:col>9</xdr:col>
      <xdr:colOff>4876800</xdr:colOff>
      <xdr:row>84</xdr:row>
      <xdr:rowOff>4763</xdr:rowOff>
    </xdr:to>
    <xdr:pic>
      <xdr:nvPicPr>
        <xdr:cNvPr id="11" name="그림 10" descr="http://lh6.ggpht.com/_X6JnoL0U4BY/S1f2WqMkAEI/AAAAAAAAHXo/xFhHaHQ9Pv8/tmpFE22_thumb1_thumb.jpg?imgmax=800">
          <a:extLst>
            <a:ext uri="{FF2B5EF4-FFF2-40B4-BE49-F238E27FC236}">
              <a16:creationId xmlns:a16="http://schemas.microsoft.com/office/drawing/2014/main" id="{BA324BBA-0F40-4BA7-8B88-04FB2AF57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01100" y="15316200"/>
          <a:ext cx="4867275" cy="1385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</xdr:colOff>
      <xdr:row>347</xdr:row>
      <xdr:rowOff>85726</xdr:rowOff>
    </xdr:from>
    <xdr:to>
      <xdr:col>9</xdr:col>
      <xdr:colOff>4876800</xdr:colOff>
      <xdr:row>364</xdr:row>
      <xdr:rowOff>77398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EE88E70-DF8E-4F98-9A3F-5667DD9C9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29675" y="75047476"/>
          <a:ext cx="4838700" cy="2906322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330</xdr:row>
      <xdr:rowOff>91767</xdr:rowOff>
    </xdr:from>
    <xdr:to>
      <xdr:col>9</xdr:col>
      <xdr:colOff>5037608</xdr:colOff>
      <xdr:row>346</xdr:row>
      <xdr:rowOff>104159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5294E731-A77F-4F47-BA1E-984F36F62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29675" y="71653092"/>
          <a:ext cx="4999508" cy="2755592"/>
        </a:xfrm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302</xdr:row>
      <xdr:rowOff>185378</xdr:rowOff>
    </xdr:from>
    <xdr:to>
      <xdr:col>9</xdr:col>
      <xdr:colOff>5284225</xdr:colOff>
      <xdr:row>306</xdr:row>
      <xdr:rowOff>104774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D01B8173-217E-41A8-84BF-DA8F9BD96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01100" y="66146003"/>
          <a:ext cx="5274700" cy="614721"/>
        </a:xfrm>
        <a:prstGeom prst="rect">
          <a:avLst/>
        </a:prstGeom>
      </xdr:spPr>
    </xdr:pic>
    <xdr:clientData/>
  </xdr:twoCellAnchor>
  <xdr:twoCellAnchor editAs="oneCell">
    <xdr:from>
      <xdr:col>9</xdr:col>
      <xdr:colOff>723901</xdr:colOff>
      <xdr:row>274</xdr:row>
      <xdr:rowOff>104776</xdr:rowOff>
    </xdr:from>
    <xdr:to>
      <xdr:col>10</xdr:col>
      <xdr:colOff>676276</xdr:colOff>
      <xdr:row>295</xdr:row>
      <xdr:rowOff>53642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96EA092C-E67A-47E6-99E9-F8FF2F70F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15476" y="60464701"/>
          <a:ext cx="5686425" cy="354931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233</xdr:row>
      <xdr:rowOff>66675</xdr:rowOff>
    </xdr:from>
    <xdr:to>
      <xdr:col>11</xdr:col>
      <xdr:colOff>422664</xdr:colOff>
      <xdr:row>255</xdr:row>
      <xdr:rowOff>71783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E08D4744-A894-425A-94CF-61A14B444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791575" y="46824900"/>
          <a:ext cx="6842514" cy="37770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52</xdr:row>
      <xdr:rowOff>190500</xdr:rowOff>
    </xdr:from>
    <xdr:to>
      <xdr:col>13</xdr:col>
      <xdr:colOff>329453</xdr:colOff>
      <xdr:row>79</xdr:row>
      <xdr:rowOff>104775</xdr:rowOff>
    </xdr:to>
    <xdr:pic>
      <xdr:nvPicPr>
        <xdr:cNvPr id="17" name="그림 16" descr="https://www.se.com/se/library/SCHNEIDER_ELECTRIC/SE_LOCAL/APS/204386_085E/0.2C2.gif">
          <a:extLst>
            <a:ext uri="{FF2B5EF4-FFF2-40B4-BE49-F238E27FC236}">
              <a16:creationId xmlns:a16="http://schemas.microsoft.com/office/drawing/2014/main" id="{BA63B55D-3B86-410F-B00A-0CA1A048A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0744200"/>
          <a:ext cx="8120903" cy="456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85</xdr:row>
      <xdr:rowOff>104775</xdr:rowOff>
    </xdr:from>
    <xdr:to>
      <xdr:col>10</xdr:col>
      <xdr:colOff>304800</xdr:colOff>
      <xdr:row>87</xdr:row>
      <xdr:rowOff>9525</xdr:rowOff>
    </xdr:to>
    <xdr:sp macro="" textlink="">
      <xdr:nvSpPr>
        <xdr:cNvPr id="18" name="AutoShape 1" descr="{\displaystyle S={\sqrt {P^{2}+Q^{2}+D^{2}}}}">
          <a:extLst>
            <a:ext uri="{FF2B5EF4-FFF2-40B4-BE49-F238E27FC236}">
              <a16:creationId xmlns:a16="http://schemas.microsoft.com/office/drawing/2014/main" id="{B1800AD8-9D82-483C-8DED-EC2873BC868B}"/>
            </a:ext>
          </a:extLst>
        </xdr:cNvPr>
        <xdr:cNvSpPr>
          <a:spLocks noChangeAspect="1" noChangeArrowheads="1"/>
        </xdr:cNvSpPr>
      </xdr:nvSpPr>
      <xdr:spPr bwMode="auto">
        <a:xfrm>
          <a:off x="14525625" y="1808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9525</xdr:colOff>
      <xdr:row>75</xdr:row>
      <xdr:rowOff>161925</xdr:rowOff>
    </xdr:from>
    <xdr:to>
      <xdr:col>9</xdr:col>
      <xdr:colOff>4876800</xdr:colOff>
      <xdr:row>82</xdr:row>
      <xdr:rowOff>147638</xdr:rowOff>
    </xdr:to>
    <xdr:pic>
      <xdr:nvPicPr>
        <xdr:cNvPr id="19" name="그림 18" descr="http://lh6.ggpht.com/_X6JnoL0U4BY/S1f2WqMkAEI/AAAAAAAAHXo/xFhHaHQ9Pv8/tmpFE22_thumb1_thumb.jpg?imgmax=800">
          <a:extLst>
            <a:ext uri="{FF2B5EF4-FFF2-40B4-BE49-F238E27FC236}">
              <a16:creationId xmlns:a16="http://schemas.microsoft.com/office/drawing/2014/main" id="{94D6ECF9-E877-40E5-9BBF-44AFA4349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01100" y="16144875"/>
          <a:ext cx="4867275" cy="1385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</xdr:colOff>
      <xdr:row>347</xdr:row>
      <xdr:rowOff>85726</xdr:rowOff>
    </xdr:from>
    <xdr:to>
      <xdr:col>9</xdr:col>
      <xdr:colOff>4876800</xdr:colOff>
      <xdr:row>361</xdr:row>
      <xdr:rowOff>191698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D49B2D47-3955-432F-A343-564C97DC7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29675" y="75876151"/>
          <a:ext cx="4838700" cy="2906322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330</xdr:row>
      <xdr:rowOff>91767</xdr:rowOff>
    </xdr:from>
    <xdr:to>
      <xdr:col>9</xdr:col>
      <xdr:colOff>5037608</xdr:colOff>
      <xdr:row>344</xdr:row>
      <xdr:rowOff>47009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DF9E8075-28AC-426C-91C9-87FD03D86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29675" y="72481767"/>
          <a:ext cx="4999508" cy="2755592"/>
        </a:xfrm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302</xdr:row>
      <xdr:rowOff>185378</xdr:rowOff>
    </xdr:from>
    <xdr:to>
      <xdr:col>9</xdr:col>
      <xdr:colOff>5284225</xdr:colOff>
      <xdr:row>305</xdr:row>
      <xdr:rowOff>200024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A1A58B7B-AF4E-48C6-94D4-6E2B19973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01100" y="66974678"/>
          <a:ext cx="5274700" cy="614721"/>
        </a:xfrm>
        <a:prstGeom prst="rect">
          <a:avLst/>
        </a:prstGeom>
      </xdr:spPr>
    </xdr:pic>
    <xdr:clientData/>
  </xdr:twoCellAnchor>
  <xdr:twoCellAnchor editAs="oneCell">
    <xdr:from>
      <xdr:col>9</xdr:col>
      <xdr:colOff>723901</xdr:colOff>
      <xdr:row>274</xdr:row>
      <xdr:rowOff>104776</xdr:rowOff>
    </xdr:from>
    <xdr:to>
      <xdr:col>10</xdr:col>
      <xdr:colOff>676276</xdr:colOff>
      <xdr:row>292</xdr:row>
      <xdr:rowOff>53642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70789DA2-00E7-46A6-A814-AEEF3C4CE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15476" y="61293376"/>
          <a:ext cx="5686425" cy="354931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233</xdr:row>
      <xdr:rowOff>66675</xdr:rowOff>
    </xdr:from>
    <xdr:to>
      <xdr:col>11</xdr:col>
      <xdr:colOff>422664</xdr:colOff>
      <xdr:row>252</xdr:row>
      <xdr:rowOff>43208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58ABBED7-7EF0-4BE5-AB5F-22CF11DF1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791575" y="47653575"/>
          <a:ext cx="6842514" cy="37770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52</xdr:row>
      <xdr:rowOff>190500</xdr:rowOff>
    </xdr:from>
    <xdr:to>
      <xdr:col>13</xdr:col>
      <xdr:colOff>329453</xdr:colOff>
      <xdr:row>75</xdr:row>
      <xdr:rowOff>152400</xdr:rowOff>
    </xdr:to>
    <xdr:pic>
      <xdr:nvPicPr>
        <xdr:cNvPr id="25" name="그림 24" descr="https://www.se.com/se/library/SCHNEIDER_ELECTRIC/SE_LOCAL/APS/204386_085E/0.2C2.gif">
          <a:extLst>
            <a:ext uri="{FF2B5EF4-FFF2-40B4-BE49-F238E27FC236}">
              <a16:creationId xmlns:a16="http://schemas.microsoft.com/office/drawing/2014/main" id="{61B5AA5E-5E9D-4EFA-85C9-3E9DCB04C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572875"/>
          <a:ext cx="8120903" cy="456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workbookViewId="0">
      <selection activeCell="D10" sqref="D10"/>
    </sheetView>
  </sheetViews>
  <sheetFormatPr defaultColWidth="9" defaultRowHeight="13.5" x14ac:dyDescent="0.3"/>
  <cols>
    <col min="1" max="1" width="12.375" style="4" customWidth="1"/>
    <col min="2" max="2" width="36.875" style="4" bestFit="1" customWidth="1"/>
    <col min="3" max="3" width="14.25" style="4" bestFit="1" customWidth="1"/>
    <col min="4" max="4" width="23.25" style="4" bestFit="1" customWidth="1"/>
    <col min="5" max="16384" width="9" style="4"/>
  </cols>
  <sheetData>
    <row r="1" spans="1:4" ht="20.25" customHeight="1" x14ac:dyDescent="0.3">
      <c r="A1" s="1" t="s">
        <v>1181</v>
      </c>
      <c r="B1" s="1" t="s">
        <v>1182</v>
      </c>
      <c r="C1" s="1" t="s">
        <v>1193</v>
      </c>
      <c r="D1" s="1" t="s">
        <v>1179</v>
      </c>
    </row>
    <row r="2" spans="1:4" ht="20.25" customHeight="1" x14ac:dyDescent="0.3">
      <c r="A2" s="52">
        <v>45644</v>
      </c>
      <c r="B2" s="2" t="s">
        <v>702</v>
      </c>
      <c r="C2" s="2"/>
      <c r="D2" s="2"/>
    </row>
    <row r="3" spans="1:4" ht="20.25" customHeight="1" x14ac:dyDescent="0.3">
      <c r="A3" s="52">
        <v>46155</v>
      </c>
      <c r="B3" s="2" t="s">
        <v>1088</v>
      </c>
      <c r="C3" s="2"/>
      <c r="D3" s="2"/>
    </row>
    <row r="4" spans="1:4" ht="20.25" customHeight="1" x14ac:dyDescent="0.3">
      <c r="A4" s="52">
        <v>46191</v>
      </c>
      <c r="B4" s="2" t="s">
        <v>1177</v>
      </c>
      <c r="D4" s="2" t="s">
        <v>1180</v>
      </c>
    </row>
    <row r="5" spans="1:4" ht="20.25" customHeight="1" x14ac:dyDescent="0.3">
      <c r="A5" s="52">
        <v>46234</v>
      </c>
      <c r="B5" s="2" t="s">
        <v>1195</v>
      </c>
      <c r="C5" s="2" t="s">
        <v>1194</v>
      </c>
      <c r="D5" s="2" t="s">
        <v>1196</v>
      </c>
    </row>
    <row r="6" spans="1:4" ht="20.25" customHeight="1" x14ac:dyDescent="0.3">
      <c r="A6" s="52">
        <v>46241</v>
      </c>
      <c r="B6" s="2" t="s">
        <v>1208</v>
      </c>
      <c r="C6" s="2" t="s">
        <v>1209</v>
      </c>
      <c r="D6" s="2" t="s">
        <v>1207</v>
      </c>
    </row>
    <row r="7" spans="1:4" ht="20.25" customHeight="1" x14ac:dyDescent="0.3">
      <c r="A7" s="1" t="s">
        <v>1210</v>
      </c>
      <c r="B7" s="2" t="s">
        <v>1214</v>
      </c>
      <c r="C7" s="2" t="s">
        <v>1211</v>
      </c>
      <c r="D7" s="2" t="s">
        <v>1215</v>
      </c>
    </row>
    <row r="8" spans="1:4" ht="20.25" customHeight="1" x14ac:dyDescent="0.3">
      <c r="A8" s="52">
        <v>46244</v>
      </c>
      <c r="B8" s="2" t="s">
        <v>1219</v>
      </c>
      <c r="C8" s="2" t="s">
        <v>1211</v>
      </c>
      <c r="D8" s="151" t="s">
        <v>1220</v>
      </c>
    </row>
    <row r="9" spans="1:4" ht="20.25" customHeight="1" x14ac:dyDescent="0.3">
      <c r="A9" s="2"/>
      <c r="B9" s="2" t="s">
        <v>1221</v>
      </c>
      <c r="C9" s="2" t="s">
        <v>1211</v>
      </c>
      <c r="D9" s="153">
        <v>7086</v>
      </c>
    </row>
    <row r="10" spans="1:4" ht="20.25" customHeight="1" x14ac:dyDescent="0.3">
      <c r="A10" s="52">
        <v>46246</v>
      </c>
      <c r="B10" s="2" t="s">
        <v>1228</v>
      </c>
      <c r="C10" s="2" t="s">
        <v>1229</v>
      </c>
      <c r="D10" s="2"/>
    </row>
    <row r="11" spans="1:4" x14ac:dyDescent="0.3">
      <c r="A11" s="2"/>
      <c r="B11" s="2"/>
      <c r="C11" s="2"/>
      <c r="D11" s="2"/>
    </row>
    <row r="12" spans="1:4" x14ac:dyDescent="0.3">
      <c r="A12" s="2"/>
      <c r="B12" s="2"/>
      <c r="C12" s="2"/>
      <c r="D12" s="2"/>
    </row>
    <row r="13" spans="1:4" x14ac:dyDescent="0.3">
      <c r="A13" s="2"/>
      <c r="B13" s="2"/>
      <c r="C13" s="2"/>
      <c r="D13" s="2"/>
    </row>
    <row r="14" spans="1:4" x14ac:dyDescent="0.3">
      <c r="A14" s="2"/>
      <c r="B14" s="2"/>
      <c r="C14" s="2"/>
      <c r="D14" s="2"/>
    </row>
    <row r="15" spans="1:4" x14ac:dyDescent="0.3">
      <c r="A15" s="2"/>
      <c r="B15" s="2"/>
      <c r="C15" s="2"/>
      <c r="D15" s="2"/>
    </row>
    <row r="16" spans="1:4" x14ac:dyDescent="0.3">
      <c r="A16" s="2"/>
      <c r="B16" s="2"/>
      <c r="C16" s="2"/>
      <c r="D16" s="2"/>
    </row>
    <row r="17" spans="1:4" x14ac:dyDescent="0.3">
      <c r="A17" s="2"/>
      <c r="B17" s="2"/>
      <c r="C17" s="2"/>
      <c r="D17" s="2"/>
    </row>
    <row r="18" spans="1:4" x14ac:dyDescent="0.3">
      <c r="A18" s="2"/>
      <c r="B18" s="2"/>
      <c r="C18" s="2"/>
      <c r="D18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5"/>
  <sheetViews>
    <sheetView zoomScaleNormal="100" workbookViewId="0">
      <selection activeCell="H10" sqref="H10"/>
    </sheetView>
  </sheetViews>
  <sheetFormatPr defaultColWidth="9" defaultRowHeight="13.5" customHeight="1" x14ac:dyDescent="0.3"/>
  <cols>
    <col min="1" max="1" width="7.375" style="8" customWidth="1"/>
    <col min="2" max="2" width="12.5" style="8" customWidth="1"/>
    <col min="3" max="3" width="20.5" style="44" bestFit="1" customWidth="1"/>
    <col min="4" max="4" width="20.25" style="8" customWidth="1"/>
    <col min="5" max="5" width="8" style="8" customWidth="1"/>
    <col min="6" max="6" width="7.875" style="8" bestFit="1" customWidth="1"/>
    <col min="7" max="10" width="8.625" style="16" customWidth="1"/>
    <col min="11" max="11" width="8.625" style="8" customWidth="1"/>
    <col min="12" max="12" width="12.125" style="8" bestFit="1" customWidth="1"/>
    <col min="13" max="16384" width="9" style="8"/>
  </cols>
  <sheetData>
    <row r="1" spans="1:11" ht="27.75" customHeight="1" x14ac:dyDescent="0.3">
      <c r="A1" s="42" t="s">
        <v>634</v>
      </c>
      <c r="B1" s="42" t="s">
        <v>646</v>
      </c>
      <c r="C1" s="42" t="s">
        <v>632</v>
      </c>
      <c r="D1" s="42" t="s">
        <v>694</v>
      </c>
      <c r="E1" s="42" t="s">
        <v>638</v>
      </c>
      <c r="F1" s="42" t="s">
        <v>647</v>
      </c>
      <c r="G1" s="42" t="s">
        <v>635</v>
      </c>
      <c r="H1" s="42" t="s">
        <v>695</v>
      </c>
      <c r="I1" s="42" t="s">
        <v>696</v>
      </c>
      <c r="J1" s="42" t="s">
        <v>636</v>
      </c>
      <c r="K1" s="42" t="s">
        <v>637</v>
      </c>
    </row>
    <row r="2" spans="1:11" ht="15.95" customHeight="1" x14ac:dyDescent="0.3">
      <c r="A2" s="162" t="s">
        <v>139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</row>
    <row r="3" spans="1:11" s="46" customFormat="1" ht="15.95" customHeight="1" x14ac:dyDescent="0.3">
      <c r="A3" s="45">
        <v>50000</v>
      </c>
      <c r="B3" s="163" t="s">
        <v>701</v>
      </c>
      <c r="C3" s="49" t="s">
        <v>90</v>
      </c>
      <c r="D3" s="2"/>
      <c r="E3" s="1"/>
      <c r="F3" s="1" t="s">
        <v>650</v>
      </c>
      <c r="G3" s="1" t="s">
        <v>145</v>
      </c>
      <c r="H3" s="1"/>
      <c r="I3" s="1"/>
      <c r="J3" s="1">
        <v>2</v>
      </c>
      <c r="K3" s="47">
        <v>1</v>
      </c>
    </row>
    <row r="4" spans="1:11" s="46" customFormat="1" ht="15.95" customHeight="1" x14ac:dyDescent="0.3">
      <c r="A4" s="49">
        <f t="shared" ref="A4:A41" si="0">A3+(J3*K3)</f>
        <v>50002</v>
      </c>
      <c r="B4" s="163"/>
      <c r="C4" s="49" t="s">
        <v>686</v>
      </c>
      <c r="D4" s="2"/>
      <c r="E4" s="1"/>
      <c r="F4" s="1" t="s">
        <v>650</v>
      </c>
      <c r="G4" s="15" t="s">
        <v>697</v>
      </c>
      <c r="H4" s="1"/>
      <c r="I4" s="1"/>
      <c r="J4" s="1">
        <v>1</v>
      </c>
      <c r="K4" s="47">
        <v>1</v>
      </c>
    </row>
    <row r="5" spans="1:11" s="46" customFormat="1" ht="15.95" customHeight="1" x14ac:dyDescent="0.3">
      <c r="A5" s="49">
        <f t="shared" si="0"/>
        <v>50003</v>
      </c>
      <c r="B5" s="163"/>
      <c r="C5" s="1" t="s">
        <v>687</v>
      </c>
      <c r="D5" s="2"/>
      <c r="E5" s="1"/>
      <c r="F5" s="1" t="s">
        <v>650</v>
      </c>
      <c r="G5" s="15" t="s">
        <v>698</v>
      </c>
      <c r="H5" s="1"/>
      <c r="I5" s="1"/>
      <c r="J5" s="1">
        <v>1</v>
      </c>
      <c r="K5" s="47">
        <v>1</v>
      </c>
    </row>
    <row r="6" spans="1:11" s="46" customFormat="1" ht="15.95" customHeight="1" x14ac:dyDescent="0.3">
      <c r="A6" s="49">
        <f t="shared" si="0"/>
        <v>50004</v>
      </c>
      <c r="B6" s="163"/>
      <c r="C6" s="1" t="s">
        <v>688</v>
      </c>
      <c r="D6" s="2"/>
      <c r="E6" s="1"/>
      <c r="F6" s="1" t="s">
        <v>650</v>
      </c>
      <c r="G6" s="15" t="s">
        <v>209</v>
      </c>
      <c r="H6" s="1"/>
      <c r="I6" s="1"/>
      <c r="J6" s="1">
        <v>1</v>
      </c>
      <c r="K6" s="47">
        <v>1</v>
      </c>
    </row>
    <row r="7" spans="1:11" s="46" customFormat="1" ht="15.95" customHeight="1" x14ac:dyDescent="0.3">
      <c r="A7" s="49">
        <f t="shared" si="0"/>
        <v>50005</v>
      </c>
      <c r="B7" s="163"/>
      <c r="C7" s="1" t="s">
        <v>689</v>
      </c>
      <c r="D7" s="2"/>
      <c r="E7" s="1"/>
      <c r="F7" s="1" t="s">
        <v>650</v>
      </c>
      <c r="G7" s="15" t="s">
        <v>209</v>
      </c>
      <c r="H7" s="1"/>
      <c r="I7" s="1"/>
      <c r="J7" s="1">
        <v>1</v>
      </c>
      <c r="K7" s="47">
        <v>1</v>
      </c>
    </row>
    <row r="8" spans="1:11" s="46" customFormat="1" ht="15.95" customHeight="1" x14ac:dyDescent="0.3">
      <c r="A8" s="51">
        <f t="shared" si="0"/>
        <v>50006</v>
      </c>
      <c r="B8" s="163"/>
      <c r="C8" s="1" t="s">
        <v>690</v>
      </c>
      <c r="D8" s="2"/>
      <c r="E8" s="1"/>
      <c r="F8" s="1" t="s">
        <v>650</v>
      </c>
      <c r="G8" s="15" t="s">
        <v>209</v>
      </c>
      <c r="H8" s="1"/>
      <c r="I8" s="1"/>
      <c r="J8" s="1">
        <v>1</v>
      </c>
      <c r="K8" s="47">
        <v>1</v>
      </c>
    </row>
    <row r="9" spans="1:11" s="46" customFormat="1" ht="15.95" customHeight="1" x14ac:dyDescent="0.3">
      <c r="A9" s="51">
        <f t="shared" si="0"/>
        <v>50007</v>
      </c>
      <c r="B9" s="163"/>
      <c r="C9" s="1" t="s">
        <v>527</v>
      </c>
      <c r="D9" s="2"/>
      <c r="E9" s="1"/>
      <c r="F9" s="1" t="s">
        <v>650</v>
      </c>
      <c r="G9" s="15" t="s">
        <v>209</v>
      </c>
      <c r="H9" s="1"/>
      <c r="I9" s="1"/>
      <c r="J9" s="1">
        <v>1</v>
      </c>
      <c r="K9" s="47">
        <v>1</v>
      </c>
    </row>
    <row r="10" spans="1:11" s="46" customFormat="1" ht="15.95" customHeight="1" x14ac:dyDescent="0.3">
      <c r="A10" s="51">
        <f t="shared" si="0"/>
        <v>50008</v>
      </c>
      <c r="B10" s="163"/>
      <c r="C10" s="1" t="s">
        <v>691</v>
      </c>
      <c r="D10" s="2"/>
      <c r="E10" s="1"/>
      <c r="F10" s="1" t="s">
        <v>650</v>
      </c>
      <c r="G10" s="15" t="s">
        <v>209</v>
      </c>
      <c r="H10" s="1"/>
      <c r="I10" s="1"/>
      <c r="J10" s="1">
        <v>1</v>
      </c>
      <c r="K10" s="47">
        <v>1</v>
      </c>
    </row>
    <row r="11" spans="1:11" s="46" customFormat="1" ht="15.95" customHeight="1" x14ac:dyDescent="0.3">
      <c r="A11" s="51">
        <f t="shared" si="0"/>
        <v>50009</v>
      </c>
      <c r="B11" s="163"/>
      <c r="C11" s="1" t="s">
        <v>692</v>
      </c>
      <c r="D11" s="2"/>
      <c r="E11" s="1"/>
      <c r="F11" s="1" t="s">
        <v>650</v>
      </c>
      <c r="G11" s="15" t="s">
        <v>209</v>
      </c>
      <c r="H11" s="1"/>
      <c r="I11" s="1"/>
      <c r="J11" s="1">
        <v>1</v>
      </c>
      <c r="K11" s="47">
        <v>1</v>
      </c>
    </row>
    <row r="12" spans="1:11" s="46" customFormat="1" ht="15.95" customHeight="1" x14ac:dyDescent="0.3">
      <c r="A12" s="51">
        <f t="shared" si="0"/>
        <v>50010</v>
      </c>
      <c r="B12" s="163"/>
      <c r="C12" s="1" t="s">
        <v>693</v>
      </c>
      <c r="D12" s="2"/>
      <c r="E12" s="1"/>
      <c r="F12" s="1" t="s">
        <v>650</v>
      </c>
      <c r="G12" s="15" t="s">
        <v>698</v>
      </c>
      <c r="H12" s="1"/>
      <c r="I12" s="1"/>
      <c r="J12" s="1">
        <v>1</v>
      </c>
      <c r="K12" s="47">
        <v>1</v>
      </c>
    </row>
    <row r="13" spans="1:11" s="46" customFormat="1" ht="15.95" customHeight="1" x14ac:dyDescent="0.3">
      <c r="A13" s="51">
        <f t="shared" si="0"/>
        <v>50011</v>
      </c>
      <c r="B13" s="163"/>
      <c r="C13" s="1" t="s">
        <v>113</v>
      </c>
      <c r="D13" s="2"/>
      <c r="E13" s="1"/>
      <c r="F13" s="1" t="s">
        <v>650</v>
      </c>
      <c r="G13" s="15" t="s">
        <v>698</v>
      </c>
      <c r="H13" s="1"/>
      <c r="I13" s="1"/>
      <c r="J13" s="1">
        <v>1</v>
      </c>
      <c r="K13" s="47">
        <v>1</v>
      </c>
    </row>
    <row r="14" spans="1:11" s="46" customFormat="1" ht="15.95" customHeight="1" x14ac:dyDescent="0.3">
      <c r="A14" s="51">
        <f t="shared" si="0"/>
        <v>50012</v>
      </c>
      <c r="B14" s="163"/>
      <c r="C14" s="49" t="s">
        <v>147</v>
      </c>
      <c r="D14" s="2"/>
      <c r="E14" s="1"/>
      <c r="F14" s="1" t="s">
        <v>650</v>
      </c>
      <c r="G14" s="1" t="s">
        <v>700</v>
      </c>
      <c r="H14" s="1"/>
      <c r="I14" s="1"/>
      <c r="J14" s="1">
        <v>2</v>
      </c>
      <c r="K14" s="47">
        <v>1</v>
      </c>
    </row>
    <row r="15" spans="1:11" s="46" customFormat="1" ht="15.95" customHeight="1" x14ac:dyDescent="0.3">
      <c r="A15" s="51">
        <f t="shared" si="0"/>
        <v>50014</v>
      </c>
      <c r="B15" s="163"/>
      <c r="C15" s="1" t="s">
        <v>113</v>
      </c>
      <c r="D15" s="2"/>
      <c r="E15" s="1"/>
      <c r="F15" s="1" t="s">
        <v>650</v>
      </c>
      <c r="G15" s="1" t="s">
        <v>145</v>
      </c>
      <c r="H15" s="1"/>
      <c r="I15" s="1"/>
      <c r="J15" s="1">
        <v>2</v>
      </c>
      <c r="K15" s="47">
        <v>3</v>
      </c>
    </row>
    <row r="16" spans="1:11" s="46" customFormat="1" ht="15.95" customHeight="1" x14ac:dyDescent="0.3">
      <c r="A16" s="51">
        <f t="shared" si="0"/>
        <v>50020</v>
      </c>
      <c r="B16" s="164" t="s">
        <v>699</v>
      </c>
      <c r="C16" s="1" t="s">
        <v>703</v>
      </c>
      <c r="D16" s="2"/>
      <c r="E16" s="1"/>
      <c r="F16" s="1" t="s">
        <v>650</v>
      </c>
      <c r="G16" s="15" t="s">
        <v>123</v>
      </c>
      <c r="H16" s="1"/>
      <c r="I16" s="1"/>
      <c r="J16" s="1">
        <v>1</v>
      </c>
      <c r="K16" s="47">
        <v>1</v>
      </c>
    </row>
    <row r="17" spans="1:12" s="46" customFormat="1" ht="15.95" customHeight="1" x14ac:dyDescent="0.3">
      <c r="A17" s="51">
        <f t="shared" si="0"/>
        <v>50021</v>
      </c>
      <c r="B17" s="165"/>
      <c r="C17" s="1" t="s">
        <v>704</v>
      </c>
      <c r="D17" s="2" t="s">
        <v>964</v>
      </c>
      <c r="E17" s="1"/>
      <c r="F17" s="1" t="s">
        <v>650</v>
      </c>
      <c r="G17" s="15" t="s">
        <v>698</v>
      </c>
      <c r="H17" s="1"/>
      <c r="I17" s="1"/>
      <c r="J17" s="1">
        <v>1</v>
      </c>
      <c r="K17" s="47">
        <v>1</v>
      </c>
      <c r="L17" s="46" t="s">
        <v>1187</v>
      </c>
    </row>
    <row r="18" spans="1:12" s="46" customFormat="1" ht="15.95" customHeight="1" x14ac:dyDescent="0.3">
      <c r="A18" s="129">
        <f t="shared" si="0"/>
        <v>50022</v>
      </c>
      <c r="B18" s="165"/>
      <c r="C18" s="1" t="s">
        <v>113</v>
      </c>
      <c r="D18" s="2"/>
      <c r="E18" s="1"/>
      <c r="F18" s="1" t="s">
        <v>650</v>
      </c>
      <c r="G18" s="15" t="s">
        <v>736</v>
      </c>
      <c r="H18" s="1"/>
      <c r="I18" s="1"/>
      <c r="J18" s="1">
        <v>2</v>
      </c>
      <c r="K18" s="47">
        <v>1</v>
      </c>
    </row>
    <row r="19" spans="1:12" s="46" customFormat="1" ht="15.95" customHeight="1" x14ac:dyDescent="0.3">
      <c r="A19" s="129">
        <f t="shared" si="0"/>
        <v>50024</v>
      </c>
      <c r="B19" s="165"/>
      <c r="C19" s="49" t="s">
        <v>121</v>
      </c>
      <c r="D19" s="2"/>
      <c r="E19" s="1" t="s">
        <v>721</v>
      </c>
      <c r="F19" s="1" t="s">
        <v>650</v>
      </c>
      <c r="G19" s="1" t="s">
        <v>58</v>
      </c>
      <c r="H19" s="1"/>
      <c r="I19" s="1"/>
      <c r="J19" s="1">
        <v>2</v>
      </c>
      <c r="K19" s="47">
        <v>1</v>
      </c>
    </row>
    <row r="20" spans="1:12" s="46" customFormat="1" ht="15.95" customHeight="1" x14ac:dyDescent="0.3">
      <c r="A20" s="129">
        <f t="shared" si="0"/>
        <v>50026</v>
      </c>
      <c r="B20" s="165"/>
      <c r="C20" s="1" t="s">
        <v>648</v>
      </c>
      <c r="D20" s="2" t="s">
        <v>649</v>
      </c>
      <c r="E20" s="1" t="s">
        <v>722</v>
      </c>
      <c r="F20" s="1" t="s">
        <v>650</v>
      </c>
      <c r="G20" s="15" t="s">
        <v>58</v>
      </c>
      <c r="H20" s="15"/>
      <c r="I20" s="15"/>
      <c r="J20" s="1">
        <v>2</v>
      </c>
      <c r="K20" s="1">
        <v>1</v>
      </c>
    </row>
    <row r="21" spans="1:12" s="46" customFormat="1" ht="15.95" customHeight="1" x14ac:dyDescent="0.3">
      <c r="A21" s="129">
        <f t="shared" si="0"/>
        <v>50028</v>
      </c>
      <c r="B21" s="165"/>
      <c r="C21" s="1" t="s">
        <v>155</v>
      </c>
      <c r="D21" s="2" t="s">
        <v>619</v>
      </c>
      <c r="E21" s="1"/>
      <c r="F21" s="1" t="s">
        <v>650</v>
      </c>
      <c r="G21" s="15" t="s">
        <v>58</v>
      </c>
      <c r="H21" s="15"/>
      <c r="I21" s="15"/>
      <c r="J21" s="1">
        <v>2</v>
      </c>
      <c r="K21" s="47">
        <v>1</v>
      </c>
    </row>
    <row r="22" spans="1:12" s="46" customFormat="1" ht="15.95" customHeight="1" x14ac:dyDescent="0.3">
      <c r="A22" s="129">
        <f t="shared" si="0"/>
        <v>50030</v>
      </c>
      <c r="B22" s="165"/>
      <c r="C22" s="1" t="s">
        <v>156</v>
      </c>
      <c r="D22" s="2" t="s">
        <v>620</v>
      </c>
      <c r="E22" s="1"/>
      <c r="F22" s="1" t="s">
        <v>650</v>
      </c>
      <c r="G22" s="15" t="s">
        <v>58</v>
      </c>
      <c r="H22" s="15"/>
      <c r="I22" s="15"/>
      <c r="J22" s="1">
        <v>2</v>
      </c>
      <c r="K22" s="1">
        <v>1</v>
      </c>
    </row>
    <row r="23" spans="1:12" s="46" customFormat="1" ht="15.95" customHeight="1" x14ac:dyDescent="0.3">
      <c r="A23" s="129">
        <f t="shared" si="0"/>
        <v>50032</v>
      </c>
      <c r="B23" s="165"/>
      <c r="C23" s="108" t="s">
        <v>1188</v>
      </c>
      <c r="D23" s="2" t="s">
        <v>1189</v>
      </c>
      <c r="E23" s="1"/>
      <c r="F23" s="1" t="s">
        <v>650</v>
      </c>
      <c r="G23" s="15" t="s">
        <v>58</v>
      </c>
      <c r="H23" s="15"/>
      <c r="I23" s="15"/>
      <c r="J23" s="1">
        <v>2</v>
      </c>
      <c r="K23" s="1">
        <v>1</v>
      </c>
    </row>
    <row r="24" spans="1:12" s="46" customFormat="1" ht="15.95" customHeight="1" x14ac:dyDescent="0.3">
      <c r="A24" s="129">
        <f t="shared" si="0"/>
        <v>50034</v>
      </c>
      <c r="B24" s="165"/>
      <c r="C24" s="108" t="s">
        <v>718</v>
      </c>
      <c r="D24" s="2"/>
      <c r="E24" s="1"/>
      <c r="F24" s="1" t="s">
        <v>650</v>
      </c>
      <c r="G24" s="15" t="s">
        <v>58</v>
      </c>
      <c r="H24" s="15"/>
      <c r="I24" s="15"/>
      <c r="J24" s="1">
        <v>2</v>
      </c>
      <c r="K24" s="1">
        <v>1</v>
      </c>
    </row>
    <row r="25" spans="1:12" s="46" customFormat="1" ht="15.95" customHeight="1" x14ac:dyDescent="0.3">
      <c r="A25" s="129">
        <f t="shared" si="0"/>
        <v>50036</v>
      </c>
      <c r="B25" s="165"/>
      <c r="C25" s="108" t="s">
        <v>719</v>
      </c>
      <c r="D25" s="2"/>
      <c r="E25" s="1"/>
      <c r="F25" s="1" t="s">
        <v>650</v>
      </c>
      <c r="G25" s="15" t="s">
        <v>58</v>
      </c>
      <c r="H25" s="15"/>
      <c r="I25" s="15"/>
      <c r="J25" s="1">
        <v>2</v>
      </c>
      <c r="K25" s="1">
        <v>1</v>
      </c>
    </row>
    <row r="26" spans="1:12" s="46" customFormat="1" ht="15.95" customHeight="1" x14ac:dyDescent="0.3">
      <c r="A26" s="129">
        <f t="shared" si="0"/>
        <v>50038</v>
      </c>
      <c r="B26" s="165"/>
      <c r="C26" s="108" t="s">
        <v>720</v>
      </c>
      <c r="D26" s="2"/>
      <c r="E26" s="1"/>
      <c r="F26" s="1" t="s">
        <v>650</v>
      </c>
      <c r="G26" s="15" t="s">
        <v>58</v>
      </c>
      <c r="H26" s="15"/>
      <c r="I26" s="15"/>
      <c r="J26" s="1">
        <v>2</v>
      </c>
      <c r="K26" s="1">
        <v>1</v>
      </c>
    </row>
    <row r="27" spans="1:12" s="46" customFormat="1" ht="15.95" customHeight="1" x14ac:dyDescent="0.3">
      <c r="A27" s="146">
        <f t="shared" si="0"/>
        <v>50040</v>
      </c>
      <c r="B27" s="165"/>
      <c r="C27" s="108" t="s">
        <v>1190</v>
      </c>
      <c r="D27" s="2" t="s">
        <v>1191</v>
      </c>
      <c r="E27" s="1"/>
      <c r="F27" s="1" t="s">
        <v>650</v>
      </c>
      <c r="G27" s="15" t="s">
        <v>58</v>
      </c>
      <c r="H27" s="15"/>
      <c r="I27" s="15"/>
      <c r="J27" s="1">
        <v>2</v>
      </c>
      <c r="K27" s="1">
        <v>1</v>
      </c>
    </row>
    <row r="28" spans="1:12" s="46" customFormat="1" ht="15.95" customHeight="1" x14ac:dyDescent="0.3">
      <c r="A28" s="146">
        <f t="shared" si="0"/>
        <v>50042</v>
      </c>
      <c r="B28" s="165"/>
      <c r="C28" s="100" t="s">
        <v>174</v>
      </c>
      <c r="D28" s="2"/>
      <c r="E28" s="1"/>
      <c r="F28" s="1" t="s">
        <v>650</v>
      </c>
      <c r="G28" s="15" t="s">
        <v>58</v>
      </c>
      <c r="H28" s="15"/>
      <c r="I28" s="15"/>
      <c r="J28" s="1">
        <v>2</v>
      </c>
      <c r="K28" s="1">
        <v>1</v>
      </c>
    </row>
    <row r="29" spans="1:12" s="46" customFormat="1" ht="15.95" customHeight="1" x14ac:dyDescent="0.3">
      <c r="A29" s="146">
        <f t="shared" si="0"/>
        <v>50044</v>
      </c>
      <c r="B29" s="165"/>
      <c r="C29" s="100" t="s">
        <v>175</v>
      </c>
      <c r="D29" s="2"/>
      <c r="E29" s="1"/>
      <c r="F29" s="1" t="s">
        <v>650</v>
      </c>
      <c r="G29" s="15" t="s">
        <v>58</v>
      </c>
      <c r="H29" s="15"/>
      <c r="I29" s="15"/>
      <c r="J29" s="1">
        <v>2</v>
      </c>
      <c r="K29" s="1">
        <v>1</v>
      </c>
    </row>
    <row r="30" spans="1:12" s="46" customFormat="1" ht="15.95" customHeight="1" x14ac:dyDescent="0.3">
      <c r="A30" s="146">
        <f t="shared" si="0"/>
        <v>50046</v>
      </c>
      <c r="B30" s="165"/>
      <c r="C30" s="100" t="s">
        <v>176</v>
      </c>
      <c r="D30" s="2"/>
      <c r="E30" s="1"/>
      <c r="F30" s="1" t="s">
        <v>650</v>
      </c>
      <c r="G30" s="15" t="s">
        <v>58</v>
      </c>
      <c r="H30" s="15"/>
      <c r="I30" s="15"/>
      <c r="J30" s="1">
        <v>2</v>
      </c>
      <c r="K30" s="1">
        <v>1</v>
      </c>
    </row>
    <row r="31" spans="1:12" s="46" customFormat="1" ht="15.95" customHeight="1" x14ac:dyDescent="0.3">
      <c r="A31" s="146">
        <f t="shared" si="0"/>
        <v>50048</v>
      </c>
      <c r="B31" s="165"/>
      <c r="C31" s="108" t="s">
        <v>651</v>
      </c>
      <c r="D31" s="2" t="s">
        <v>674</v>
      </c>
      <c r="E31" s="1" t="s">
        <v>723</v>
      </c>
      <c r="F31" s="1" t="s">
        <v>650</v>
      </c>
      <c r="G31" s="15" t="s">
        <v>58</v>
      </c>
      <c r="H31" s="15"/>
      <c r="I31" s="15"/>
      <c r="J31" s="1">
        <v>2</v>
      </c>
      <c r="K31" s="47">
        <v>1</v>
      </c>
    </row>
    <row r="32" spans="1:12" s="46" customFormat="1" ht="15.95" customHeight="1" x14ac:dyDescent="0.3">
      <c r="A32" s="146">
        <f t="shared" si="0"/>
        <v>50050</v>
      </c>
      <c r="B32" s="165"/>
      <c r="C32" s="108" t="s">
        <v>1</v>
      </c>
      <c r="D32" s="2" t="s">
        <v>705</v>
      </c>
      <c r="E32" s="1"/>
      <c r="F32" s="1" t="s">
        <v>650</v>
      </c>
      <c r="G32" s="15" t="s">
        <v>58</v>
      </c>
      <c r="H32" s="15"/>
      <c r="I32" s="15"/>
      <c r="J32" s="1">
        <v>2</v>
      </c>
      <c r="K32" s="1">
        <v>1</v>
      </c>
    </row>
    <row r="33" spans="1:11" s="46" customFormat="1" ht="15.95" customHeight="1" x14ac:dyDescent="0.3">
      <c r="A33" s="146">
        <f t="shared" si="0"/>
        <v>50052</v>
      </c>
      <c r="B33" s="165"/>
      <c r="C33" s="108" t="s">
        <v>2</v>
      </c>
      <c r="D33" s="2" t="s">
        <v>675</v>
      </c>
      <c r="E33" s="1"/>
      <c r="F33" s="1" t="s">
        <v>650</v>
      </c>
      <c r="G33" s="15" t="s">
        <v>58</v>
      </c>
      <c r="H33" s="15"/>
      <c r="I33" s="15"/>
      <c r="J33" s="1">
        <v>2</v>
      </c>
      <c r="K33" s="47">
        <v>1</v>
      </c>
    </row>
    <row r="34" spans="1:11" s="46" customFormat="1" ht="15.95" customHeight="1" x14ac:dyDescent="0.3">
      <c r="A34" s="146">
        <f t="shared" si="0"/>
        <v>50054</v>
      </c>
      <c r="B34" s="165"/>
      <c r="C34" s="108" t="s">
        <v>402</v>
      </c>
      <c r="D34" s="2" t="s">
        <v>1192</v>
      </c>
      <c r="E34" s="1"/>
      <c r="F34" s="1" t="s">
        <v>650</v>
      </c>
      <c r="G34" s="15" t="s">
        <v>58</v>
      </c>
      <c r="H34" s="15"/>
      <c r="I34" s="15"/>
      <c r="J34" s="1">
        <v>2</v>
      </c>
      <c r="K34" s="47">
        <v>1</v>
      </c>
    </row>
    <row r="35" spans="1:11" s="46" customFormat="1" ht="15.95" customHeight="1" x14ac:dyDescent="0.3">
      <c r="A35" s="146">
        <f t="shared" si="0"/>
        <v>50056</v>
      </c>
      <c r="B35" s="165"/>
      <c r="C35" s="108" t="s">
        <v>122</v>
      </c>
      <c r="D35" s="2" t="s">
        <v>597</v>
      </c>
      <c r="E35" s="1"/>
      <c r="F35" s="1" t="s">
        <v>650</v>
      </c>
      <c r="G35" s="15" t="s">
        <v>58</v>
      </c>
      <c r="H35" s="15"/>
      <c r="I35" s="15"/>
      <c r="J35" s="1">
        <v>2</v>
      </c>
      <c r="K35" s="47">
        <v>1</v>
      </c>
    </row>
    <row r="36" spans="1:11" s="46" customFormat="1" ht="15.95" customHeight="1" x14ac:dyDescent="0.3">
      <c r="A36" s="146">
        <f t="shared" si="0"/>
        <v>50058</v>
      </c>
      <c r="B36" s="165"/>
      <c r="C36" s="100" t="s">
        <v>191</v>
      </c>
      <c r="D36" s="2"/>
      <c r="E36" s="1"/>
      <c r="F36" s="1" t="s">
        <v>650</v>
      </c>
      <c r="G36" s="15" t="s">
        <v>58</v>
      </c>
      <c r="H36" s="15"/>
      <c r="I36" s="15"/>
      <c r="J36" s="1">
        <v>2</v>
      </c>
      <c r="K36" s="47">
        <v>1</v>
      </c>
    </row>
    <row r="37" spans="1:11" s="46" customFormat="1" ht="15.95" customHeight="1" x14ac:dyDescent="0.3">
      <c r="A37" s="146">
        <f t="shared" si="0"/>
        <v>50060</v>
      </c>
      <c r="B37" s="165"/>
      <c r="C37" s="100" t="s">
        <v>192</v>
      </c>
      <c r="D37" s="2"/>
      <c r="E37" s="1"/>
      <c r="F37" s="1" t="s">
        <v>650</v>
      </c>
      <c r="G37" s="15" t="s">
        <v>58</v>
      </c>
      <c r="H37" s="15"/>
      <c r="I37" s="15"/>
      <c r="J37" s="1">
        <v>2</v>
      </c>
      <c r="K37" s="47">
        <v>1</v>
      </c>
    </row>
    <row r="38" spans="1:11" s="46" customFormat="1" ht="15.95" customHeight="1" x14ac:dyDescent="0.3">
      <c r="A38" s="146">
        <f t="shared" si="0"/>
        <v>50062</v>
      </c>
      <c r="B38" s="165"/>
      <c r="C38" s="100" t="s">
        <v>193</v>
      </c>
      <c r="D38" s="2"/>
      <c r="E38" s="1"/>
      <c r="F38" s="1" t="s">
        <v>650</v>
      </c>
      <c r="G38" s="15" t="s">
        <v>58</v>
      </c>
      <c r="H38" s="15"/>
      <c r="I38" s="15"/>
      <c r="J38" s="1">
        <v>2</v>
      </c>
      <c r="K38" s="47">
        <v>1</v>
      </c>
    </row>
    <row r="39" spans="1:11" s="46" customFormat="1" ht="15.95" customHeight="1" x14ac:dyDescent="0.3">
      <c r="A39" s="146">
        <f t="shared" si="0"/>
        <v>50064</v>
      </c>
      <c r="B39" s="165"/>
      <c r="C39" s="1" t="s">
        <v>712</v>
      </c>
      <c r="D39" s="2"/>
      <c r="E39" s="1" t="s">
        <v>724</v>
      </c>
      <c r="F39" s="1" t="s">
        <v>650</v>
      </c>
      <c r="G39" s="15" t="s">
        <v>58</v>
      </c>
      <c r="H39" s="15"/>
      <c r="I39" s="15"/>
      <c r="J39" s="1">
        <v>2</v>
      </c>
      <c r="K39" s="47">
        <v>1</v>
      </c>
    </row>
    <row r="40" spans="1:11" s="46" customFormat="1" ht="15.95" customHeight="1" x14ac:dyDescent="0.3">
      <c r="A40" s="146">
        <f t="shared" si="0"/>
        <v>50066</v>
      </c>
      <c r="B40" s="165"/>
      <c r="C40" s="1" t="s">
        <v>713</v>
      </c>
      <c r="D40" s="2"/>
      <c r="E40" s="1"/>
      <c r="F40" s="1" t="s">
        <v>650</v>
      </c>
      <c r="G40" s="15" t="s">
        <v>58</v>
      </c>
      <c r="H40" s="15"/>
      <c r="I40" s="15"/>
      <c r="J40" s="1">
        <v>2</v>
      </c>
      <c r="K40" s="47">
        <v>1</v>
      </c>
    </row>
    <row r="41" spans="1:11" s="46" customFormat="1" ht="15.95" customHeight="1" x14ac:dyDescent="0.3">
      <c r="A41" s="51">
        <f t="shared" si="0"/>
        <v>50068</v>
      </c>
      <c r="B41" s="165"/>
      <c r="C41" s="1" t="s">
        <v>714</v>
      </c>
      <c r="D41" s="2"/>
      <c r="E41" s="1"/>
      <c r="F41" s="1" t="s">
        <v>650</v>
      </c>
      <c r="G41" s="15" t="s">
        <v>58</v>
      </c>
      <c r="H41" s="15"/>
      <c r="I41" s="15"/>
      <c r="J41" s="1">
        <v>2</v>
      </c>
      <c r="K41" s="47">
        <v>1</v>
      </c>
    </row>
    <row r="42" spans="1:11" s="46" customFormat="1" ht="15.95" customHeight="1" x14ac:dyDescent="0.3">
      <c r="A42" s="51">
        <f t="shared" ref="A42:A70" si="1">A41+(J41*K41)</f>
        <v>50070</v>
      </c>
      <c r="B42" s="165"/>
      <c r="C42" s="1" t="s">
        <v>706</v>
      </c>
      <c r="D42" s="2"/>
      <c r="E42" s="1"/>
      <c r="F42" s="1" t="s">
        <v>650</v>
      </c>
      <c r="G42" s="15" t="s">
        <v>58</v>
      </c>
      <c r="H42" s="15"/>
      <c r="I42" s="15"/>
      <c r="J42" s="1">
        <v>2</v>
      </c>
      <c r="K42" s="1">
        <v>1</v>
      </c>
    </row>
    <row r="43" spans="1:11" ht="15.95" customHeight="1" x14ac:dyDescent="0.3">
      <c r="A43" s="51">
        <f t="shared" si="1"/>
        <v>50072</v>
      </c>
      <c r="B43" s="165"/>
      <c r="C43" s="1" t="s">
        <v>715</v>
      </c>
      <c r="D43" s="2"/>
      <c r="E43" s="1" t="s">
        <v>725</v>
      </c>
      <c r="F43" s="1" t="s">
        <v>650</v>
      </c>
      <c r="G43" s="15" t="s">
        <v>58</v>
      </c>
      <c r="H43" s="15"/>
      <c r="I43" s="15"/>
      <c r="J43" s="1">
        <v>2</v>
      </c>
      <c r="K43" s="1">
        <v>1</v>
      </c>
    </row>
    <row r="44" spans="1:11" ht="15.95" customHeight="1" x14ac:dyDescent="0.3">
      <c r="A44" s="51">
        <f t="shared" si="1"/>
        <v>50074</v>
      </c>
      <c r="B44" s="165"/>
      <c r="C44" s="1" t="s">
        <v>716</v>
      </c>
      <c r="D44" s="2"/>
      <c r="E44" s="1" t="s">
        <v>726</v>
      </c>
      <c r="F44" s="1" t="s">
        <v>650</v>
      </c>
      <c r="G44" s="15" t="s">
        <v>58</v>
      </c>
      <c r="H44" s="15"/>
      <c r="I44" s="15"/>
      <c r="J44" s="1">
        <v>2</v>
      </c>
      <c r="K44" s="1">
        <v>1</v>
      </c>
    </row>
    <row r="45" spans="1:11" ht="15.95" customHeight="1" x14ac:dyDescent="0.3">
      <c r="A45" s="51">
        <f t="shared" si="1"/>
        <v>50076</v>
      </c>
      <c r="B45" s="165"/>
      <c r="C45" s="1" t="s">
        <v>717</v>
      </c>
      <c r="D45" s="2"/>
      <c r="E45" s="1" t="s">
        <v>727</v>
      </c>
      <c r="F45" s="1" t="s">
        <v>650</v>
      </c>
      <c r="G45" s="15" t="s">
        <v>58</v>
      </c>
      <c r="H45" s="15"/>
      <c r="I45" s="15"/>
      <c r="J45" s="1">
        <v>2</v>
      </c>
      <c r="K45" s="1">
        <v>1</v>
      </c>
    </row>
    <row r="46" spans="1:11" s="46" customFormat="1" ht="15.95" customHeight="1" x14ac:dyDescent="0.3">
      <c r="A46" s="51">
        <f t="shared" si="1"/>
        <v>50078</v>
      </c>
      <c r="B46" s="165"/>
      <c r="C46" s="1" t="s">
        <v>709</v>
      </c>
      <c r="D46" s="2"/>
      <c r="E46" s="1" t="s">
        <v>728</v>
      </c>
      <c r="F46" s="1" t="s">
        <v>650</v>
      </c>
      <c r="G46" s="1" t="s">
        <v>145</v>
      </c>
      <c r="H46" s="1"/>
      <c r="I46" s="1"/>
      <c r="J46" s="1">
        <v>2</v>
      </c>
      <c r="K46" s="47">
        <v>1</v>
      </c>
    </row>
    <row r="47" spans="1:11" s="46" customFormat="1" ht="15.95" customHeight="1" x14ac:dyDescent="0.3">
      <c r="A47" s="51">
        <f t="shared" si="1"/>
        <v>50080</v>
      </c>
      <c r="B47" s="165"/>
      <c r="C47" s="1" t="s">
        <v>710</v>
      </c>
      <c r="D47" s="2"/>
      <c r="E47" s="1" t="s">
        <v>728</v>
      </c>
      <c r="F47" s="1" t="s">
        <v>650</v>
      </c>
      <c r="G47" s="1" t="s">
        <v>145</v>
      </c>
      <c r="H47" s="1"/>
      <c r="I47" s="1"/>
      <c r="J47" s="1">
        <v>2</v>
      </c>
      <c r="K47" s="47">
        <v>1</v>
      </c>
    </row>
    <row r="48" spans="1:11" s="46" customFormat="1" ht="15.95" customHeight="1" x14ac:dyDescent="0.3">
      <c r="A48" s="51">
        <f t="shared" si="1"/>
        <v>50082</v>
      </c>
      <c r="B48" s="165"/>
      <c r="C48" s="1" t="s">
        <v>711</v>
      </c>
      <c r="D48" s="2"/>
      <c r="E48" s="1" t="s">
        <v>728</v>
      </c>
      <c r="F48" s="1" t="s">
        <v>650</v>
      </c>
      <c r="G48" s="1" t="s">
        <v>208</v>
      </c>
      <c r="H48" s="1"/>
      <c r="I48" s="1"/>
      <c r="J48" s="1">
        <v>2</v>
      </c>
      <c r="K48" s="47">
        <v>1</v>
      </c>
    </row>
    <row r="49" spans="1:11" s="46" customFormat="1" ht="15.95" customHeight="1" x14ac:dyDescent="0.3">
      <c r="A49" s="51">
        <f t="shared" si="1"/>
        <v>50084</v>
      </c>
      <c r="B49" s="165"/>
      <c r="C49" s="1" t="s">
        <v>707</v>
      </c>
      <c r="D49" s="2"/>
      <c r="E49" s="1" t="s">
        <v>729</v>
      </c>
      <c r="F49" s="1" t="s">
        <v>650</v>
      </c>
      <c r="G49" s="1" t="s">
        <v>208</v>
      </c>
      <c r="H49" s="1"/>
      <c r="I49" s="1"/>
      <c r="J49" s="1">
        <v>2</v>
      </c>
      <c r="K49" s="47">
        <v>1</v>
      </c>
    </row>
    <row r="50" spans="1:11" s="46" customFormat="1" ht="15.95" customHeight="1" x14ac:dyDescent="0.3">
      <c r="A50" s="51">
        <f t="shared" si="1"/>
        <v>50086</v>
      </c>
      <c r="B50" s="165"/>
      <c r="C50" s="1" t="s">
        <v>708</v>
      </c>
      <c r="D50" s="2"/>
      <c r="E50" s="1" t="s">
        <v>730</v>
      </c>
      <c r="F50" s="1" t="s">
        <v>650</v>
      </c>
      <c r="G50" s="1" t="s">
        <v>208</v>
      </c>
      <c r="H50" s="1"/>
      <c r="I50" s="1"/>
      <c r="J50" s="1">
        <v>2</v>
      </c>
      <c r="K50" s="47">
        <v>1</v>
      </c>
    </row>
    <row r="51" spans="1:11" ht="15.95" customHeight="1" x14ac:dyDescent="0.3">
      <c r="A51" s="51">
        <f t="shared" si="1"/>
        <v>50088</v>
      </c>
      <c r="B51" s="165"/>
      <c r="C51" s="1" t="s">
        <v>733</v>
      </c>
      <c r="D51" s="2"/>
      <c r="E51" s="1" t="s">
        <v>731</v>
      </c>
      <c r="F51" s="1" t="s">
        <v>650</v>
      </c>
      <c r="G51" s="15" t="s">
        <v>58</v>
      </c>
      <c r="H51" s="15"/>
      <c r="I51" s="15"/>
      <c r="J51" s="1">
        <v>2</v>
      </c>
      <c r="K51" s="1">
        <v>1</v>
      </c>
    </row>
    <row r="52" spans="1:11" ht="15.95" customHeight="1" x14ac:dyDescent="0.3">
      <c r="A52" s="51">
        <f t="shared" si="1"/>
        <v>50090</v>
      </c>
      <c r="B52" s="165"/>
      <c r="C52" s="1" t="s">
        <v>734</v>
      </c>
      <c r="D52" s="2"/>
      <c r="E52" s="1" t="s">
        <v>727</v>
      </c>
      <c r="F52" s="1" t="s">
        <v>650</v>
      </c>
      <c r="G52" s="15" t="s">
        <v>58</v>
      </c>
      <c r="H52" s="15"/>
      <c r="I52" s="15"/>
      <c r="J52" s="1">
        <v>2</v>
      </c>
      <c r="K52" s="1">
        <v>1</v>
      </c>
    </row>
    <row r="53" spans="1:11" ht="15.95" customHeight="1" x14ac:dyDescent="0.3">
      <c r="A53" s="51">
        <f t="shared" si="1"/>
        <v>50092</v>
      </c>
      <c r="B53" s="165"/>
      <c r="C53" s="1" t="s">
        <v>652</v>
      </c>
      <c r="D53" s="2" t="s">
        <v>676</v>
      </c>
      <c r="E53" s="1" t="s">
        <v>732</v>
      </c>
      <c r="F53" s="1" t="s">
        <v>650</v>
      </c>
      <c r="G53" s="15" t="s">
        <v>58</v>
      </c>
      <c r="H53" s="15"/>
      <c r="I53" s="15"/>
      <c r="J53" s="1">
        <v>2</v>
      </c>
      <c r="K53" s="1">
        <v>1</v>
      </c>
    </row>
    <row r="54" spans="1:11" ht="15.95" customHeight="1" x14ac:dyDescent="0.3">
      <c r="A54" s="51">
        <f t="shared" si="1"/>
        <v>50094</v>
      </c>
      <c r="B54" s="165"/>
      <c r="C54" s="1" t="s">
        <v>19</v>
      </c>
      <c r="D54" s="2" t="s">
        <v>677</v>
      </c>
      <c r="E54" s="1" t="s">
        <v>727</v>
      </c>
      <c r="F54" s="1" t="s">
        <v>650</v>
      </c>
      <c r="G54" s="15" t="s">
        <v>58</v>
      </c>
      <c r="H54" s="15"/>
      <c r="I54" s="15"/>
      <c r="J54" s="1">
        <v>2</v>
      </c>
      <c r="K54" s="47">
        <v>1</v>
      </c>
    </row>
    <row r="55" spans="1:11" ht="15.95" customHeight="1" x14ac:dyDescent="0.3">
      <c r="A55" s="51">
        <f t="shared" si="1"/>
        <v>50096</v>
      </c>
      <c r="B55" s="165"/>
      <c r="C55" s="1" t="s">
        <v>20</v>
      </c>
      <c r="D55" s="2" t="s">
        <v>678</v>
      </c>
      <c r="E55" s="1" t="s">
        <v>732</v>
      </c>
      <c r="F55" s="1" t="s">
        <v>650</v>
      </c>
      <c r="G55" s="15" t="s">
        <v>58</v>
      </c>
      <c r="H55" s="15"/>
      <c r="I55" s="15"/>
      <c r="J55" s="1">
        <v>2</v>
      </c>
      <c r="K55" s="1">
        <v>1</v>
      </c>
    </row>
    <row r="56" spans="1:11" ht="15.95" customHeight="1" x14ac:dyDescent="0.3">
      <c r="A56" s="51">
        <f t="shared" si="1"/>
        <v>50098</v>
      </c>
      <c r="B56" s="165"/>
      <c r="C56" s="1" t="s">
        <v>242</v>
      </c>
      <c r="D56" s="2" t="s">
        <v>679</v>
      </c>
      <c r="E56" s="1" t="s">
        <v>727</v>
      </c>
      <c r="F56" s="1" t="s">
        <v>650</v>
      </c>
      <c r="G56" s="15" t="s">
        <v>58</v>
      </c>
      <c r="H56" s="15"/>
      <c r="I56" s="15"/>
      <c r="J56" s="1">
        <v>2</v>
      </c>
      <c r="K56" s="47">
        <v>1</v>
      </c>
    </row>
    <row r="57" spans="1:11" ht="15.95" customHeight="1" x14ac:dyDescent="0.3">
      <c r="A57" s="51">
        <f t="shared" si="1"/>
        <v>50100</v>
      </c>
      <c r="B57" s="165"/>
      <c r="C57" s="1" t="s">
        <v>25</v>
      </c>
      <c r="D57" s="2" t="s">
        <v>680</v>
      </c>
      <c r="E57" s="1" t="s">
        <v>732</v>
      </c>
      <c r="F57" s="1" t="s">
        <v>650</v>
      </c>
      <c r="G57" s="15" t="s">
        <v>58</v>
      </c>
      <c r="H57" s="15"/>
      <c r="I57" s="15"/>
      <c r="J57" s="1">
        <v>2</v>
      </c>
      <c r="K57" s="1">
        <v>1</v>
      </c>
    </row>
    <row r="58" spans="1:11" ht="15.95" customHeight="1" x14ac:dyDescent="0.3">
      <c r="A58" s="51">
        <f t="shared" si="1"/>
        <v>50102</v>
      </c>
      <c r="B58" s="165"/>
      <c r="C58" s="1" t="s">
        <v>26</v>
      </c>
      <c r="D58" s="2" t="s">
        <v>681</v>
      </c>
      <c r="E58" s="1" t="s">
        <v>727</v>
      </c>
      <c r="F58" s="1" t="s">
        <v>650</v>
      </c>
      <c r="G58" s="15" t="s">
        <v>58</v>
      </c>
      <c r="H58" s="15"/>
      <c r="I58" s="15"/>
      <c r="J58" s="1">
        <v>2</v>
      </c>
      <c r="K58" s="47">
        <v>1</v>
      </c>
    </row>
    <row r="59" spans="1:11" ht="15.95" customHeight="1" x14ac:dyDescent="0.3">
      <c r="A59" s="51">
        <f t="shared" si="1"/>
        <v>50104</v>
      </c>
      <c r="B59" s="165"/>
      <c r="C59" s="1" t="s">
        <v>653</v>
      </c>
      <c r="D59" s="2" t="s">
        <v>682</v>
      </c>
      <c r="E59" s="1" t="s">
        <v>732</v>
      </c>
      <c r="F59" s="1" t="s">
        <v>650</v>
      </c>
      <c r="G59" s="15" t="s">
        <v>58</v>
      </c>
      <c r="H59" s="15"/>
      <c r="I59" s="15"/>
      <c r="J59" s="1">
        <v>2</v>
      </c>
      <c r="K59" s="1">
        <v>1</v>
      </c>
    </row>
    <row r="60" spans="1:11" ht="15.95" customHeight="1" x14ac:dyDescent="0.3">
      <c r="A60" s="143">
        <f t="shared" si="1"/>
        <v>50106</v>
      </c>
      <c r="B60" s="165"/>
      <c r="C60" s="1" t="s">
        <v>28</v>
      </c>
      <c r="D60" s="2" t="s">
        <v>683</v>
      </c>
      <c r="E60" s="1" t="s">
        <v>727</v>
      </c>
      <c r="F60" s="1" t="s">
        <v>650</v>
      </c>
      <c r="G60" s="15" t="s">
        <v>58</v>
      </c>
      <c r="H60" s="15"/>
      <c r="I60" s="15"/>
      <c r="J60" s="1">
        <v>2</v>
      </c>
      <c r="K60" s="47">
        <v>1</v>
      </c>
    </row>
    <row r="61" spans="1:11" ht="15.95" customHeight="1" x14ac:dyDescent="0.3">
      <c r="A61" s="143">
        <f t="shared" si="1"/>
        <v>50108</v>
      </c>
      <c r="B61" s="165"/>
      <c r="C61" s="1" t="s">
        <v>29</v>
      </c>
      <c r="D61" s="2" t="s">
        <v>684</v>
      </c>
      <c r="E61" s="1" t="s">
        <v>732</v>
      </c>
      <c r="F61" s="1" t="s">
        <v>650</v>
      </c>
      <c r="G61" s="15" t="s">
        <v>58</v>
      </c>
      <c r="H61" s="15"/>
      <c r="I61" s="15"/>
      <c r="J61" s="1">
        <v>2</v>
      </c>
      <c r="K61" s="1">
        <v>1</v>
      </c>
    </row>
    <row r="62" spans="1:11" ht="15.95" customHeight="1" x14ac:dyDescent="0.3">
      <c r="A62" s="143">
        <f t="shared" si="1"/>
        <v>50110</v>
      </c>
      <c r="B62" s="166"/>
      <c r="C62" s="108" t="s">
        <v>654</v>
      </c>
      <c r="D62" s="152"/>
      <c r="E62" s="108"/>
      <c r="F62" s="108" t="s">
        <v>650</v>
      </c>
      <c r="G62" s="143" t="s">
        <v>58</v>
      </c>
      <c r="H62" s="143"/>
      <c r="I62" s="143"/>
      <c r="J62" s="108">
        <v>2</v>
      </c>
      <c r="K62" s="157">
        <v>5</v>
      </c>
    </row>
    <row r="63" spans="1:11" ht="13.5" customHeight="1" x14ac:dyDescent="0.3">
      <c r="A63" s="143">
        <f t="shared" si="1"/>
        <v>50120</v>
      </c>
      <c r="B63" s="50" t="s">
        <v>735</v>
      </c>
      <c r="C63" s="108"/>
      <c r="D63" s="152"/>
      <c r="E63" s="108"/>
      <c r="F63" s="108" t="s">
        <v>650</v>
      </c>
      <c r="G63" s="143" t="s">
        <v>58</v>
      </c>
      <c r="H63" s="143"/>
      <c r="I63" s="143"/>
      <c r="J63" s="108">
        <v>1</v>
      </c>
      <c r="K63" s="157">
        <v>100</v>
      </c>
    </row>
    <row r="64" spans="1:11" ht="13.5" customHeight="1" x14ac:dyDescent="0.3">
      <c r="A64" s="143">
        <f t="shared" si="1"/>
        <v>50220</v>
      </c>
      <c r="B64" s="50" t="s">
        <v>737</v>
      </c>
      <c r="C64" s="108"/>
      <c r="D64" s="152"/>
      <c r="E64" s="108"/>
      <c r="F64" s="108" t="s">
        <v>650</v>
      </c>
      <c r="G64" s="143" t="s">
        <v>58</v>
      </c>
      <c r="H64" s="143"/>
      <c r="I64" s="143"/>
      <c r="J64" s="108">
        <v>1</v>
      </c>
      <c r="K64" s="157">
        <v>100</v>
      </c>
    </row>
    <row r="65" spans="1:11" ht="13.5" customHeight="1" x14ac:dyDescent="0.3">
      <c r="A65" s="143">
        <f t="shared" si="1"/>
        <v>50320</v>
      </c>
      <c r="B65" s="50" t="s">
        <v>562</v>
      </c>
      <c r="C65" s="1"/>
      <c r="D65" s="2"/>
      <c r="E65" s="1"/>
      <c r="F65" s="1" t="s">
        <v>650</v>
      </c>
      <c r="G65" s="15" t="s">
        <v>58</v>
      </c>
      <c r="H65" s="15"/>
      <c r="I65" s="15"/>
      <c r="J65" s="1">
        <v>1</v>
      </c>
      <c r="K65" s="157">
        <v>100</v>
      </c>
    </row>
    <row r="66" spans="1:11" ht="13.5" customHeight="1" x14ac:dyDescent="0.3">
      <c r="A66" s="143">
        <f t="shared" si="1"/>
        <v>50420</v>
      </c>
      <c r="B66" s="54" t="s">
        <v>563</v>
      </c>
      <c r="C66" s="1"/>
      <c r="D66" s="2"/>
      <c r="E66" s="1"/>
      <c r="F66" s="1" t="s">
        <v>650</v>
      </c>
      <c r="G66" s="15" t="s">
        <v>58</v>
      </c>
      <c r="H66" s="15"/>
      <c r="I66" s="15"/>
      <c r="J66" s="1">
        <v>1</v>
      </c>
      <c r="K66" s="157">
        <v>100</v>
      </c>
    </row>
    <row r="67" spans="1:11" ht="13.5" customHeight="1" x14ac:dyDescent="0.3">
      <c r="A67" s="53">
        <f t="shared" si="1"/>
        <v>50520</v>
      </c>
      <c r="B67" s="54" t="s">
        <v>564</v>
      </c>
      <c r="C67" s="1"/>
      <c r="D67" s="2"/>
      <c r="E67" s="1"/>
      <c r="F67" s="1" t="s">
        <v>650</v>
      </c>
      <c r="G67" s="15" t="s">
        <v>58</v>
      </c>
      <c r="H67" s="15"/>
      <c r="I67" s="15"/>
      <c r="J67" s="1">
        <v>1</v>
      </c>
      <c r="K67" s="157">
        <v>100</v>
      </c>
    </row>
    <row r="68" spans="1:11" ht="13.5" customHeight="1" x14ac:dyDescent="0.3">
      <c r="A68" s="53">
        <f t="shared" si="1"/>
        <v>50620</v>
      </c>
      <c r="B68" s="54" t="s">
        <v>565</v>
      </c>
      <c r="C68" s="1"/>
      <c r="D68" s="2"/>
      <c r="E68" s="1"/>
      <c r="F68" s="1" t="s">
        <v>650</v>
      </c>
      <c r="G68" s="15" t="s">
        <v>58</v>
      </c>
      <c r="H68" s="15"/>
      <c r="I68" s="15"/>
      <c r="J68" s="1">
        <v>1</v>
      </c>
      <c r="K68" s="157">
        <v>100</v>
      </c>
    </row>
    <row r="69" spans="1:11" ht="13.5" customHeight="1" x14ac:dyDescent="0.3">
      <c r="A69" s="53">
        <f t="shared" si="1"/>
        <v>50720</v>
      </c>
      <c r="B69" s="54" t="s">
        <v>566</v>
      </c>
      <c r="C69" s="1"/>
      <c r="D69" s="2"/>
      <c r="E69" s="1"/>
      <c r="F69" s="1" t="s">
        <v>650</v>
      </c>
      <c r="G69" s="15" t="s">
        <v>58</v>
      </c>
      <c r="H69" s="15"/>
      <c r="I69" s="15"/>
      <c r="J69" s="1">
        <v>1</v>
      </c>
      <c r="K69" s="157">
        <v>100</v>
      </c>
    </row>
    <row r="70" spans="1:11" ht="13.5" customHeight="1" x14ac:dyDescent="0.3">
      <c r="A70" s="53">
        <f t="shared" si="1"/>
        <v>50820</v>
      </c>
      <c r="B70" s="54" t="s">
        <v>567</v>
      </c>
      <c r="C70" s="1"/>
      <c r="D70" s="2"/>
      <c r="E70" s="1"/>
      <c r="F70" s="1" t="s">
        <v>650</v>
      </c>
      <c r="G70" s="15" t="s">
        <v>58</v>
      </c>
      <c r="H70" s="15"/>
      <c r="I70" s="15"/>
      <c r="J70" s="1">
        <v>1</v>
      </c>
      <c r="K70" s="157">
        <v>100</v>
      </c>
    </row>
    <row r="71" spans="1:11" ht="13.5" customHeight="1" x14ac:dyDescent="0.3">
      <c r="A71" s="162" t="s">
        <v>739</v>
      </c>
      <c r="B71" s="162"/>
      <c r="C71" s="162"/>
      <c r="D71" s="162"/>
      <c r="E71" s="162"/>
      <c r="F71" s="162"/>
      <c r="G71" s="162"/>
      <c r="H71" s="162"/>
      <c r="I71" s="162"/>
      <c r="J71" s="162"/>
      <c r="K71" s="162"/>
    </row>
    <row r="72" spans="1:11" ht="13.5" customHeight="1" x14ac:dyDescent="0.3">
      <c r="A72" s="51">
        <f>A70+(J70*K70)</f>
        <v>50920</v>
      </c>
      <c r="B72" s="164" t="s">
        <v>738</v>
      </c>
      <c r="C72" s="9" t="s">
        <v>94</v>
      </c>
      <c r="D72" s="51" t="s">
        <v>744</v>
      </c>
      <c r="E72" s="51"/>
      <c r="F72" s="1" t="s">
        <v>740</v>
      </c>
      <c r="G72" s="15" t="s">
        <v>114</v>
      </c>
      <c r="H72" s="15"/>
      <c r="I72" s="15"/>
      <c r="J72" s="15">
        <f>IF(OR(G72="U16", G72="S16"),1,IF(G72="TS",6,2))</f>
        <v>1</v>
      </c>
      <c r="K72" s="51">
        <v>41</v>
      </c>
    </row>
    <row r="73" spans="1:11" ht="13.5" customHeight="1" x14ac:dyDescent="0.3">
      <c r="A73" s="51">
        <f t="shared" ref="A73:A85" si="2">A72+(J72*K72)</f>
        <v>50961</v>
      </c>
      <c r="B73" s="165"/>
      <c r="C73" s="9" t="s">
        <v>95</v>
      </c>
      <c r="D73" s="51"/>
      <c r="E73" s="51"/>
      <c r="F73" s="51" t="s">
        <v>741</v>
      </c>
      <c r="G73" s="15" t="s">
        <v>114</v>
      </c>
      <c r="H73" s="15"/>
      <c r="I73" s="15"/>
      <c r="J73" s="15">
        <f>IF(OR(G73="U16", G73="S16"),1,IF(G73="TS",6,2))</f>
        <v>1</v>
      </c>
      <c r="K73" s="51">
        <v>41</v>
      </c>
    </row>
    <row r="74" spans="1:11" ht="13.5" customHeight="1" x14ac:dyDescent="0.3">
      <c r="A74" s="51">
        <f t="shared" si="2"/>
        <v>51002</v>
      </c>
      <c r="B74" s="165"/>
      <c r="C74" s="9" t="s">
        <v>96</v>
      </c>
      <c r="D74" s="51"/>
      <c r="E74" s="51"/>
      <c r="F74" s="1" t="s">
        <v>650</v>
      </c>
      <c r="G74" s="15" t="s">
        <v>742</v>
      </c>
      <c r="H74" s="15"/>
      <c r="I74" s="15"/>
      <c r="J74" s="15">
        <f>IF(OR(G74="U16", G74="S16"),1,IF(G74="TS",6,2))</f>
        <v>1</v>
      </c>
      <c r="K74" s="51">
        <v>41</v>
      </c>
    </row>
    <row r="75" spans="1:11" ht="13.5" customHeight="1" x14ac:dyDescent="0.3">
      <c r="A75" s="51">
        <f t="shared" si="2"/>
        <v>51043</v>
      </c>
      <c r="B75" s="165"/>
      <c r="C75" s="9" t="s">
        <v>100</v>
      </c>
      <c r="D75" s="51"/>
      <c r="E75" s="51"/>
      <c r="F75" s="51" t="s">
        <v>650</v>
      </c>
      <c r="G75" s="15" t="s">
        <v>742</v>
      </c>
      <c r="H75" s="15"/>
      <c r="I75" s="15"/>
      <c r="J75" s="15">
        <f t="shared" ref="J75:J77" si="3">IF(OR(G75="U16", G75="S16"),1,IF(G75="TS",6,2))</f>
        <v>1</v>
      </c>
      <c r="K75" s="51">
        <v>41</v>
      </c>
    </row>
    <row r="76" spans="1:11" ht="13.5" customHeight="1" x14ac:dyDescent="0.3">
      <c r="A76" s="51">
        <f t="shared" si="2"/>
        <v>51084</v>
      </c>
      <c r="B76" s="165"/>
      <c r="C76" s="9" t="s">
        <v>101</v>
      </c>
      <c r="D76" s="51"/>
      <c r="E76" s="51"/>
      <c r="F76" s="1" t="s">
        <v>650</v>
      </c>
      <c r="G76" s="15" t="s">
        <v>742</v>
      </c>
      <c r="H76" s="15"/>
      <c r="I76" s="15"/>
      <c r="J76" s="15">
        <f t="shared" si="3"/>
        <v>1</v>
      </c>
      <c r="K76" s="51">
        <v>41</v>
      </c>
    </row>
    <row r="77" spans="1:11" ht="13.5" customHeight="1" x14ac:dyDescent="0.3">
      <c r="A77" s="51">
        <f t="shared" si="2"/>
        <v>51125</v>
      </c>
      <c r="B77" s="166"/>
      <c r="C77" s="9" t="s">
        <v>102</v>
      </c>
      <c r="D77" s="51"/>
      <c r="E77" s="51"/>
      <c r="F77" s="51" t="s">
        <v>650</v>
      </c>
      <c r="G77" s="15" t="s">
        <v>742</v>
      </c>
      <c r="H77" s="15"/>
      <c r="I77" s="15"/>
      <c r="J77" s="15">
        <f t="shared" si="3"/>
        <v>1</v>
      </c>
      <c r="K77" s="51">
        <v>41</v>
      </c>
    </row>
    <row r="78" spans="1:11" ht="13.5" customHeight="1" x14ac:dyDescent="0.3">
      <c r="A78" s="51">
        <f t="shared" si="2"/>
        <v>51166</v>
      </c>
      <c r="B78" s="51" t="s">
        <v>735</v>
      </c>
      <c r="C78" s="9"/>
      <c r="D78" s="51"/>
      <c r="E78" s="51"/>
      <c r="F78" s="1"/>
      <c r="G78" s="15"/>
      <c r="H78" s="15"/>
      <c r="I78" s="15"/>
      <c r="J78" s="15">
        <v>1</v>
      </c>
      <c r="K78" s="51">
        <v>246</v>
      </c>
    </row>
    <row r="79" spans="1:11" ht="13.5" customHeight="1" x14ac:dyDescent="0.3">
      <c r="A79" s="51">
        <f t="shared" si="2"/>
        <v>51412</v>
      </c>
      <c r="B79" s="51" t="s">
        <v>743</v>
      </c>
      <c r="C79" s="9"/>
      <c r="D79" s="51"/>
      <c r="E79" s="51"/>
      <c r="F79" s="51"/>
      <c r="G79" s="15"/>
      <c r="H79" s="15"/>
      <c r="I79" s="15"/>
      <c r="J79" s="15">
        <v>1</v>
      </c>
      <c r="K79" s="51">
        <v>246</v>
      </c>
    </row>
    <row r="80" spans="1:11" ht="13.5" customHeight="1" x14ac:dyDescent="0.3">
      <c r="A80" s="51">
        <f t="shared" si="2"/>
        <v>51658</v>
      </c>
      <c r="B80" s="51" t="s">
        <v>562</v>
      </c>
      <c r="C80" s="9"/>
      <c r="D80" s="51"/>
      <c r="E80" s="51"/>
      <c r="F80" s="1"/>
      <c r="G80" s="15"/>
      <c r="H80" s="15"/>
      <c r="I80" s="15"/>
      <c r="J80" s="15">
        <v>1</v>
      </c>
      <c r="K80" s="51">
        <v>246</v>
      </c>
    </row>
    <row r="81" spans="1:11" ht="13.5" customHeight="1" x14ac:dyDescent="0.3">
      <c r="A81" s="51">
        <f t="shared" si="2"/>
        <v>51904</v>
      </c>
      <c r="B81" s="51" t="s">
        <v>745</v>
      </c>
      <c r="C81" s="9"/>
      <c r="D81" s="51"/>
      <c r="E81" s="51"/>
      <c r="F81" s="51"/>
      <c r="G81" s="15"/>
      <c r="H81" s="15"/>
      <c r="I81" s="15"/>
      <c r="J81" s="15">
        <v>1</v>
      </c>
      <c r="K81" s="51">
        <v>246</v>
      </c>
    </row>
    <row r="82" spans="1:11" ht="13.5" customHeight="1" x14ac:dyDescent="0.3">
      <c r="A82" s="51">
        <f t="shared" si="2"/>
        <v>52150</v>
      </c>
      <c r="B82" s="51" t="s">
        <v>564</v>
      </c>
      <c r="C82" s="9"/>
      <c r="D82" s="51"/>
      <c r="E82" s="51"/>
      <c r="F82" s="51"/>
      <c r="G82" s="15"/>
      <c r="H82" s="15"/>
      <c r="I82" s="15"/>
      <c r="J82" s="15">
        <v>1</v>
      </c>
      <c r="K82" s="51">
        <v>246</v>
      </c>
    </row>
    <row r="83" spans="1:11" ht="13.5" customHeight="1" x14ac:dyDescent="0.3">
      <c r="A83" s="53">
        <f t="shared" si="2"/>
        <v>52396</v>
      </c>
      <c r="B83" s="53" t="s">
        <v>565</v>
      </c>
      <c r="C83" s="9"/>
      <c r="D83" s="53"/>
      <c r="E83" s="53"/>
      <c r="F83" s="53"/>
      <c r="G83" s="15"/>
      <c r="H83" s="15"/>
      <c r="I83" s="15"/>
      <c r="J83" s="15">
        <v>1</v>
      </c>
      <c r="K83" s="53">
        <v>246</v>
      </c>
    </row>
    <row r="84" spans="1:11" ht="13.5" customHeight="1" x14ac:dyDescent="0.3">
      <c r="A84" s="53">
        <f t="shared" si="2"/>
        <v>52642</v>
      </c>
      <c r="B84" s="53" t="s">
        <v>566</v>
      </c>
      <c r="C84" s="9"/>
      <c r="D84" s="53"/>
      <c r="E84" s="53"/>
      <c r="F84" s="53"/>
      <c r="G84" s="15"/>
      <c r="H84" s="15"/>
      <c r="I84" s="15"/>
      <c r="J84" s="15">
        <v>1</v>
      </c>
      <c r="K84" s="53">
        <v>246</v>
      </c>
    </row>
    <row r="85" spans="1:11" ht="13.5" customHeight="1" x14ac:dyDescent="0.3">
      <c r="A85" s="53">
        <f t="shared" si="2"/>
        <v>52888</v>
      </c>
      <c r="B85" s="53" t="s">
        <v>567</v>
      </c>
      <c r="C85" s="9"/>
      <c r="D85" s="53"/>
      <c r="E85" s="53"/>
      <c r="F85" s="53"/>
      <c r="G85" s="15"/>
      <c r="H85" s="15"/>
      <c r="I85" s="15"/>
      <c r="J85" s="15">
        <v>1</v>
      </c>
      <c r="K85" s="53">
        <v>246</v>
      </c>
    </row>
  </sheetData>
  <mergeCells count="5">
    <mergeCell ref="A2:K2"/>
    <mergeCell ref="B3:B15"/>
    <mergeCell ref="A71:K71"/>
    <mergeCell ref="B72:B77"/>
    <mergeCell ref="B16:B62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25E84-83B8-46D9-873F-45F0D3BFD0C2}">
  <dimension ref="A1:I146"/>
  <sheetViews>
    <sheetView topLeftCell="A124" workbookViewId="0">
      <selection activeCell="C137" sqref="C137"/>
    </sheetView>
  </sheetViews>
  <sheetFormatPr defaultRowHeight="14.1" customHeight="1" x14ac:dyDescent="0.3"/>
  <cols>
    <col min="1" max="1" width="7.375" bestFit="1" customWidth="1"/>
    <col min="2" max="2" width="20.25" bestFit="1" customWidth="1"/>
    <col min="3" max="3" width="52.625" bestFit="1" customWidth="1"/>
    <col min="4" max="4" width="4.5" bestFit="1" customWidth="1"/>
    <col min="5" max="5" width="5" bestFit="1" customWidth="1"/>
    <col min="6" max="6" width="4.5" bestFit="1" customWidth="1"/>
    <col min="7" max="8" width="6" bestFit="1" customWidth="1"/>
    <col min="9" max="9" width="22.5" bestFit="1" customWidth="1"/>
  </cols>
  <sheetData>
    <row r="1" spans="1:9" ht="14.1" customHeight="1" x14ac:dyDescent="0.3">
      <c r="A1" s="42" t="s">
        <v>634</v>
      </c>
      <c r="B1" s="42" t="s">
        <v>632</v>
      </c>
      <c r="C1" s="42" t="s">
        <v>633</v>
      </c>
      <c r="D1" s="42" t="s">
        <v>638</v>
      </c>
      <c r="E1" s="42" t="s">
        <v>635</v>
      </c>
      <c r="F1" s="42" t="s">
        <v>1041</v>
      </c>
      <c r="G1" s="42" t="s">
        <v>636</v>
      </c>
      <c r="H1" s="42" t="s">
        <v>637</v>
      </c>
    </row>
    <row r="2" spans="1:9" ht="14.1" customHeight="1" x14ac:dyDescent="0.3">
      <c r="A2" s="162" t="s">
        <v>255</v>
      </c>
      <c r="B2" s="162"/>
      <c r="C2" s="162"/>
      <c r="D2" s="162"/>
      <c r="E2" s="162"/>
      <c r="F2" s="162"/>
      <c r="G2" s="162"/>
      <c r="H2" s="162"/>
      <c r="I2" s="88"/>
    </row>
    <row r="3" spans="1:9" ht="14.1" customHeight="1" x14ac:dyDescent="0.3">
      <c r="A3" s="143">
        <f>'#1CH modbus'!A970</f>
        <v>7050</v>
      </c>
      <c r="B3" s="18" t="s">
        <v>246</v>
      </c>
      <c r="C3" s="18"/>
      <c r="D3" s="18"/>
      <c r="E3" s="19" t="s">
        <v>123</v>
      </c>
      <c r="F3" s="19">
        <v>3</v>
      </c>
      <c r="G3" s="19">
        <f>IF(OR(E3="U16", E3="S16"),1,IF(E3="TS",6,2))</f>
        <v>1</v>
      </c>
      <c r="H3" s="101">
        <v>1</v>
      </c>
      <c r="I3" s="85"/>
    </row>
    <row r="4" spans="1:9" ht="14.1" customHeight="1" x14ac:dyDescent="0.3">
      <c r="A4" s="101">
        <f>A3+(G3*H3)</f>
        <v>7051</v>
      </c>
      <c r="B4" s="18" t="s">
        <v>247</v>
      </c>
      <c r="C4" s="18"/>
      <c r="D4" s="18"/>
      <c r="E4" s="19" t="s">
        <v>123</v>
      </c>
      <c r="F4" s="19">
        <v>3</v>
      </c>
      <c r="G4" s="19">
        <f>IF(OR(E4="U16", E4="S16"),1,IF(E4="TS",6,2))</f>
        <v>1</v>
      </c>
      <c r="H4" s="101">
        <v>1</v>
      </c>
      <c r="I4" s="85"/>
    </row>
    <row r="5" spans="1:9" ht="14.1" customHeight="1" x14ac:dyDescent="0.3">
      <c r="A5" s="101">
        <f t="shared" ref="A5:A14" si="0">A4+(G4*H4)</f>
        <v>7052</v>
      </c>
      <c r="B5" s="18" t="s">
        <v>248</v>
      </c>
      <c r="C5" s="18"/>
      <c r="D5" s="18"/>
      <c r="E5" s="19" t="s">
        <v>123</v>
      </c>
      <c r="F5" s="19">
        <v>3</v>
      </c>
      <c r="G5" s="19">
        <f>IF(OR(E5="U16", E5="S16"),1,IF(E5="TS",6,2))</f>
        <v>1</v>
      </c>
      <c r="H5" s="101">
        <v>1</v>
      </c>
      <c r="I5" s="85"/>
    </row>
    <row r="6" spans="1:9" ht="14.1" customHeight="1" x14ac:dyDescent="0.3">
      <c r="A6" s="101">
        <f t="shared" si="0"/>
        <v>7053</v>
      </c>
      <c r="B6" s="18" t="s">
        <v>249</v>
      </c>
      <c r="C6" s="18"/>
      <c r="D6" s="18"/>
      <c r="E6" s="19" t="s">
        <v>123</v>
      </c>
      <c r="F6" s="19">
        <v>3</v>
      </c>
      <c r="G6" s="19">
        <f>IF(OR(E6="U16", E6="S16"),1,IF(E6="TS",6,2))</f>
        <v>1</v>
      </c>
      <c r="H6" s="101">
        <v>1</v>
      </c>
      <c r="I6" s="85"/>
    </row>
    <row r="7" spans="1:9" ht="14.1" customHeight="1" x14ac:dyDescent="0.3">
      <c r="A7" s="101">
        <f t="shared" si="0"/>
        <v>7054</v>
      </c>
      <c r="B7" s="18" t="s">
        <v>250</v>
      </c>
      <c r="C7" s="18" t="s">
        <v>41</v>
      </c>
      <c r="D7" s="18"/>
      <c r="E7" s="19" t="s">
        <v>208</v>
      </c>
      <c r="F7" s="19">
        <v>3</v>
      </c>
      <c r="G7" s="19">
        <f t="shared" ref="G7:G14" si="1">IF(OR(E7="U16", E7="S16"),1,IF(E7="TS",6,2))</f>
        <v>2</v>
      </c>
      <c r="H7" s="101">
        <v>1</v>
      </c>
      <c r="I7" s="85"/>
    </row>
    <row r="8" spans="1:9" ht="14.1" customHeight="1" x14ac:dyDescent="0.3">
      <c r="A8" s="101">
        <f t="shared" si="0"/>
        <v>7056</v>
      </c>
      <c r="B8" s="18" t="s">
        <v>251</v>
      </c>
      <c r="C8" s="18"/>
      <c r="D8" s="18"/>
      <c r="E8" s="19" t="s">
        <v>208</v>
      </c>
      <c r="F8" s="19">
        <v>3</v>
      </c>
      <c r="G8" s="19">
        <f t="shared" si="1"/>
        <v>2</v>
      </c>
      <c r="H8" s="101">
        <v>1</v>
      </c>
      <c r="I8" s="85"/>
    </row>
    <row r="9" spans="1:9" ht="14.1" customHeight="1" x14ac:dyDescent="0.3">
      <c r="A9" s="101">
        <f t="shared" si="0"/>
        <v>7058</v>
      </c>
      <c r="B9" s="18" t="s">
        <v>252</v>
      </c>
      <c r="C9" s="18"/>
      <c r="D9" s="18"/>
      <c r="E9" s="19" t="s">
        <v>208</v>
      </c>
      <c r="F9" s="19">
        <v>3</v>
      </c>
      <c r="G9" s="19">
        <f t="shared" si="1"/>
        <v>2</v>
      </c>
      <c r="H9" s="101">
        <v>1</v>
      </c>
      <c r="I9" s="85"/>
    </row>
    <row r="10" spans="1:9" ht="14.1" customHeight="1" x14ac:dyDescent="0.3">
      <c r="A10" s="101">
        <f t="shared" si="0"/>
        <v>7060</v>
      </c>
      <c r="B10" s="18" t="s">
        <v>253</v>
      </c>
      <c r="C10" s="18"/>
      <c r="D10" s="18"/>
      <c r="E10" s="19" t="s">
        <v>208</v>
      </c>
      <c r="F10" s="19">
        <v>3</v>
      </c>
      <c r="G10" s="19">
        <f t="shared" si="1"/>
        <v>2</v>
      </c>
      <c r="H10" s="101">
        <v>1</v>
      </c>
      <c r="I10" s="85"/>
    </row>
    <row r="11" spans="1:9" ht="14.1" customHeight="1" x14ac:dyDescent="0.3">
      <c r="A11" s="101">
        <f t="shared" si="0"/>
        <v>7062</v>
      </c>
      <c r="B11" s="18" t="s">
        <v>954</v>
      </c>
      <c r="C11" s="18"/>
      <c r="D11" s="18"/>
      <c r="E11" s="19" t="s">
        <v>58</v>
      </c>
      <c r="F11" s="19">
        <v>3</v>
      </c>
      <c r="G11" s="19">
        <f t="shared" si="1"/>
        <v>2</v>
      </c>
      <c r="H11" s="101">
        <v>1</v>
      </c>
      <c r="I11" s="85"/>
    </row>
    <row r="12" spans="1:9" ht="14.1" customHeight="1" x14ac:dyDescent="0.3">
      <c r="A12" s="101">
        <f t="shared" si="0"/>
        <v>7064</v>
      </c>
      <c r="B12" s="18" t="s">
        <v>955</v>
      </c>
      <c r="C12" s="18"/>
      <c r="D12" s="18"/>
      <c r="E12" s="19" t="s">
        <v>58</v>
      </c>
      <c r="F12" s="19">
        <v>3</v>
      </c>
      <c r="G12" s="19">
        <f t="shared" si="1"/>
        <v>2</v>
      </c>
      <c r="H12" s="101">
        <v>1</v>
      </c>
      <c r="I12" s="85"/>
    </row>
    <row r="13" spans="1:9" ht="14.1" customHeight="1" x14ac:dyDescent="0.3">
      <c r="A13" s="101">
        <f t="shared" si="0"/>
        <v>7066</v>
      </c>
      <c r="B13" s="18" t="s">
        <v>956</v>
      </c>
      <c r="C13" s="18"/>
      <c r="D13" s="18"/>
      <c r="E13" s="19" t="s">
        <v>58</v>
      </c>
      <c r="F13" s="19">
        <v>3</v>
      </c>
      <c r="G13" s="19">
        <f t="shared" si="1"/>
        <v>2</v>
      </c>
      <c r="H13" s="101">
        <v>1</v>
      </c>
      <c r="I13" s="85"/>
    </row>
    <row r="14" spans="1:9" ht="14.1" customHeight="1" x14ac:dyDescent="0.3">
      <c r="A14" s="101">
        <f t="shared" si="0"/>
        <v>7068</v>
      </c>
      <c r="B14" s="18" t="s">
        <v>957</v>
      </c>
      <c r="C14" s="18"/>
      <c r="D14" s="18"/>
      <c r="E14" s="19" t="s">
        <v>58</v>
      </c>
      <c r="F14" s="19">
        <v>3</v>
      </c>
      <c r="G14" s="19">
        <f t="shared" si="1"/>
        <v>2</v>
      </c>
      <c r="H14" s="101">
        <v>1</v>
      </c>
      <c r="I14" s="85"/>
    </row>
    <row r="15" spans="1:9" ht="14.1" customHeight="1" x14ac:dyDescent="0.3">
      <c r="A15" s="162" t="s">
        <v>256</v>
      </c>
      <c r="B15" s="162"/>
      <c r="C15" s="162"/>
      <c r="D15" s="162"/>
      <c r="E15" s="162"/>
      <c r="F15" s="162"/>
      <c r="G15" s="162"/>
      <c r="H15" s="162"/>
      <c r="I15" s="88"/>
    </row>
    <row r="16" spans="1:9" ht="14.1" customHeight="1" x14ac:dyDescent="0.3">
      <c r="A16" s="101">
        <f>A14+(G14*H14)</f>
        <v>7070</v>
      </c>
      <c r="B16" s="9" t="s">
        <v>150</v>
      </c>
      <c r="C16" s="101"/>
      <c r="D16" s="101"/>
      <c r="E16" s="15" t="s">
        <v>123</v>
      </c>
      <c r="F16" s="15">
        <v>3</v>
      </c>
      <c r="G16" s="15">
        <f t="shared" ref="G16:G23" si="2">IF(OR(E16="U16", E16="S16"),1,IF(E16="TS",6,2))</f>
        <v>1</v>
      </c>
      <c r="H16" s="101">
        <v>6</v>
      </c>
      <c r="I16" s="85"/>
    </row>
    <row r="17" spans="1:9" ht="14.1" customHeight="1" x14ac:dyDescent="0.3">
      <c r="A17" s="101">
        <f>A16+(G16*H16)</f>
        <v>7076</v>
      </c>
      <c r="B17" s="9" t="s">
        <v>1108</v>
      </c>
      <c r="C17" s="101"/>
      <c r="D17" s="101"/>
      <c r="E17" s="15" t="s">
        <v>209</v>
      </c>
      <c r="F17" s="15">
        <v>3</v>
      </c>
      <c r="G17" s="15">
        <f>IF(OR(E17="U16", E17="S16"),1,IF(E17="TS",6,2))</f>
        <v>1</v>
      </c>
      <c r="H17" s="101">
        <v>2</v>
      </c>
      <c r="I17" s="85"/>
    </row>
    <row r="18" spans="1:9" ht="14.1" customHeight="1" x14ac:dyDescent="0.3">
      <c r="A18" s="101">
        <f t="shared" ref="A18:A36" si="3">A17+(G17*H17)</f>
        <v>7078</v>
      </c>
      <c r="B18" s="9" t="s">
        <v>153</v>
      </c>
      <c r="C18" s="101"/>
      <c r="D18" s="101"/>
      <c r="E18" s="15" t="s">
        <v>123</v>
      </c>
      <c r="F18" s="15">
        <v>3</v>
      </c>
      <c r="G18" s="15">
        <f t="shared" si="2"/>
        <v>1</v>
      </c>
      <c r="H18" s="101">
        <v>4</v>
      </c>
      <c r="I18" s="85"/>
    </row>
    <row r="19" spans="1:9" ht="14.1" customHeight="1" x14ac:dyDescent="0.3">
      <c r="A19" s="131">
        <f t="shared" si="3"/>
        <v>7082</v>
      </c>
      <c r="B19" s="9" t="s">
        <v>1109</v>
      </c>
      <c r="C19" s="101"/>
      <c r="D19" s="101"/>
      <c r="E19" s="15" t="s">
        <v>209</v>
      </c>
      <c r="F19" s="15">
        <v>3</v>
      </c>
      <c r="G19" s="15">
        <f>IF(OR(E19="U16", E19="S16"),1,IF(E19="TS",6,2))</f>
        <v>1</v>
      </c>
      <c r="H19" s="101">
        <v>4</v>
      </c>
      <c r="I19" s="85"/>
    </row>
    <row r="20" spans="1:9" ht="14.1" customHeight="1" x14ac:dyDescent="0.3">
      <c r="A20" s="146">
        <f t="shared" si="3"/>
        <v>7086</v>
      </c>
      <c r="B20" s="148" t="s">
        <v>1230</v>
      </c>
      <c r="C20" s="146" t="s">
        <v>1231</v>
      </c>
      <c r="D20" s="146"/>
      <c r="E20" s="15" t="s">
        <v>123</v>
      </c>
      <c r="F20" s="15">
        <v>3</v>
      </c>
      <c r="G20" s="15">
        <f t="shared" ref="G20" si="4">IF(OR(E20="U16", E20="S16"),1,IF(E20="TS",6,2))</f>
        <v>1</v>
      </c>
      <c r="H20" s="146">
        <v>1</v>
      </c>
      <c r="I20" s="85" t="s">
        <v>1237</v>
      </c>
    </row>
    <row r="21" spans="1:9" ht="14.1" customHeight="1" x14ac:dyDescent="0.3">
      <c r="A21" s="146">
        <f t="shared" si="3"/>
        <v>7087</v>
      </c>
      <c r="B21" s="9" t="s">
        <v>151</v>
      </c>
      <c r="C21" s="101"/>
      <c r="D21" s="101"/>
      <c r="E21" s="15" t="s">
        <v>123</v>
      </c>
      <c r="F21" s="15">
        <v>3</v>
      </c>
      <c r="G21" s="15">
        <f t="shared" si="2"/>
        <v>1</v>
      </c>
      <c r="H21" s="101">
        <v>1</v>
      </c>
      <c r="I21" s="85"/>
    </row>
    <row r="22" spans="1:9" ht="14.1" customHeight="1" x14ac:dyDescent="0.3">
      <c r="A22" s="146">
        <f t="shared" si="3"/>
        <v>7088</v>
      </c>
      <c r="B22" s="9" t="s">
        <v>152</v>
      </c>
      <c r="C22" s="101"/>
      <c r="D22" s="101"/>
      <c r="E22" s="15" t="s">
        <v>123</v>
      </c>
      <c r="F22" s="15">
        <v>3</v>
      </c>
      <c r="G22" s="15">
        <f t="shared" si="2"/>
        <v>1</v>
      </c>
      <c r="H22" s="101">
        <v>1</v>
      </c>
      <c r="I22" s="85"/>
    </row>
    <row r="23" spans="1:9" ht="14.1" customHeight="1" x14ac:dyDescent="0.3">
      <c r="A23" s="146">
        <f t="shared" si="3"/>
        <v>7089</v>
      </c>
      <c r="B23" s="9" t="s">
        <v>526</v>
      </c>
      <c r="C23" s="101"/>
      <c r="D23" s="101"/>
      <c r="E23" s="15" t="s">
        <v>123</v>
      </c>
      <c r="F23" s="15">
        <v>3</v>
      </c>
      <c r="G23" s="15">
        <f t="shared" si="2"/>
        <v>1</v>
      </c>
      <c r="H23" s="101">
        <v>1</v>
      </c>
      <c r="I23" s="85"/>
    </row>
    <row r="24" spans="1:9" ht="14.1" customHeight="1" x14ac:dyDescent="0.3">
      <c r="A24" s="146">
        <f t="shared" si="3"/>
        <v>7090</v>
      </c>
      <c r="B24" s="9" t="s">
        <v>527</v>
      </c>
      <c r="C24" s="101"/>
      <c r="D24" s="101"/>
      <c r="E24" s="15" t="s">
        <v>123</v>
      </c>
      <c r="F24" s="15">
        <v>3</v>
      </c>
      <c r="G24" s="15">
        <f>IF(OR(E24="U16", E24="S16"),1,IF(E24="TS",6,2))</f>
        <v>1</v>
      </c>
      <c r="H24" s="101">
        <v>1</v>
      </c>
      <c r="I24" s="85"/>
    </row>
    <row r="25" spans="1:9" ht="14.1" customHeight="1" x14ac:dyDescent="0.3">
      <c r="A25" s="131">
        <f t="shared" si="3"/>
        <v>7091</v>
      </c>
      <c r="B25" s="9" t="s">
        <v>528</v>
      </c>
      <c r="C25" s="101"/>
      <c r="D25" s="101"/>
      <c r="E25" s="15" t="s">
        <v>123</v>
      </c>
      <c r="F25" s="15">
        <v>3</v>
      </c>
      <c r="G25" s="15">
        <f>IF(OR(E25="U16", E25="S16"),1,IF(E25="TS",6,2))</f>
        <v>1</v>
      </c>
      <c r="H25" s="101">
        <v>1</v>
      </c>
      <c r="I25" s="85"/>
    </row>
    <row r="26" spans="1:9" ht="14.1" customHeight="1" x14ac:dyDescent="0.3">
      <c r="A26" s="131">
        <f t="shared" si="3"/>
        <v>7092</v>
      </c>
      <c r="B26" s="9" t="s">
        <v>1112</v>
      </c>
      <c r="C26" s="101"/>
      <c r="D26" s="101"/>
      <c r="E26" s="15" t="s">
        <v>209</v>
      </c>
      <c r="F26" s="15">
        <v>3</v>
      </c>
      <c r="G26" s="15">
        <f t="shared" ref="G26:G34" si="5">IF(OR(E26="U16", E26="S16"),1,IF(E26="TS",6,2))</f>
        <v>1</v>
      </c>
      <c r="H26" s="101">
        <v>1</v>
      </c>
      <c r="I26" s="85"/>
    </row>
    <row r="27" spans="1:9" ht="14.1" customHeight="1" x14ac:dyDescent="0.3">
      <c r="A27" s="131">
        <f t="shared" si="3"/>
        <v>7093</v>
      </c>
      <c r="B27" s="9" t="s">
        <v>1104</v>
      </c>
      <c r="C27" s="101"/>
      <c r="D27" s="101"/>
      <c r="E27" s="15" t="s">
        <v>209</v>
      </c>
      <c r="F27" s="15">
        <v>3</v>
      </c>
      <c r="G27" s="15">
        <f t="shared" si="5"/>
        <v>1</v>
      </c>
      <c r="H27" s="101">
        <v>1</v>
      </c>
      <c r="I27" s="85"/>
    </row>
    <row r="28" spans="1:9" ht="14.1" customHeight="1" x14ac:dyDescent="0.3">
      <c r="A28" s="131">
        <f t="shared" si="3"/>
        <v>7094</v>
      </c>
      <c r="B28" s="9" t="s">
        <v>1105</v>
      </c>
      <c r="C28" s="101"/>
      <c r="D28" s="101"/>
      <c r="E28" s="15" t="s">
        <v>209</v>
      </c>
      <c r="F28" s="15">
        <v>3</v>
      </c>
      <c r="G28" s="15">
        <f t="shared" si="5"/>
        <v>1</v>
      </c>
      <c r="H28" s="101">
        <v>1</v>
      </c>
      <c r="I28" s="85"/>
    </row>
    <row r="29" spans="1:9" ht="14.1" customHeight="1" x14ac:dyDescent="0.3">
      <c r="A29" s="131">
        <f t="shared" si="3"/>
        <v>7095</v>
      </c>
      <c r="B29" s="9" t="s">
        <v>1106</v>
      </c>
      <c r="C29" s="101"/>
      <c r="D29" s="101"/>
      <c r="E29" s="15" t="s">
        <v>209</v>
      </c>
      <c r="F29" s="15">
        <v>3</v>
      </c>
      <c r="G29" s="15">
        <f t="shared" si="5"/>
        <v>1</v>
      </c>
      <c r="H29" s="101">
        <v>1</v>
      </c>
      <c r="I29" s="85"/>
    </row>
    <row r="30" spans="1:9" ht="14.1" customHeight="1" x14ac:dyDescent="0.3">
      <c r="A30" s="131">
        <f t="shared" si="3"/>
        <v>7096</v>
      </c>
      <c r="B30" s="9" t="s">
        <v>1107</v>
      </c>
      <c r="C30" s="101"/>
      <c r="D30" s="101"/>
      <c r="E30" s="15" t="s">
        <v>209</v>
      </c>
      <c r="F30" s="15">
        <v>3</v>
      </c>
      <c r="G30" s="15">
        <f t="shared" si="5"/>
        <v>1</v>
      </c>
      <c r="H30" s="101">
        <v>2</v>
      </c>
      <c r="I30" s="85"/>
    </row>
    <row r="31" spans="1:9" ht="14.1" customHeight="1" x14ac:dyDescent="0.3">
      <c r="A31" s="131">
        <f t="shared" si="3"/>
        <v>7098</v>
      </c>
      <c r="B31" s="9" t="s">
        <v>1110</v>
      </c>
      <c r="C31" s="101"/>
      <c r="D31" s="101"/>
      <c r="E31" s="15" t="s">
        <v>209</v>
      </c>
      <c r="F31" s="15">
        <v>3</v>
      </c>
      <c r="G31" s="15">
        <f t="shared" si="5"/>
        <v>1</v>
      </c>
      <c r="H31" s="101">
        <v>1</v>
      </c>
      <c r="I31" s="85"/>
    </row>
    <row r="32" spans="1:9" ht="14.1" customHeight="1" x14ac:dyDescent="0.3">
      <c r="A32" s="131">
        <f t="shared" si="3"/>
        <v>7099</v>
      </c>
      <c r="B32" s="9" t="s">
        <v>1111</v>
      </c>
      <c r="C32" s="101" t="s">
        <v>1223</v>
      </c>
      <c r="D32" s="101"/>
      <c r="E32" s="15" t="s">
        <v>209</v>
      </c>
      <c r="F32" s="15">
        <v>3</v>
      </c>
      <c r="G32" s="15">
        <f t="shared" si="5"/>
        <v>1</v>
      </c>
      <c r="H32" s="101">
        <v>1</v>
      </c>
      <c r="I32" s="85"/>
    </row>
    <row r="33" spans="1:9" ht="14.1" customHeight="1" x14ac:dyDescent="0.3">
      <c r="A33" s="131">
        <f t="shared" si="3"/>
        <v>7100</v>
      </c>
      <c r="B33" s="9" t="s">
        <v>1113</v>
      </c>
      <c r="C33" s="101"/>
      <c r="D33" s="101"/>
      <c r="E33" s="15" t="s">
        <v>209</v>
      </c>
      <c r="F33" s="15">
        <v>3</v>
      </c>
      <c r="G33" s="15">
        <f t="shared" si="5"/>
        <v>1</v>
      </c>
      <c r="H33" s="101">
        <v>1</v>
      </c>
      <c r="I33" s="85"/>
    </row>
    <row r="34" spans="1:9" ht="14.1" customHeight="1" x14ac:dyDescent="0.3">
      <c r="A34" s="154">
        <f t="shared" si="3"/>
        <v>7101</v>
      </c>
      <c r="B34" s="9" t="s">
        <v>1114</v>
      </c>
      <c r="C34" s="101" t="s">
        <v>1222</v>
      </c>
      <c r="D34" s="101"/>
      <c r="E34" s="15" t="s">
        <v>209</v>
      </c>
      <c r="F34" s="15">
        <v>3</v>
      </c>
      <c r="G34" s="15">
        <f t="shared" si="5"/>
        <v>1</v>
      </c>
      <c r="H34" s="101">
        <v>1</v>
      </c>
      <c r="I34" s="85"/>
    </row>
    <row r="35" spans="1:9" ht="14.1" customHeight="1" x14ac:dyDescent="0.3">
      <c r="A35" s="154">
        <f t="shared" si="3"/>
        <v>7102</v>
      </c>
      <c r="B35" s="160" t="s">
        <v>1100</v>
      </c>
      <c r="C35" s="155" t="s">
        <v>1233</v>
      </c>
      <c r="D35" s="155"/>
      <c r="E35" s="17" t="s">
        <v>123</v>
      </c>
      <c r="F35" s="15">
        <v>3</v>
      </c>
      <c r="G35" s="17">
        <f>IF(OR(E35="U16", E35="S16"),1,IF(E35="TS",6,2))</f>
        <v>1</v>
      </c>
      <c r="H35" s="155">
        <v>1</v>
      </c>
      <c r="I35" s="85"/>
    </row>
    <row r="36" spans="1:9" ht="14.1" customHeight="1" x14ac:dyDescent="0.3">
      <c r="A36" s="154">
        <f t="shared" si="3"/>
        <v>7103</v>
      </c>
      <c r="B36" s="9" t="s">
        <v>195</v>
      </c>
      <c r="C36" s="101"/>
      <c r="D36" s="101"/>
      <c r="E36" s="15" t="s">
        <v>123</v>
      </c>
      <c r="F36" s="15">
        <v>3</v>
      </c>
      <c r="G36" s="15">
        <f>IF(OR(E36="U16", E36="S16"),1,IF(E36="TS",6,2))</f>
        <v>1</v>
      </c>
      <c r="H36" s="147">
        <v>7</v>
      </c>
      <c r="I36" s="85"/>
    </row>
    <row r="37" spans="1:9" ht="14.1" customHeight="1" x14ac:dyDescent="0.3">
      <c r="A37" s="162" t="s">
        <v>243</v>
      </c>
      <c r="B37" s="162"/>
      <c r="C37" s="162"/>
      <c r="D37" s="162"/>
      <c r="E37" s="162"/>
      <c r="F37" s="162"/>
      <c r="G37" s="162"/>
      <c r="H37" s="162"/>
      <c r="I37" s="88"/>
    </row>
    <row r="38" spans="1:9" ht="14.1" customHeight="1" x14ac:dyDescent="0.3">
      <c r="A38" s="103">
        <f>A36+(G36*H36)</f>
        <v>7110</v>
      </c>
      <c r="B38" s="9" t="s">
        <v>198</v>
      </c>
      <c r="C38" s="101"/>
      <c r="D38" s="101"/>
      <c r="E38" s="15" t="s">
        <v>123</v>
      </c>
      <c r="F38" s="15" t="s">
        <v>1045</v>
      </c>
      <c r="G38" s="15">
        <f t="shared" ref="G38:G56" si="6">IF(OR(E38="U16", E38="S16"),1,IF(E38="TS",6,2))</f>
        <v>1</v>
      </c>
      <c r="H38" s="101">
        <v>1</v>
      </c>
      <c r="I38" s="85"/>
    </row>
    <row r="39" spans="1:9" ht="14.1" customHeight="1" x14ac:dyDescent="0.3">
      <c r="A39" s="101">
        <f>A38+(G38*H38)</f>
        <v>7111</v>
      </c>
      <c r="B39" s="12" t="s">
        <v>216</v>
      </c>
      <c r="C39" s="101"/>
      <c r="D39" s="101"/>
      <c r="E39" s="15" t="s">
        <v>123</v>
      </c>
      <c r="F39" s="15" t="s">
        <v>1045</v>
      </c>
      <c r="G39" s="15">
        <f>IF(OR(E39="U16", E39="S16"),1,IF(E39="TS",6,2))</f>
        <v>1</v>
      </c>
      <c r="H39" s="101">
        <v>1</v>
      </c>
      <c r="I39" s="85"/>
    </row>
    <row r="40" spans="1:9" ht="14.1" customHeight="1" x14ac:dyDescent="0.3">
      <c r="A40" s="127">
        <f t="shared" ref="A40:A56" si="7">A39+(G39*H39)</f>
        <v>7112</v>
      </c>
      <c r="B40" s="9" t="s">
        <v>999</v>
      </c>
      <c r="C40" s="101" t="s">
        <v>1000</v>
      </c>
      <c r="D40" s="101"/>
      <c r="E40" s="15" t="s">
        <v>209</v>
      </c>
      <c r="F40" s="15" t="s">
        <v>1044</v>
      </c>
      <c r="G40" s="15">
        <f>IF(OR(E40="U16", E40="S16"),1,IF(E40="TS",6,2))</f>
        <v>1</v>
      </c>
      <c r="H40" s="101">
        <v>1</v>
      </c>
      <c r="I40" s="85"/>
    </row>
    <row r="41" spans="1:9" ht="14.1" customHeight="1" x14ac:dyDescent="0.3">
      <c r="A41" s="127">
        <f t="shared" si="7"/>
        <v>7113</v>
      </c>
      <c r="B41" s="9" t="s">
        <v>1001</v>
      </c>
      <c r="C41" s="101"/>
      <c r="D41" s="101" t="s">
        <v>1002</v>
      </c>
      <c r="E41" s="15" t="s">
        <v>209</v>
      </c>
      <c r="F41" s="15" t="s">
        <v>1044</v>
      </c>
      <c r="G41" s="15">
        <f>IF(OR(E41="U16", E41="S16"),1,IF(E41="TS",6,2))</f>
        <v>1</v>
      </c>
      <c r="H41" s="101">
        <v>1</v>
      </c>
      <c r="I41" s="85"/>
    </row>
    <row r="42" spans="1:9" ht="14.1" customHeight="1" x14ac:dyDescent="0.3">
      <c r="A42" s="127">
        <f t="shared" si="7"/>
        <v>7114</v>
      </c>
      <c r="B42" s="12" t="s">
        <v>211</v>
      </c>
      <c r="C42" s="101"/>
      <c r="D42" s="101"/>
      <c r="E42" s="15" t="s">
        <v>123</v>
      </c>
      <c r="F42" s="15" t="s">
        <v>1044</v>
      </c>
      <c r="G42" s="15">
        <f t="shared" si="6"/>
        <v>1</v>
      </c>
      <c r="H42" s="101">
        <v>4</v>
      </c>
      <c r="I42" s="85"/>
    </row>
    <row r="43" spans="1:9" ht="14.1" customHeight="1" x14ac:dyDescent="0.3">
      <c r="A43" s="127">
        <f t="shared" si="7"/>
        <v>7118</v>
      </c>
      <c r="B43" s="12" t="s">
        <v>212</v>
      </c>
      <c r="C43" s="101"/>
      <c r="D43" s="101"/>
      <c r="E43" s="15" t="s">
        <v>123</v>
      </c>
      <c r="F43" s="15" t="s">
        <v>1044</v>
      </c>
      <c r="G43" s="15">
        <f t="shared" si="6"/>
        <v>1</v>
      </c>
      <c r="H43" s="101">
        <v>4</v>
      </c>
      <c r="I43" s="85"/>
    </row>
    <row r="44" spans="1:9" ht="14.1" customHeight="1" x14ac:dyDescent="0.3">
      <c r="A44" s="127">
        <f t="shared" si="7"/>
        <v>7122</v>
      </c>
      <c r="B44" s="12" t="s">
        <v>213</v>
      </c>
      <c r="C44" s="101"/>
      <c r="D44" s="101"/>
      <c r="E44" s="15" t="s">
        <v>123</v>
      </c>
      <c r="F44" s="15" t="s">
        <v>1044</v>
      </c>
      <c r="G44" s="15">
        <f t="shared" si="6"/>
        <v>1</v>
      </c>
      <c r="H44" s="101">
        <v>4</v>
      </c>
      <c r="I44" s="85"/>
    </row>
    <row r="45" spans="1:9" ht="14.1" customHeight="1" x14ac:dyDescent="0.3">
      <c r="A45" s="127">
        <f t="shared" si="7"/>
        <v>7126</v>
      </c>
      <c r="B45" s="12" t="s">
        <v>214</v>
      </c>
      <c r="C45" s="101"/>
      <c r="D45" s="101"/>
      <c r="E45" s="15" t="s">
        <v>123</v>
      </c>
      <c r="F45" s="15" t="s">
        <v>1044</v>
      </c>
      <c r="G45" s="15">
        <f t="shared" si="6"/>
        <v>1</v>
      </c>
      <c r="H45" s="101">
        <v>4</v>
      </c>
      <c r="I45" s="85"/>
    </row>
    <row r="46" spans="1:9" ht="14.1" customHeight="1" x14ac:dyDescent="0.3">
      <c r="A46" s="127">
        <f t="shared" si="7"/>
        <v>7130</v>
      </c>
      <c r="B46" s="12" t="s">
        <v>215</v>
      </c>
      <c r="C46" s="101"/>
      <c r="D46" s="101"/>
      <c r="E46" s="15" t="s">
        <v>123</v>
      </c>
      <c r="F46" s="15" t="s">
        <v>1044</v>
      </c>
      <c r="G46" s="15">
        <f>IF(OR(E46="U16", E46="S16"),1,IF(E46="TS",6,2))</f>
        <v>1</v>
      </c>
      <c r="H46" s="101">
        <v>4</v>
      </c>
      <c r="I46" s="85"/>
    </row>
    <row r="47" spans="1:9" ht="14.1" customHeight="1" x14ac:dyDescent="0.3">
      <c r="A47" s="127">
        <f t="shared" si="7"/>
        <v>7134</v>
      </c>
      <c r="B47" s="12" t="s">
        <v>210</v>
      </c>
      <c r="C47" s="101"/>
      <c r="D47" s="101"/>
      <c r="E47" s="15" t="s">
        <v>123</v>
      </c>
      <c r="F47" s="15" t="s">
        <v>1044</v>
      </c>
      <c r="G47" s="15">
        <f t="shared" si="6"/>
        <v>1</v>
      </c>
      <c r="H47" s="101">
        <v>16</v>
      </c>
      <c r="I47" s="85"/>
    </row>
    <row r="48" spans="1:9" ht="14.1" customHeight="1" x14ac:dyDescent="0.3">
      <c r="A48" s="127">
        <f t="shared" si="7"/>
        <v>7150</v>
      </c>
      <c r="B48" s="149" t="s">
        <v>626</v>
      </c>
      <c r="C48" s="150"/>
      <c r="D48" s="150"/>
      <c r="E48" s="150" t="s">
        <v>123</v>
      </c>
      <c r="F48" s="150" t="s">
        <v>1044</v>
      </c>
      <c r="G48" s="150">
        <f t="shared" si="6"/>
        <v>1</v>
      </c>
      <c r="H48" s="150">
        <v>4</v>
      </c>
      <c r="I48" s="85"/>
    </row>
    <row r="49" spans="1:9" ht="14.1" customHeight="1" x14ac:dyDescent="0.3">
      <c r="A49" s="127">
        <f t="shared" si="7"/>
        <v>7154</v>
      </c>
      <c r="B49" s="149" t="s">
        <v>257</v>
      </c>
      <c r="C49" s="150"/>
      <c r="D49" s="150"/>
      <c r="E49" s="150" t="s">
        <v>123</v>
      </c>
      <c r="F49" s="150" t="s">
        <v>1044</v>
      </c>
      <c r="G49" s="150">
        <f>IF(OR(E49="U16", E49="S16"),1,IF(E49="TS",6,2))</f>
        <v>1</v>
      </c>
      <c r="H49" s="150">
        <v>1</v>
      </c>
      <c r="I49" s="85"/>
    </row>
    <row r="50" spans="1:9" ht="14.1" customHeight="1" x14ac:dyDescent="0.3">
      <c r="A50" s="127">
        <f t="shared" si="7"/>
        <v>7155</v>
      </c>
      <c r="B50" s="149" t="s">
        <v>631</v>
      </c>
      <c r="C50" s="150"/>
      <c r="D50" s="150"/>
      <c r="E50" s="150" t="s">
        <v>123</v>
      </c>
      <c r="F50" s="150" t="s">
        <v>1044</v>
      </c>
      <c r="G50" s="150">
        <f t="shared" si="6"/>
        <v>1</v>
      </c>
      <c r="H50" s="150">
        <v>1</v>
      </c>
      <c r="I50" s="86"/>
    </row>
    <row r="51" spans="1:9" ht="14.1" customHeight="1" x14ac:dyDescent="0.3">
      <c r="A51" s="127">
        <f t="shared" si="7"/>
        <v>7156</v>
      </c>
      <c r="B51" s="149" t="s">
        <v>630</v>
      </c>
      <c r="C51" s="150"/>
      <c r="D51" s="150"/>
      <c r="E51" s="150" t="s">
        <v>123</v>
      </c>
      <c r="F51" s="150" t="s">
        <v>1044</v>
      </c>
      <c r="G51" s="150">
        <f t="shared" si="6"/>
        <v>1</v>
      </c>
      <c r="H51" s="150">
        <v>1</v>
      </c>
      <c r="I51" s="86"/>
    </row>
    <row r="52" spans="1:9" ht="14.1" customHeight="1" x14ac:dyDescent="0.3">
      <c r="A52" s="127">
        <f t="shared" si="7"/>
        <v>7157</v>
      </c>
      <c r="B52" s="149" t="s">
        <v>627</v>
      </c>
      <c r="C52" s="150"/>
      <c r="D52" s="150"/>
      <c r="E52" s="150" t="s">
        <v>123</v>
      </c>
      <c r="F52" s="150" t="s">
        <v>1044</v>
      </c>
      <c r="G52" s="150">
        <f t="shared" si="6"/>
        <v>1</v>
      </c>
      <c r="H52" s="150">
        <v>1</v>
      </c>
      <c r="I52" s="86"/>
    </row>
    <row r="53" spans="1:9" ht="14.1" customHeight="1" x14ac:dyDescent="0.3">
      <c r="A53" s="127">
        <f t="shared" si="7"/>
        <v>7158</v>
      </c>
      <c r="B53" s="149" t="s">
        <v>1003</v>
      </c>
      <c r="C53" s="150"/>
      <c r="D53" s="150"/>
      <c r="E53" s="150" t="s">
        <v>123</v>
      </c>
      <c r="F53" s="150" t="s">
        <v>1044</v>
      </c>
      <c r="G53" s="150">
        <f t="shared" si="6"/>
        <v>1</v>
      </c>
      <c r="H53" s="150">
        <v>1</v>
      </c>
      <c r="I53" s="86"/>
    </row>
    <row r="54" spans="1:9" ht="14.1" customHeight="1" x14ac:dyDescent="0.3">
      <c r="A54" s="127">
        <f t="shared" si="7"/>
        <v>7159</v>
      </c>
      <c r="B54" s="149" t="s">
        <v>628</v>
      </c>
      <c r="C54" s="150"/>
      <c r="D54" s="150"/>
      <c r="E54" s="150" t="s">
        <v>123</v>
      </c>
      <c r="F54" s="150" t="s">
        <v>1044</v>
      </c>
      <c r="G54" s="150">
        <f t="shared" si="6"/>
        <v>1</v>
      </c>
      <c r="H54" s="150">
        <v>1</v>
      </c>
      <c r="I54" s="86"/>
    </row>
    <row r="55" spans="1:9" ht="14.1" customHeight="1" x14ac:dyDescent="0.3">
      <c r="A55" s="127">
        <f t="shared" si="7"/>
        <v>7160</v>
      </c>
      <c r="B55" s="149" t="s">
        <v>629</v>
      </c>
      <c r="C55" s="150"/>
      <c r="D55" s="150"/>
      <c r="E55" s="150" t="s">
        <v>123</v>
      </c>
      <c r="F55" s="150" t="s">
        <v>1044</v>
      </c>
      <c r="G55" s="150">
        <f t="shared" si="6"/>
        <v>1</v>
      </c>
      <c r="H55" s="150">
        <v>1</v>
      </c>
      <c r="I55" s="86"/>
    </row>
    <row r="56" spans="1:9" ht="14.1" customHeight="1" x14ac:dyDescent="0.3">
      <c r="A56" s="127">
        <f t="shared" si="7"/>
        <v>7161</v>
      </c>
      <c r="B56" s="12" t="s">
        <v>113</v>
      </c>
      <c r="C56" s="101"/>
      <c r="D56" s="101"/>
      <c r="E56" s="15" t="s">
        <v>123</v>
      </c>
      <c r="F56" s="15" t="s">
        <v>1044</v>
      </c>
      <c r="G56" s="15">
        <f t="shared" si="6"/>
        <v>1</v>
      </c>
      <c r="H56" s="101">
        <v>9</v>
      </c>
      <c r="I56" s="85"/>
    </row>
    <row r="57" spans="1:9" ht="14.1" customHeight="1" x14ac:dyDescent="0.3">
      <c r="A57" s="168" t="s">
        <v>1091</v>
      </c>
      <c r="B57" s="168"/>
      <c r="C57" s="168"/>
      <c r="D57" s="168"/>
      <c r="E57" s="168"/>
      <c r="F57" s="168"/>
      <c r="G57" s="168"/>
      <c r="H57" s="168"/>
      <c r="I57" s="97"/>
    </row>
    <row r="58" spans="1:9" ht="14.1" customHeight="1" x14ac:dyDescent="0.3">
      <c r="A58" s="112">
        <f>A56+(G56*H56)</f>
        <v>7170</v>
      </c>
      <c r="B58" s="11" t="s">
        <v>30</v>
      </c>
      <c r="C58" s="112" t="s">
        <v>1234</v>
      </c>
      <c r="D58" s="112"/>
      <c r="E58" s="15" t="s">
        <v>123</v>
      </c>
      <c r="F58" s="15" t="s">
        <v>1045</v>
      </c>
      <c r="G58" s="15">
        <f t="shared" ref="G58:G65" si="8">IF(OR(E58="U16", E58="S16"),1,IF(E58="TS",6,2))</f>
        <v>1</v>
      </c>
      <c r="H58" s="112">
        <v>1</v>
      </c>
      <c r="I58" s="85"/>
    </row>
    <row r="59" spans="1:9" ht="14.1" customHeight="1" thickBot="1" x14ac:dyDescent="0.35">
      <c r="A59" s="113">
        <f>A58+(G58*H58)</f>
        <v>7171</v>
      </c>
      <c r="B59" s="118" t="s">
        <v>113</v>
      </c>
      <c r="C59" s="113"/>
      <c r="D59" s="113"/>
      <c r="E59" s="17" t="s">
        <v>123</v>
      </c>
      <c r="F59" s="15" t="s">
        <v>1044</v>
      </c>
      <c r="G59" s="17">
        <f>IF(OR(E59="U16", E59="S16"),1,IF(E59="TS",6,2))</f>
        <v>1</v>
      </c>
      <c r="H59" s="113">
        <v>1</v>
      </c>
      <c r="I59" s="85"/>
    </row>
    <row r="60" spans="1:9" ht="81" x14ac:dyDescent="0.3">
      <c r="A60" s="71">
        <f t="shared" ref="A60:A73" si="9">A59+(G59*H59)</f>
        <v>7172</v>
      </c>
      <c r="B60" s="72" t="s">
        <v>1004</v>
      </c>
      <c r="C60" s="159" t="s">
        <v>1178</v>
      </c>
      <c r="D60" s="116"/>
      <c r="E60" s="74" t="s">
        <v>123</v>
      </c>
      <c r="F60" s="74" t="s">
        <v>1045</v>
      </c>
      <c r="G60" s="74">
        <f>IF(OR(E60="U16", E60="S16"),1,IF(E60="TS",6,2))</f>
        <v>1</v>
      </c>
      <c r="H60" s="75">
        <v>1</v>
      </c>
      <c r="I60" s="85"/>
    </row>
    <row r="61" spans="1:9" ht="14.1" customHeight="1" x14ac:dyDescent="0.3">
      <c r="A61" s="76">
        <f t="shared" si="9"/>
        <v>7173</v>
      </c>
      <c r="B61" s="11" t="s">
        <v>1008</v>
      </c>
      <c r="C61" s="112"/>
      <c r="D61" s="112"/>
      <c r="E61" s="15" t="s">
        <v>123</v>
      </c>
      <c r="F61" s="15" t="s">
        <v>1045</v>
      </c>
      <c r="G61" s="15">
        <f>IF(OR(E61="U16", E61="S16"),1,IF(E61="TS",6,2))</f>
        <v>1</v>
      </c>
      <c r="H61" s="77">
        <v>1</v>
      </c>
      <c r="I61" s="85"/>
    </row>
    <row r="62" spans="1:9" ht="14.1" customHeight="1" x14ac:dyDescent="0.3">
      <c r="A62" s="76">
        <f t="shared" si="9"/>
        <v>7174</v>
      </c>
      <c r="B62" s="11" t="s">
        <v>1005</v>
      </c>
      <c r="C62" s="112"/>
      <c r="D62" s="112"/>
      <c r="E62" s="15" t="s">
        <v>208</v>
      </c>
      <c r="F62" s="15" t="s">
        <v>1044</v>
      </c>
      <c r="G62" s="15">
        <f t="shared" si="8"/>
        <v>2</v>
      </c>
      <c r="H62" s="77">
        <v>1</v>
      </c>
      <c r="I62" s="85"/>
    </row>
    <row r="63" spans="1:9" ht="14.1" customHeight="1" x14ac:dyDescent="0.3">
      <c r="A63" s="76">
        <f t="shared" si="9"/>
        <v>7176</v>
      </c>
      <c r="B63" s="13" t="s">
        <v>1006</v>
      </c>
      <c r="C63" s="112"/>
      <c r="D63" s="112"/>
      <c r="E63" s="15" t="s">
        <v>208</v>
      </c>
      <c r="F63" s="15" t="s">
        <v>1044</v>
      </c>
      <c r="G63" s="15">
        <f t="shared" si="8"/>
        <v>2</v>
      </c>
      <c r="H63" s="77">
        <v>1</v>
      </c>
      <c r="I63" s="85"/>
    </row>
    <row r="64" spans="1:9" ht="14.1" customHeight="1" x14ac:dyDescent="0.3">
      <c r="A64" s="76">
        <f t="shared" si="9"/>
        <v>7178</v>
      </c>
      <c r="B64" s="11" t="s">
        <v>1007</v>
      </c>
      <c r="C64" s="112"/>
      <c r="D64" s="112"/>
      <c r="E64" s="15" t="s">
        <v>123</v>
      </c>
      <c r="F64" s="15" t="s">
        <v>1044</v>
      </c>
      <c r="G64" s="15">
        <f t="shared" si="8"/>
        <v>1</v>
      </c>
      <c r="H64" s="77">
        <v>1</v>
      </c>
      <c r="I64" s="85"/>
    </row>
    <row r="65" spans="1:9" ht="14.1" customHeight="1" thickBot="1" x14ac:dyDescent="0.35">
      <c r="A65" s="78">
        <f t="shared" si="9"/>
        <v>7179</v>
      </c>
      <c r="B65" s="117" t="s">
        <v>1008</v>
      </c>
      <c r="C65" s="83"/>
      <c r="D65" s="83"/>
      <c r="E65" s="81" t="s">
        <v>123</v>
      </c>
      <c r="F65" s="81" t="s">
        <v>1044</v>
      </c>
      <c r="G65" s="81">
        <f t="shared" si="8"/>
        <v>1</v>
      </c>
      <c r="H65" s="82">
        <v>1</v>
      </c>
      <c r="I65" s="85"/>
    </row>
    <row r="66" spans="1:9" ht="14.1" customHeight="1" x14ac:dyDescent="0.3">
      <c r="A66" s="114">
        <f t="shared" si="9"/>
        <v>7180</v>
      </c>
      <c r="B66" s="115" t="s">
        <v>1009</v>
      </c>
      <c r="C66" s="114"/>
      <c r="D66" s="114"/>
      <c r="E66" s="32" t="s">
        <v>123</v>
      </c>
      <c r="F66" s="32" t="s">
        <v>1044</v>
      </c>
      <c r="G66" s="32">
        <v>1</v>
      </c>
      <c r="H66" s="114">
        <v>8</v>
      </c>
      <c r="I66" s="85"/>
    </row>
    <row r="67" spans="1:9" ht="14.1" customHeight="1" x14ac:dyDescent="0.3">
      <c r="A67" s="101">
        <f t="shared" si="9"/>
        <v>7188</v>
      </c>
      <c r="B67" s="12" t="s">
        <v>1010</v>
      </c>
      <c r="C67" s="101"/>
      <c r="D67" s="101"/>
      <c r="E67" s="15" t="s">
        <v>123</v>
      </c>
      <c r="F67" s="15" t="s">
        <v>1044</v>
      </c>
      <c r="G67" s="15">
        <v>1</v>
      </c>
      <c r="H67" s="101">
        <v>8</v>
      </c>
      <c r="I67" s="85"/>
    </row>
    <row r="68" spans="1:9" ht="14.1" customHeight="1" x14ac:dyDescent="0.3">
      <c r="A68" s="101">
        <f t="shared" si="9"/>
        <v>7196</v>
      </c>
      <c r="B68" s="12" t="s">
        <v>1011</v>
      </c>
      <c r="C68" s="101"/>
      <c r="D68" s="101"/>
      <c r="E68" s="15" t="s">
        <v>209</v>
      </c>
      <c r="F68" s="15" t="s">
        <v>1044</v>
      </c>
      <c r="G68" s="15">
        <v>1</v>
      </c>
      <c r="H68" s="101">
        <v>8</v>
      </c>
      <c r="I68" s="85"/>
    </row>
    <row r="69" spans="1:9" ht="14.1" customHeight="1" x14ac:dyDescent="0.3">
      <c r="A69" s="101">
        <f t="shared" si="9"/>
        <v>7204</v>
      </c>
      <c r="B69" s="12" t="s">
        <v>1012</v>
      </c>
      <c r="C69" s="101"/>
      <c r="D69" s="101"/>
      <c r="E69" s="15" t="s">
        <v>209</v>
      </c>
      <c r="F69" s="15" t="s">
        <v>1044</v>
      </c>
      <c r="G69" s="15">
        <v>1</v>
      </c>
      <c r="H69" s="101">
        <v>8</v>
      </c>
      <c r="I69" s="85"/>
    </row>
    <row r="70" spans="1:9" ht="14.1" customHeight="1" x14ac:dyDescent="0.3">
      <c r="A70" s="101">
        <f t="shared" si="9"/>
        <v>7212</v>
      </c>
      <c r="B70" s="12" t="s">
        <v>1013</v>
      </c>
      <c r="C70" s="101"/>
      <c r="D70" s="101"/>
      <c r="E70" s="15" t="s">
        <v>209</v>
      </c>
      <c r="F70" s="15" t="s">
        <v>1044</v>
      </c>
      <c r="G70" s="15">
        <v>1</v>
      </c>
      <c r="H70" s="101">
        <v>8</v>
      </c>
      <c r="I70" s="85"/>
    </row>
    <row r="71" spans="1:9" ht="14.1" customHeight="1" x14ac:dyDescent="0.3">
      <c r="A71" s="101">
        <f t="shared" si="9"/>
        <v>7220</v>
      </c>
      <c r="B71" s="12" t="s">
        <v>1092</v>
      </c>
      <c r="C71" s="101"/>
      <c r="D71" s="101"/>
      <c r="E71" s="15" t="s">
        <v>209</v>
      </c>
      <c r="F71" s="15" t="s">
        <v>1044</v>
      </c>
      <c r="G71" s="15">
        <v>1</v>
      </c>
      <c r="H71" s="101">
        <v>8</v>
      </c>
      <c r="I71" s="85"/>
    </row>
    <row r="72" spans="1:9" ht="14.1" customHeight="1" x14ac:dyDescent="0.3">
      <c r="A72" s="101">
        <f t="shared" si="9"/>
        <v>7228</v>
      </c>
      <c r="B72" s="12" t="s">
        <v>1093</v>
      </c>
      <c r="C72" s="101"/>
      <c r="D72" s="101"/>
      <c r="E72" s="15" t="s">
        <v>209</v>
      </c>
      <c r="F72" s="15" t="s">
        <v>1044</v>
      </c>
      <c r="G72" s="15">
        <v>1</v>
      </c>
      <c r="H72" s="101">
        <v>8</v>
      </c>
      <c r="I72" s="85"/>
    </row>
    <row r="73" spans="1:9" ht="14.1" customHeight="1" x14ac:dyDescent="0.3">
      <c r="A73" s="101">
        <f t="shared" si="9"/>
        <v>7236</v>
      </c>
      <c r="B73" s="12" t="s">
        <v>1094</v>
      </c>
      <c r="C73" s="101"/>
      <c r="D73" s="101"/>
      <c r="E73" s="15" t="s">
        <v>209</v>
      </c>
      <c r="F73" s="15" t="s">
        <v>1044</v>
      </c>
      <c r="G73" s="15">
        <v>1</v>
      </c>
      <c r="H73" s="101">
        <v>8</v>
      </c>
      <c r="I73" s="85"/>
    </row>
    <row r="74" spans="1:9" ht="14.1" customHeight="1" x14ac:dyDescent="0.3">
      <c r="A74" s="162" t="s">
        <v>1095</v>
      </c>
      <c r="B74" s="162"/>
      <c r="C74" s="162"/>
      <c r="D74" s="162"/>
      <c r="E74" s="162"/>
      <c r="F74" s="162"/>
      <c r="G74" s="162"/>
      <c r="H74" s="162"/>
      <c r="I74" s="88"/>
    </row>
    <row r="75" spans="1:9" ht="14.1" customHeight="1" x14ac:dyDescent="0.3">
      <c r="A75" s="101">
        <f>A73+(G73*H73)</f>
        <v>7244</v>
      </c>
      <c r="B75" s="11" t="s">
        <v>1014</v>
      </c>
      <c r="C75" s="101" t="s">
        <v>1236</v>
      </c>
      <c r="D75" s="101"/>
      <c r="E75" s="15" t="s">
        <v>209</v>
      </c>
      <c r="F75" s="15" t="s">
        <v>1045</v>
      </c>
      <c r="G75" s="15">
        <f t="shared" ref="G75:G97" si="10">IF(OR(E75="U16", E75="S16"),1,IF(E75="TS",6,2))</f>
        <v>1</v>
      </c>
      <c r="H75" s="101">
        <v>1</v>
      </c>
      <c r="I75" s="85"/>
    </row>
    <row r="76" spans="1:9" ht="14.1" customHeight="1" x14ac:dyDescent="0.3">
      <c r="A76" s="101">
        <f t="shared" ref="A76:A97" si="11">A75+(G75*H75)</f>
        <v>7245</v>
      </c>
      <c r="B76" s="11" t="s">
        <v>1015</v>
      </c>
      <c r="C76" s="101"/>
      <c r="D76" s="101"/>
      <c r="E76" s="15" t="s">
        <v>209</v>
      </c>
      <c r="F76" s="15" t="s">
        <v>1045</v>
      </c>
      <c r="G76" s="15">
        <f t="shared" si="10"/>
        <v>1</v>
      </c>
      <c r="H76" s="101">
        <v>1</v>
      </c>
      <c r="I76" s="85"/>
    </row>
    <row r="77" spans="1:9" ht="14.1" customHeight="1" x14ac:dyDescent="0.3">
      <c r="A77" s="101">
        <f t="shared" si="11"/>
        <v>7246</v>
      </c>
      <c r="B77" s="11" t="s">
        <v>1016</v>
      </c>
      <c r="C77" s="101" t="s">
        <v>1035</v>
      </c>
      <c r="D77" s="101"/>
      <c r="E77" s="15" t="s">
        <v>123</v>
      </c>
      <c r="F77" s="15" t="s">
        <v>1044</v>
      </c>
      <c r="G77" s="15">
        <f t="shared" si="10"/>
        <v>1</v>
      </c>
      <c r="H77" s="101">
        <v>1</v>
      </c>
      <c r="I77" s="85"/>
    </row>
    <row r="78" spans="1:9" ht="14.1" customHeight="1" x14ac:dyDescent="0.3">
      <c r="A78" s="101">
        <f t="shared" si="11"/>
        <v>7247</v>
      </c>
      <c r="B78" s="11" t="s">
        <v>1017</v>
      </c>
      <c r="C78" s="101"/>
      <c r="D78" s="101"/>
      <c r="E78" s="15" t="s">
        <v>123</v>
      </c>
      <c r="F78" s="15" t="s">
        <v>1044</v>
      </c>
      <c r="G78" s="15">
        <f t="shared" si="10"/>
        <v>1</v>
      </c>
      <c r="H78" s="101">
        <v>1</v>
      </c>
      <c r="I78" s="85"/>
    </row>
    <row r="79" spans="1:9" ht="14.1" customHeight="1" x14ac:dyDescent="0.3">
      <c r="A79" s="101">
        <f t="shared" si="11"/>
        <v>7248</v>
      </c>
      <c r="B79" s="11" t="s">
        <v>1018</v>
      </c>
      <c r="C79" s="101" t="s">
        <v>1235</v>
      </c>
      <c r="D79" s="101"/>
      <c r="E79" s="15" t="s">
        <v>123</v>
      </c>
      <c r="F79" s="15" t="s">
        <v>1044</v>
      </c>
      <c r="G79" s="15">
        <f t="shared" si="10"/>
        <v>1</v>
      </c>
      <c r="H79" s="101">
        <v>1</v>
      </c>
      <c r="I79" s="85"/>
    </row>
    <row r="80" spans="1:9" ht="14.1" customHeight="1" x14ac:dyDescent="0.3">
      <c r="A80" s="101">
        <f t="shared" si="11"/>
        <v>7249</v>
      </c>
      <c r="B80" s="23" t="s">
        <v>1019</v>
      </c>
      <c r="C80" s="22" t="s">
        <v>1036</v>
      </c>
      <c r="D80" s="22"/>
      <c r="E80" s="24" t="s">
        <v>123</v>
      </c>
      <c r="F80" s="15" t="s">
        <v>1044</v>
      </c>
      <c r="G80" s="24">
        <f t="shared" si="10"/>
        <v>1</v>
      </c>
      <c r="H80" s="22">
        <v>1</v>
      </c>
      <c r="I80" s="98"/>
    </row>
    <row r="81" spans="1:9" ht="14.1" customHeight="1" x14ac:dyDescent="0.3">
      <c r="A81" s="101">
        <f t="shared" si="11"/>
        <v>7250</v>
      </c>
      <c r="B81" s="13" t="s">
        <v>1020</v>
      </c>
      <c r="C81" s="101"/>
      <c r="D81" s="101"/>
      <c r="E81" s="15" t="s">
        <v>123</v>
      </c>
      <c r="F81" s="15" t="s">
        <v>1044</v>
      </c>
      <c r="G81" s="15">
        <f t="shared" si="10"/>
        <v>1</v>
      </c>
      <c r="H81" s="101">
        <v>1</v>
      </c>
      <c r="I81" s="85"/>
    </row>
    <row r="82" spans="1:9" ht="14.1" customHeight="1" x14ac:dyDescent="0.3">
      <c r="A82" s="101">
        <f t="shared" si="11"/>
        <v>7251</v>
      </c>
      <c r="B82" s="13" t="s">
        <v>1021</v>
      </c>
      <c r="C82" s="101"/>
      <c r="D82" s="101"/>
      <c r="E82" s="15" t="s">
        <v>123</v>
      </c>
      <c r="F82" s="15" t="s">
        <v>1044</v>
      </c>
      <c r="G82" s="15">
        <f t="shared" si="10"/>
        <v>1</v>
      </c>
      <c r="H82" s="101">
        <v>1</v>
      </c>
      <c r="I82" s="85"/>
    </row>
    <row r="83" spans="1:9" ht="14.1" customHeight="1" x14ac:dyDescent="0.3">
      <c r="A83" s="101">
        <f t="shared" si="11"/>
        <v>7252</v>
      </c>
      <c r="B83" s="13" t="s">
        <v>1022</v>
      </c>
      <c r="C83" s="101"/>
      <c r="D83" s="101"/>
      <c r="E83" s="15" t="s">
        <v>123</v>
      </c>
      <c r="F83" s="15" t="s">
        <v>1044</v>
      </c>
      <c r="G83" s="15">
        <f t="shared" si="10"/>
        <v>1</v>
      </c>
      <c r="H83" s="101">
        <v>1</v>
      </c>
      <c r="I83" s="85"/>
    </row>
    <row r="84" spans="1:9" ht="67.5" x14ac:dyDescent="0.3">
      <c r="A84" s="101">
        <f t="shared" si="11"/>
        <v>7253</v>
      </c>
      <c r="B84" s="13" t="s">
        <v>1024</v>
      </c>
      <c r="C84" s="101" t="s">
        <v>1023</v>
      </c>
      <c r="D84" s="101"/>
      <c r="E84" s="15" t="s">
        <v>123</v>
      </c>
      <c r="F84" s="15" t="s">
        <v>1044</v>
      </c>
      <c r="G84" s="15">
        <f t="shared" si="10"/>
        <v>1</v>
      </c>
      <c r="H84" s="101">
        <v>1</v>
      </c>
      <c r="I84" s="85"/>
    </row>
    <row r="85" spans="1:9" ht="14.1" customHeight="1" x14ac:dyDescent="0.3">
      <c r="A85" s="101">
        <f t="shared" si="11"/>
        <v>7254</v>
      </c>
      <c r="B85" s="13" t="s">
        <v>1025</v>
      </c>
      <c r="C85" s="101"/>
      <c r="D85" s="101"/>
      <c r="E85" s="15" t="s">
        <v>123</v>
      </c>
      <c r="F85" s="15" t="s">
        <v>1044</v>
      </c>
      <c r="G85" s="15">
        <f t="shared" si="10"/>
        <v>1</v>
      </c>
      <c r="H85" s="101">
        <v>1</v>
      </c>
      <c r="I85" s="85"/>
    </row>
    <row r="86" spans="1:9" ht="14.1" customHeight="1" x14ac:dyDescent="0.3">
      <c r="A86" s="101">
        <f t="shared" si="11"/>
        <v>7255</v>
      </c>
      <c r="B86" s="13" t="s">
        <v>1026</v>
      </c>
      <c r="C86" s="101"/>
      <c r="D86" s="101"/>
      <c r="E86" s="15" t="s">
        <v>123</v>
      </c>
      <c r="F86" s="15" t="s">
        <v>1044</v>
      </c>
      <c r="G86" s="15">
        <f t="shared" si="10"/>
        <v>1</v>
      </c>
      <c r="H86" s="101">
        <v>1</v>
      </c>
      <c r="I86" s="85"/>
    </row>
    <row r="87" spans="1:9" ht="14.1" customHeight="1" x14ac:dyDescent="0.3">
      <c r="A87" s="101">
        <f t="shared" si="11"/>
        <v>7256</v>
      </c>
      <c r="B87" s="13" t="s">
        <v>1028</v>
      </c>
      <c r="C87" s="101" t="s">
        <v>1027</v>
      </c>
      <c r="D87" s="101"/>
      <c r="E87" s="15" t="s">
        <v>123</v>
      </c>
      <c r="F87" s="15" t="s">
        <v>1044</v>
      </c>
      <c r="G87" s="15">
        <f t="shared" si="10"/>
        <v>1</v>
      </c>
      <c r="H87" s="101">
        <v>1</v>
      </c>
      <c r="I87" s="85"/>
    </row>
    <row r="88" spans="1:9" ht="14.1" customHeight="1" x14ac:dyDescent="0.3">
      <c r="A88" s="101">
        <f t="shared" si="11"/>
        <v>7257</v>
      </c>
      <c r="B88" s="13" t="s">
        <v>1029</v>
      </c>
      <c r="C88" s="101"/>
      <c r="D88" s="101"/>
      <c r="E88" s="15" t="s">
        <v>123</v>
      </c>
      <c r="F88" s="15" t="s">
        <v>1044</v>
      </c>
      <c r="G88" s="15">
        <f t="shared" si="10"/>
        <v>1</v>
      </c>
      <c r="H88" s="101">
        <v>1</v>
      </c>
      <c r="I88" s="85"/>
    </row>
    <row r="89" spans="1:9" ht="14.1" customHeight="1" x14ac:dyDescent="0.3">
      <c r="A89" s="101">
        <f t="shared" si="11"/>
        <v>7258</v>
      </c>
      <c r="B89" s="13" t="s">
        <v>1008</v>
      </c>
      <c r="C89" s="101"/>
      <c r="D89" s="101"/>
      <c r="E89" s="15" t="s">
        <v>123</v>
      </c>
      <c r="F89" s="15" t="s">
        <v>1044</v>
      </c>
      <c r="G89" s="15">
        <f t="shared" si="10"/>
        <v>1</v>
      </c>
      <c r="H89" s="101">
        <v>2</v>
      </c>
      <c r="I89" s="85"/>
    </row>
    <row r="90" spans="1:9" ht="14.1" customHeight="1" x14ac:dyDescent="0.3">
      <c r="A90" s="101">
        <f t="shared" si="11"/>
        <v>7260</v>
      </c>
      <c r="B90" s="13" t="s">
        <v>1030</v>
      </c>
      <c r="C90" s="101"/>
      <c r="D90" s="101"/>
      <c r="E90" s="15" t="s">
        <v>123</v>
      </c>
      <c r="F90" s="15" t="s">
        <v>1044</v>
      </c>
      <c r="G90" s="15">
        <f t="shared" si="10"/>
        <v>1</v>
      </c>
      <c r="H90" s="101">
        <v>16</v>
      </c>
      <c r="I90" s="85"/>
    </row>
    <row r="91" spans="1:9" ht="14.1" customHeight="1" x14ac:dyDescent="0.3">
      <c r="A91" s="101">
        <f t="shared" si="11"/>
        <v>7276</v>
      </c>
      <c r="B91" s="13" t="s">
        <v>1031</v>
      </c>
      <c r="C91" s="101"/>
      <c r="D91" s="101"/>
      <c r="E91" s="15" t="s">
        <v>123</v>
      </c>
      <c r="F91" s="15" t="s">
        <v>1044</v>
      </c>
      <c r="G91" s="15">
        <f t="shared" si="10"/>
        <v>1</v>
      </c>
      <c r="H91" s="101">
        <v>16</v>
      </c>
      <c r="I91" s="85"/>
    </row>
    <row r="92" spans="1:9" ht="14.1" customHeight="1" x14ac:dyDescent="0.3">
      <c r="A92" s="101">
        <f t="shared" si="11"/>
        <v>7292</v>
      </c>
      <c r="B92" s="13" t="s">
        <v>1032</v>
      </c>
      <c r="C92" s="101"/>
      <c r="D92" s="101"/>
      <c r="E92" s="15" t="s">
        <v>209</v>
      </c>
      <c r="F92" s="15" t="s">
        <v>1044</v>
      </c>
      <c r="G92" s="15">
        <f t="shared" si="10"/>
        <v>1</v>
      </c>
      <c r="H92" s="101">
        <v>16</v>
      </c>
      <c r="I92" s="85"/>
    </row>
    <row r="93" spans="1:9" ht="14.1" customHeight="1" x14ac:dyDescent="0.3">
      <c r="A93" s="101">
        <f t="shared" si="11"/>
        <v>7308</v>
      </c>
      <c r="B93" s="13" t="s">
        <v>1033</v>
      </c>
      <c r="C93" s="101"/>
      <c r="D93" s="101"/>
      <c r="E93" s="15" t="s">
        <v>209</v>
      </c>
      <c r="F93" s="15" t="s">
        <v>1044</v>
      </c>
      <c r="G93" s="15">
        <f t="shared" si="10"/>
        <v>1</v>
      </c>
      <c r="H93" s="101">
        <v>16</v>
      </c>
      <c r="I93" s="85"/>
    </row>
    <row r="94" spans="1:9" ht="14.1" customHeight="1" x14ac:dyDescent="0.3">
      <c r="A94" s="101">
        <f t="shared" si="11"/>
        <v>7324</v>
      </c>
      <c r="B94" s="13" t="s">
        <v>1034</v>
      </c>
      <c r="C94" s="101"/>
      <c r="D94" s="101"/>
      <c r="E94" s="15" t="s">
        <v>209</v>
      </c>
      <c r="F94" s="15" t="s">
        <v>1044</v>
      </c>
      <c r="G94" s="15">
        <f t="shared" si="10"/>
        <v>1</v>
      </c>
      <c r="H94" s="101">
        <v>16</v>
      </c>
      <c r="I94" s="85"/>
    </row>
    <row r="95" spans="1:9" ht="14.1" customHeight="1" x14ac:dyDescent="0.3">
      <c r="A95" s="101">
        <f t="shared" si="11"/>
        <v>7340</v>
      </c>
      <c r="B95" s="13" t="s">
        <v>1096</v>
      </c>
      <c r="C95" s="101"/>
      <c r="D95" s="101"/>
      <c r="E95" s="15" t="s">
        <v>209</v>
      </c>
      <c r="F95" s="15" t="s">
        <v>1044</v>
      </c>
      <c r="G95" s="15">
        <f t="shared" si="10"/>
        <v>1</v>
      </c>
      <c r="H95" s="101">
        <v>16</v>
      </c>
      <c r="I95" s="85"/>
    </row>
    <row r="96" spans="1:9" ht="14.1" customHeight="1" x14ac:dyDescent="0.3">
      <c r="A96" s="101">
        <f t="shared" si="11"/>
        <v>7356</v>
      </c>
      <c r="B96" s="13" t="s">
        <v>1097</v>
      </c>
      <c r="C96" s="101"/>
      <c r="D96" s="101"/>
      <c r="E96" s="15" t="s">
        <v>209</v>
      </c>
      <c r="F96" s="15" t="s">
        <v>1044</v>
      </c>
      <c r="G96" s="15">
        <f t="shared" si="10"/>
        <v>1</v>
      </c>
      <c r="H96" s="101">
        <v>16</v>
      </c>
      <c r="I96" s="85"/>
    </row>
    <row r="97" spans="1:9" ht="14.1" customHeight="1" x14ac:dyDescent="0.3">
      <c r="A97" s="101">
        <f t="shared" si="11"/>
        <v>7372</v>
      </c>
      <c r="B97" s="13" t="s">
        <v>1098</v>
      </c>
      <c r="C97" s="101"/>
      <c r="D97" s="101"/>
      <c r="E97" s="15" t="s">
        <v>209</v>
      </c>
      <c r="F97" s="15" t="s">
        <v>1044</v>
      </c>
      <c r="G97" s="15">
        <f t="shared" si="10"/>
        <v>1</v>
      </c>
      <c r="H97" s="101">
        <v>16</v>
      </c>
      <c r="I97" s="85"/>
    </row>
    <row r="98" spans="1:9" ht="14.1" customHeight="1" x14ac:dyDescent="0.3">
      <c r="A98" s="162" t="s">
        <v>244</v>
      </c>
      <c r="B98" s="162"/>
      <c r="C98" s="162"/>
      <c r="D98" s="162"/>
      <c r="E98" s="162"/>
      <c r="F98" s="162"/>
      <c r="G98" s="162"/>
      <c r="H98" s="162"/>
      <c r="I98" s="88"/>
    </row>
    <row r="99" spans="1:9" ht="27" x14ac:dyDescent="0.3">
      <c r="A99" s="101">
        <f>A97+(G97*H97)</f>
        <v>7388</v>
      </c>
      <c r="B99" s="11" t="s">
        <v>1038</v>
      </c>
      <c r="C99" s="101" t="s">
        <v>1037</v>
      </c>
      <c r="D99" s="101"/>
      <c r="E99" s="15" t="s">
        <v>123</v>
      </c>
      <c r="F99" s="15" t="s">
        <v>1045</v>
      </c>
      <c r="G99" s="15">
        <f t="shared" ref="G99:G111" si="12">IF(OR(E99="U16", E99="S16"),1,IF(E99="TS",6,2))</f>
        <v>1</v>
      </c>
      <c r="H99" s="101">
        <v>1</v>
      </c>
      <c r="I99" s="85"/>
    </row>
    <row r="100" spans="1:9" ht="14.1" customHeight="1" x14ac:dyDescent="0.3">
      <c r="A100" s="101">
        <f t="shared" ref="A100:A111" si="13">A99+(G99*H99)</f>
        <v>7389</v>
      </c>
      <c r="B100" s="11" t="s">
        <v>1039</v>
      </c>
      <c r="C100" s="101" t="s">
        <v>1040</v>
      </c>
      <c r="D100" s="101"/>
      <c r="E100" s="15" t="s">
        <v>123</v>
      </c>
      <c r="F100" s="15" t="s">
        <v>1045</v>
      </c>
      <c r="G100" s="15">
        <f t="shared" si="12"/>
        <v>1</v>
      </c>
      <c r="H100" s="101">
        <v>1</v>
      </c>
      <c r="I100" s="85"/>
    </row>
    <row r="101" spans="1:9" ht="14.1" customHeight="1" x14ac:dyDescent="0.3">
      <c r="A101" s="101">
        <f t="shared" si="13"/>
        <v>7390</v>
      </c>
      <c r="B101" s="13" t="s">
        <v>202</v>
      </c>
      <c r="C101" s="101" t="s">
        <v>1238</v>
      </c>
      <c r="D101" s="101"/>
      <c r="E101" s="15" t="s">
        <v>123</v>
      </c>
      <c r="F101" s="15" t="s">
        <v>1044</v>
      </c>
      <c r="G101" s="15">
        <f t="shared" si="12"/>
        <v>1</v>
      </c>
      <c r="H101" s="101">
        <v>1</v>
      </c>
      <c r="I101" s="85"/>
    </row>
    <row r="102" spans="1:9" ht="24" x14ac:dyDescent="0.3">
      <c r="A102" s="101">
        <f t="shared" si="13"/>
        <v>7391</v>
      </c>
      <c r="B102" s="40" t="s">
        <v>590</v>
      </c>
      <c r="D102" s="101"/>
      <c r="E102" s="15" t="s">
        <v>123</v>
      </c>
      <c r="F102" s="15" t="s">
        <v>1044</v>
      </c>
      <c r="G102" s="15">
        <f t="shared" si="12"/>
        <v>1</v>
      </c>
      <c r="H102" s="101">
        <v>1</v>
      </c>
      <c r="I102" s="85"/>
    </row>
    <row r="103" spans="1:9" ht="14.1" customHeight="1" x14ac:dyDescent="0.3">
      <c r="A103" s="101">
        <f t="shared" si="13"/>
        <v>7392</v>
      </c>
      <c r="B103" s="13" t="s">
        <v>1218</v>
      </c>
      <c r="C103" s="101"/>
      <c r="D103" s="101"/>
      <c r="E103" s="15" t="s">
        <v>208</v>
      </c>
      <c r="F103" s="15" t="s">
        <v>1044</v>
      </c>
      <c r="G103" s="15">
        <f t="shared" si="12"/>
        <v>2</v>
      </c>
      <c r="H103" s="100">
        <v>3</v>
      </c>
      <c r="I103" s="85"/>
    </row>
    <row r="104" spans="1:9" ht="14.1" customHeight="1" x14ac:dyDescent="0.3">
      <c r="A104" s="101">
        <f t="shared" si="13"/>
        <v>7398</v>
      </c>
      <c r="B104" s="149" t="s">
        <v>199</v>
      </c>
      <c r="C104" s="150"/>
      <c r="D104" s="150"/>
      <c r="E104" s="150" t="s">
        <v>123</v>
      </c>
      <c r="F104" s="150" t="s">
        <v>1044</v>
      </c>
      <c r="G104" s="150">
        <f t="shared" si="12"/>
        <v>1</v>
      </c>
      <c r="H104" s="150">
        <v>1</v>
      </c>
      <c r="I104" s="85"/>
    </row>
    <row r="105" spans="1:9" ht="14.1" customHeight="1" x14ac:dyDescent="0.3">
      <c r="A105" s="101">
        <f t="shared" si="13"/>
        <v>7399</v>
      </c>
      <c r="B105" s="149" t="s">
        <v>200</v>
      </c>
      <c r="C105" s="150"/>
      <c r="D105" s="150"/>
      <c r="E105" s="150" t="s">
        <v>123</v>
      </c>
      <c r="F105" s="150" t="s">
        <v>1044</v>
      </c>
      <c r="G105" s="150">
        <f t="shared" si="12"/>
        <v>1</v>
      </c>
      <c r="H105" s="150">
        <v>1</v>
      </c>
      <c r="I105" s="85"/>
    </row>
    <row r="106" spans="1:9" ht="14.1" customHeight="1" x14ac:dyDescent="0.3">
      <c r="A106" s="101">
        <f t="shared" si="13"/>
        <v>7400</v>
      </c>
      <c r="B106" s="149" t="s">
        <v>201</v>
      </c>
      <c r="C106" s="150"/>
      <c r="D106" s="150"/>
      <c r="E106" s="150" t="s">
        <v>123</v>
      </c>
      <c r="F106" s="150" t="s">
        <v>1044</v>
      </c>
      <c r="G106" s="150">
        <f t="shared" si="12"/>
        <v>1</v>
      </c>
      <c r="H106" s="150">
        <v>1</v>
      </c>
      <c r="I106" s="85"/>
    </row>
    <row r="107" spans="1:9" ht="14.1" customHeight="1" x14ac:dyDescent="0.3">
      <c r="A107" s="101">
        <f t="shared" si="13"/>
        <v>7401</v>
      </c>
      <c r="B107" s="12" t="s">
        <v>592</v>
      </c>
      <c r="C107" s="101" t="s">
        <v>591</v>
      </c>
      <c r="D107" s="101"/>
      <c r="E107" s="15" t="s">
        <v>114</v>
      </c>
      <c r="F107" s="15" t="s">
        <v>1044</v>
      </c>
      <c r="G107" s="15">
        <f t="shared" si="12"/>
        <v>1</v>
      </c>
      <c r="H107" s="101">
        <v>1</v>
      </c>
      <c r="I107" s="85"/>
    </row>
    <row r="108" spans="1:9" ht="14.1" customHeight="1" x14ac:dyDescent="0.3">
      <c r="A108" s="101">
        <f t="shared" si="13"/>
        <v>7402</v>
      </c>
      <c r="B108" s="12" t="s">
        <v>558</v>
      </c>
      <c r="C108" s="101" t="s">
        <v>559</v>
      </c>
      <c r="D108" s="101"/>
      <c r="E108" s="15" t="s">
        <v>123</v>
      </c>
      <c r="F108" s="15" t="s">
        <v>1044</v>
      </c>
      <c r="G108" s="15">
        <f t="shared" si="12"/>
        <v>1</v>
      </c>
      <c r="H108" s="101">
        <v>1</v>
      </c>
      <c r="I108" s="85"/>
    </row>
    <row r="109" spans="1:9" ht="14.1" customHeight="1" x14ac:dyDescent="0.3">
      <c r="A109" s="101">
        <f t="shared" si="13"/>
        <v>7403</v>
      </c>
      <c r="B109" s="12" t="s">
        <v>1101</v>
      </c>
      <c r="C109" s="101" t="s">
        <v>1103</v>
      </c>
      <c r="D109" s="101"/>
      <c r="E109" s="15" t="s">
        <v>123</v>
      </c>
      <c r="F109" s="15" t="s">
        <v>1044</v>
      </c>
      <c r="G109" s="15">
        <f t="shared" si="12"/>
        <v>1</v>
      </c>
      <c r="H109" s="101">
        <v>1</v>
      </c>
      <c r="I109" s="85"/>
    </row>
    <row r="110" spans="1:9" ht="14.1" customHeight="1" x14ac:dyDescent="0.3">
      <c r="A110" s="101">
        <f t="shared" si="13"/>
        <v>7404</v>
      </c>
      <c r="B110" s="9" t="s">
        <v>1102</v>
      </c>
      <c r="C110" s="101"/>
      <c r="D110" s="101"/>
      <c r="E110" s="15" t="s">
        <v>123</v>
      </c>
      <c r="F110" s="15" t="s">
        <v>1044</v>
      </c>
      <c r="G110" s="15">
        <f t="shared" si="12"/>
        <v>1</v>
      </c>
      <c r="H110" s="101">
        <v>1</v>
      </c>
      <c r="I110" s="85"/>
    </row>
    <row r="111" spans="1:9" ht="14.1" customHeight="1" x14ac:dyDescent="0.3">
      <c r="A111" s="101">
        <f t="shared" si="13"/>
        <v>7405</v>
      </c>
      <c r="B111" s="101"/>
      <c r="C111" s="101"/>
      <c r="D111" s="101"/>
      <c r="E111" s="15" t="s">
        <v>123</v>
      </c>
      <c r="F111" s="15"/>
      <c r="G111" s="15">
        <f t="shared" si="12"/>
        <v>1</v>
      </c>
      <c r="H111" s="100">
        <v>5</v>
      </c>
      <c r="I111" s="85"/>
    </row>
    <row r="112" spans="1:9" ht="14.1" customHeight="1" x14ac:dyDescent="0.3">
      <c r="A112" s="167" t="s">
        <v>958</v>
      </c>
      <c r="B112" s="167"/>
      <c r="C112" s="167"/>
      <c r="D112" s="167"/>
      <c r="E112" s="167"/>
      <c r="F112" s="167"/>
      <c r="G112" s="167"/>
      <c r="H112" s="167"/>
      <c r="I112" s="99"/>
    </row>
    <row r="113" spans="1:9" ht="14.1" customHeight="1" x14ac:dyDescent="0.3">
      <c r="A113" s="100">
        <f>A111+(G111*H111)</f>
        <v>7410</v>
      </c>
      <c r="B113" s="18" t="s">
        <v>254</v>
      </c>
      <c r="C113" s="18"/>
      <c r="D113" s="18"/>
      <c r="E113" s="19" t="s">
        <v>123</v>
      </c>
      <c r="F113" s="19" t="s">
        <v>1045</v>
      </c>
      <c r="G113" s="19">
        <f>IF(OR(E113="U16", E113="S16"),1,IF(E113="TS",6,2))</f>
        <v>1</v>
      </c>
      <c r="H113" s="101">
        <v>1</v>
      </c>
      <c r="I113" s="85"/>
    </row>
    <row r="114" spans="1:9" ht="14.1" customHeight="1" x14ac:dyDescent="0.3">
      <c r="A114" s="101">
        <f t="shared" ref="A114:A118" si="14">A113+(G113*H113)</f>
        <v>7411</v>
      </c>
      <c r="B114" s="18" t="s">
        <v>195</v>
      </c>
      <c r="C114" s="20"/>
      <c r="D114" s="20"/>
      <c r="E114" s="19" t="s">
        <v>123</v>
      </c>
      <c r="F114" s="19" t="s">
        <v>1045</v>
      </c>
      <c r="G114" s="19">
        <f t="shared" ref="G114:G118" si="15">IF(OR(E114="U16", E114="S16"),1,IF(E114="TS",6,2))</f>
        <v>1</v>
      </c>
      <c r="H114" s="101">
        <v>1</v>
      </c>
      <c r="I114" s="85"/>
    </row>
    <row r="115" spans="1:9" ht="14.1" customHeight="1" x14ac:dyDescent="0.3">
      <c r="A115" s="101">
        <f t="shared" si="14"/>
        <v>7412</v>
      </c>
      <c r="B115" s="9" t="s">
        <v>960</v>
      </c>
      <c r="C115" s="101" t="s">
        <v>959</v>
      </c>
      <c r="D115" s="18"/>
      <c r="E115" s="19" t="s">
        <v>123</v>
      </c>
      <c r="F115" s="19" t="s">
        <v>1044</v>
      </c>
      <c r="G115" s="19">
        <f t="shared" si="15"/>
        <v>1</v>
      </c>
      <c r="H115" s="101">
        <v>4</v>
      </c>
      <c r="I115" s="85"/>
    </row>
    <row r="116" spans="1:9" ht="14.1" customHeight="1" x14ac:dyDescent="0.3">
      <c r="A116" s="101">
        <f t="shared" si="14"/>
        <v>7416</v>
      </c>
      <c r="B116" s="9" t="s">
        <v>961</v>
      </c>
      <c r="C116" s="19" t="s">
        <v>1085</v>
      </c>
      <c r="D116" s="18"/>
      <c r="E116" s="19" t="s">
        <v>123</v>
      </c>
      <c r="F116" s="19" t="s">
        <v>1044</v>
      </c>
      <c r="G116" s="19">
        <f t="shared" si="15"/>
        <v>1</v>
      </c>
      <c r="H116" s="101">
        <v>4</v>
      </c>
      <c r="I116" s="85"/>
    </row>
    <row r="117" spans="1:9" ht="14.1" customHeight="1" x14ac:dyDescent="0.3">
      <c r="A117" s="101">
        <f t="shared" si="14"/>
        <v>7420</v>
      </c>
      <c r="B117" s="9" t="s">
        <v>962</v>
      </c>
      <c r="C117" s="19" t="s">
        <v>1217</v>
      </c>
      <c r="D117" s="18"/>
      <c r="E117" s="19" t="s">
        <v>123</v>
      </c>
      <c r="F117" s="19" t="s">
        <v>1044</v>
      </c>
      <c r="G117" s="19">
        <f t="shared" si="15"/>
        <v>1</v>
      </c>
      <c r="H117" s="101">
        <v>4</v>
      </c>
      <c r="I117" s="85"/>
    </row>
    <row r="118" spans="1:9" ht="14.1" customHeight="1" x14ac:dyDescent="0.3">
      <c r="A118" s="101">
        <f t="shared" si="14"/>
        <v>7424</v>
      </c>
      <c r="B118" s="18" t="s">
        <v>195</v>
      </c>
      <c r="D118" s="20"/>
      <c r="E118" s="19" t="s">
        <v>123</v>
      </c>
      <c r="F118" s="19" t="s">
        <v>1044</v>
      </c>
      <c r="G118" s="19">
        <f t="shared" si="15"/>
        <v>1</v>
      </c>
      <c r="H118" s="101">
        <v>14</v>
      </c>
      <c r="I118" s="85"/>
    </row>
    <row r="119" spans="1:9" ht="14.1" customHeight="1" x14ac:dyDescent="0.3">
      <c r="A119" s="162" t="s">
        <v>231</v>
      </c>
      <c r="B119" s="162"/>
      <c r="C119" s="162"/>
      <c r="D119" s="162"/>
      <c r="E119" s="162"/>
      <c r="F119" s="162"/>
      <c r="G119" s="162"/>
      <c r="H119" s="162"/>
      <c r="I119" s="88"/>
    </row>
    <row r="120" spans="1:9" ht="14.1" customHeight="1" x14ac:dyDescent="0.3">
      <c r="A120" s="101">
        <f>A118+(G118*H118)</f>
        <v>7438</v>
      </c>
      <c r="B120" s="9" t="s">
        <v>515</v>
      </c>
      <c r="C120" s="101"/>
      <c r="D120" s="101"/>
      <c r="E120" s="15" t="s">
        <v>123</v>
      </c>
      <c r="F120" s="19" t="s">
        <v>1045</v>
      </c>
      <c r="G120" s="15">
        <f t="shared" ref="G120" si="16">IF(OR(E120="U16", E120="S16"),1,IF(E120="TS",6,2))</f>
        <v>1</v>
      </c>
      <c r="H120" s="101">
        <v>4</v>
      </c>
      <c r="I120" s="85"/>
    </row>
    <row r="121" spans="1:9" ht="14.1" customHeight="1" x14ac:dyDescent="0.3">
      <c r="A121" s="101">
        <f t="shared" ref="A121:A143" si="17">A120+(G120*H120)</f>
        <v>7442</v>
      </c>
      <c r="B121" s="14"/>
      <c r="C121" s="101"/>
      <c r="D121" s="101"/>
      <c r="E121" s="15" t="s">
        <v>123</v>
      </c>
      <c r="F121" s="19" t="s">
        <v>1045</v>
      </c>
      <c r="G121" s="15">
        <v>1</v>
      </c>
      <c r="H121" s="101">
        <v>6</v>
      </c>
      <c r="I121" s="85"/>
    </row>
    <row r="122" spans="1:9" ht="14.1" customHeight="1" x14ac:dyDescent="0.3">
      <c r="A122" s="101">
        <f t="shared" si="17"/>
        <v>7448</v>
      </c>
      <c r="B122" s="14" t="s">
        <v>232</v>
      </c>
      <c r="C122" s="143" t="s">
        <v>1184</v>
      </c>
      <c r="D122" s="101"/>
      <c r="E122" s="15" t="s">
        <v>123</v>
      </c>
      <c r="F122" s="19">
        <v>6</v>
      </c>
      <c r="G122" s="15">
        <f t="shared" ref="G122:G139" si="18">IF(OR(E122="U16", E122="S16"),1,IF(E122="TS",6,2))</f>
        <v>1</v>
      </c>
      <c r="H122" s="101">
        <v>1</v>
      </c>
      <c r="I122" s="85"/>
    </row>
    <row r="123" spans="1:9" ht="14.1" customHeight="1" x14ac:dyDescent="0.3">
      <c r="A123" s="103">
        <f t="shared" si="17"/>
        <v>7449</v>
      </c>
      <c r="B123" s="107" t="s">
        <v>233</v>
      </c>
      <c r="C123" s="143" t="s">
        <v>1184</v>
      </c>
      <c r="D123" s="103"/>
      <c r="E123" s="103" t="s">
        <v>123</v>
      </c>
      <c r="F123" s="108">
        <v>6</v>
      </c>
      <c r="G123" s="103">
        <f t="shared" si="18"/>
        <v>1</v>
      </c>
      <c r="H123" s="103">
        <v>1</v>
      </c>
      <c r="I123" s="85"/>
    </row>
    <row r="124" spans="1:9" ht="268.5" customHeight="1" x14ac:dyDescent="0.3">
      <c r="A124" s="103">
        <f t="shared" si="17"/>
        <v>7450</v>
      </c>
      <c r="B124" s="58" t="s">
        <v>1115</v>
      </c>
      <c r="C124" s="143" t="s">
        <v>1227</v>
      </c>
      <c r="D124" s="103"/>
      <c r="E124" s="103" t="s">
        <v>123</v>
      </c>
      <c r="F124" s="108">
        <v>6</v>
      </c>
      <c r="G124" s="103">
        <f t="shared" si="18"/>
        <v>1</v>
      </c>
      <c r="H124" s="103">
        <v>10</v>
      </c>
      <c r="I124" s="85"/>
    </row>
    <row r="125" spans="1:9" ht="14.1" customHeight="1" x14ac:dyDescent="0.3">
      <c r="A125" s="103">
        <f t="shared" si="17"/>
        <v>7460</v>
      </c>
      <c r="B125" s="107" t="s">
        <v>1224</v>
      </c>
      <c r="C125" s="103"/>
      <c r="D125" s="103"/>
      <c r="E125" s="103" t="s">
        <v>123</v>
      </c>
      <c r="F125" s="108">
        <v>6</v>
      </c>
      <c r="G125" s="103">
        <f t="shared" si="18"/>
        <v>1</v>
      </c>
      <c r="H125" s="103">
        <v>1</v>
      </c>
      <c r="I125" s="85"/>
    </row>
    <row r="126" spans="1:9" ht="14.1" customHeight="1" x14ac:dyDescent="0.3">
      <c r="A126" s="103">
        <f t="shared" si="17"/>
        <v>7461</v>
      </c>
      <c r="B126" s="107" t="s">
        <v>1225</v>
      </c>
      <c r="C126" s="103"/>
      <c r="D126" s="103"/>
      <c r="E126" s="103" t="s">
        <v>123</v>
      </c>
      <c r="F126" s="108">
        <v>6</v>
      </c>
      <c r="G126" s="103">
        <f t="shared" si="18"/>
        <v>1</v>
      </c>
      <c r="H126" s="103">
        <v>1</v>
      </c>
      <c r="I126" s="85"/>
    </row>
    <row r="127" spans="1:9" ht="14.1" customHeight="1" x14ac:dyDescent="0.3">
      <c r="A127" s="103">
        <f t="shared" si="17"/>
        <v>7462</v>
      </c>
      <c r="B127" s="107" t="s">
        <v>1226</v>
      </c>
      <c r="C127" s="103"/>
      <c r="D127" s="103"/>
      <c r="E127" s="103" t="s">
        <v>123</v>
      </c>
      <c r="F127" s="103">
        <v>6</v>
      </c>
      <c r="G127" s="103">
        <f>IF(OR(E127="U16", E127="S16"),1,IF(E127="TS",6,2))</f>
        <v>1</v>
      </c>
      <c r="H127" s="103">
        <v>1</v>
      </c>
      <c r="I127" s="85"/>
    </row>
    <row r="128" spans="1:9" ht="14.1" customHeight="1" x14ac:dyDescent="0.3">
      <c r="A128" s="156">
        <f t="shared" si="17"/>
        <v>7463</v>
      </c>
      <c r="B128" s="158" t="s">
        <v>1232</v>
      </c>
      <c r="C128" s="156"/>
      <c r="D128" s="156"/>
      <c r="E128" s="156" t="s">
        <v>123</v>
      </c>
      <c r="F128" s="156">
        <v>6</v>
      </c>
      <c r="G128" s="156">
        <f>IF(OR(E128="U16", E128="S16"),1,IF(E128="TS",6,2))</f>
        <v>1</v>
      </c>
      <c r="H128" s="156">
        <v>1</v>
      </c>
      <c r="I128" s="85"/>
    </row>
    <row r="129" spans="1:9" ht="14.1" customHeight="1" x14ac:dyDescent="0.3">
      <c r="A129" s="156">
        <f t="shared" si="17"/>
        <v>7464</v>
      </c>
      <c r="B129" s="107" t="s">
        <v>234</v>
      </c>
      <c r="C129" s="130" t="s">
        <v>1184</v>
      </c>
      <c r="D129" s="103"/>
      <c r="E129" s="103" t="s">
        <v>123</v>
      </c>
      <c r="F129" s="108">
        <v>6</v>
      </c>
      <c r="G129" s="103">
        <f t="shared" si="18"/>
        <v>1</v>
      </c>
      <c r="H129" s="103">
        <v>1</v>
      </c>
      <c r="I129" s="85"/>
    </row>
    <row r="130" spans="1:9" ht="14.1" customHeight="1" x14ac:dyDescent="0.3">
      <c r="A130" s="156">
        <f t="shared" si="17"/>
        <v>7465</v>
      </c>
      <c r="B130" s="56" t="s">
        <v>1086</v>
      </c>
      <c r="C130" s="130" t="s">
        <v>1184</v>
      </c>
      <c r="D130" s="103"/>
      <c r="E130" s="103" t="s">
        <v>123</v>
      </c>
      <c r="F130" s="103">
        <v>6</v>
      </c>
      <c r="G130" s="103">
        <f t="shared" si="18"/>
        <v>1</v>
      </c>
      <c r="H130" s="103">
        <v>1</v>
      </c>
      <c r="I130" s="85"/>
    </row>
    <row r="131" spans="1:9" ht="14.1" customHeight="1" x14ac:dyDescent="0.3">
      <c r="A131" s="156">
        <f t="shared" si="17"/>
        <v>7466</v>
      </c>
      <c r="B131" s="107" t="s">
        <v>1204</v>
      </c>
      <c r="C131" s="130" t="s">
        <v>1183</v>
      </c>
      <c r="D131" s="103"/>
      <c r="E131" s="103" t="s">
        <v>123</v>
      </c>
      <c r="F131" s="108">
        <v>6</v>
      </c>
      <c r="G131" s="103">
        <f t="shared" si="18"/>
        <v>1</v>
      </c>
      <c r="H131" s="103">
        <v>4</v>
      </c>
      <c r="I131" s="85"/>
    </row>
    <row r="132" spans="1:9" ht="14.1" customHeight="1" x14ac:dyDescent="0.3">
      <c r="A132" s="156">
        <f t="shared" si="17"/>
        <v>7470</v>
      </c>
      <c r="B132" s="107" t="s">
        <v>1205</v>
      </c>
      <c r="C132" s="130" t="s">
        <v>1183</v>
      </c>
      <c r="D132" s="103"/>
      <c r="E132" s="103" t="s">
        <v>123</v>
      </c>
      <c r="F132" s="108">
        <v>6</v>
      </c>
      <c r="G132" s="103">
        <f t="shared" si="18"/>
        <v>1</v>
      </c>
      <c r="H132" s="103">
        <v>4</v>
      </c>
      <c r="I132" s="85"/>
    </row>
    <row r="133" spans="1:9" ht="14.1" customHeight="1" x14ac:dyDescent="0.3">
      <c r="A133" s="156">
        <f t="shared" si="17"/>
        <v>7474</v>
      </c>
      <c r="B133" s="107" t="s">
        <v>1206</v>
      </c>
      <c r="C133" s="130" t="s">
        <v>1183</v>
      </c>
      <c r="D133" s="103"/>
      <c r="E133" s="103" t="s">
        <v>123</v>
      </c>
      <c r="F133" s="108">
        <v>6</v>
      </c>
      <c r="G133" s="103">
        <f t="shared" si="18"/>
        <v>1</v>
      </c>
      <c r="H133" s="103">
        <v>4</v>
      </c>
      <c r="I133" s="85"/>
    </row>
    <row r="134" spans="1:9" ht="14.1" customHeight="1" x14ac:dyDescent="0.3">
      <c r="A134" s="156">
        <f t="shared" si="17"/>
        <v>7478</v>
      </c>
      <c r="B134" s="107" t="s">
        <v>1201</v>
      </c>
      <c r="C134" s="130" t="s">
        <v>1183</v>
      </c>
      <c r="D134" s="103"/>
      <c r="E134" s="103" t="s">
        <v>123</v>
      </c>
      <c r="F134" s="108">
        <v>6</v>
      </c>
      <c r="G134" s="103">
        <f t="shared" si="18"/>
        <v>1</v>
      </c>
      <c r="H134" s="103">
        <v>4</v>
      </c>
      <c r="I134" s="85"/>
    </row>
    <row r="135" spans="1:9" ht="14.1" customHeight="1" x14ac:dyDescent="0.3">
      <c r="A135" s="156">
        <f t="shared" si="17"/>
        <v>7482</v>
      </c>
      <c r="B135" s="107" t="s">
        <v>1202</v>
      </c>
      <c r="C135" s="130" t="s">
        <v>1183</v>
      </c>
      <c r="D135" s="103"/>
      <c r="E135" s="103" t="s">
        <v>123</v>
      </c>
      <c r="F135" s="103">
        <v>6</v>
      </c>
      <c r="G135" s="103">
        <f t="shared" si="18"/>
        <v>1</v>
      </c>
      <c r="H135" s="103">
        <v>4</v>
      </c>
      <c r="I135" s="85"/>
    </row>
    <row r="136" spans="1:9" ht="14.1" customHeight="1" x14ac:dyDescent="0.3">
      <c r="A136" s="156">
        <f t="shared" si="17"/>
        <v>7486</v>
      </c>
      <c r="B136" s="144" t="s">
        <v>1197</v>
      </c>
      <c r="C136" s="130" t="s">
        <v>1203</v>
      </c>
      <c r="D136" s="103"/>
      <c r="E136" s="103" t="s">
        <v>123</v>
      </c>
      <c r="F136" s="103">
        <v>6</v>
      </c>
      <c r="G136" s="103">
        <f t="shared" si="18"/>
        <v>1</v>
      </c>
      <c r="H136" s="103">
        <v>4</v>
      </c>
      <c r="I136" s="85"/>
    </row>
    <row r="137" spans="1:9" ht="14.1" customHeight="1" x14ac:dyDescent="0.3">
      <c r="A137" s="156">
        <f t="shared" si="17"/>
        <v>7490</v>
      </c>
      <c r="B137" s="144" t="s">
        <v>1198</v>
      </c>
      <c r="C137" s="130" t="s">
        <v>1203</v>
      </c>
      <c r="D137" s="103"/>
      <c r="E137" s="103" t="s">
        <v>123</v>
      </c>
      <c r="F137" s="103">
        <v>6</v>
      </c>
      <c r="G137" s="103">
        <f t="shared" si="18"/>
        <v>1</v>
      </c>
      <c r="H137" s="103">
        <v>4</v>
      </c>
      <c r="I137" s="85"/>
    </row>
    <row r="138" spans="1:9" ht="14.1" customHeight="1" x14ac:dyDescent="0.3">
      <c r="A138" s="103">
        <f t="shared" si="17"/>
        <v>7494</v>
      </c>
      <c r="B138" s="107" t="s">
        <v>1199</v>
      </c>
      <c r="C138" s="130" t="s">
        <v>1087</v>
      </c>
      <c r="D138" s="103"/>
      <c r="E138" s="103" t="s">
        <v>123</v>
      </c>
      <c r="F138" s="103">
        <v>6</v>
      </c>
      <c r="G138" s="103">
        <f t="shared" si="18"/>
        <v>1</v>
      </c>
      <c r="H138" s="103">
        <v>4</v>
      </c>
      <c r="I138" s="85"/>
    </row>
    <row r="139" spans="1:9" ht="14.1" customHeight="1" x14ac:dyDescent="0.3">
      <c r="A139" s="103">
        <f t="shared" si="17"/>
        <v>7498</v>
      </c>
      <c r="B139" s="144" t="s">
        <v>1200</v>
      </c>
      <c r="C139" s="130" t="s">
        <v>1087</v>
      </c>
      <c r="D139" s="103"/>
      <c r="E139" s="103" t="s">
        <v>123</v>
      </c>
      <c r="F139" s="103">
        <v>6</v>
      </c>
      <c r="G139" s="103">
        <f t="shared" si="18"/>
        <v>1</v>
      </c>
      <c r="H139" s="103">
        <v>4</v>
      </c>
      <c r="I139" s="85"/>
    </row>
    <row r="140" spans="1:9" ht="14.1" customHeight="1" x14ac:dyDescent="0.3">
      <c r="A140" s="103">
        <f t="shared" si="17"/>
        <v>7502</v>
      </c>
      <c r="B140" s="144" t="s">
        <v>1212</v>
      </c>
      <c r="C140" s="130" t="s">
        <v>1203</v>
      </c>
      <c r="D140" s="103"/>
      <c r="E140" s="103" t="s">
        <v>123</v>
      </c>
      <c r="F140" s="103">
        <v>6</v>
      </c>
      <c r="G140" s="103">
        <f>IF(OR(E140="U16", E140="S16"),1,IF(E140="TS",6,2))</f>
        <v>1</v>
      </c>
      <c r="H140" s="103">
        <v>1</v>
      </c>
      <c r="I140" s="85"/>
    </row>
    <row r="141" spans="1:9" ht="14.1" customHeight="1" x14ac:dyDescent="0.3">
      <c r="A141" s="103">
        <f t="shared" si="17"/>
        <v>7503</v>
      </c>
      <c r="B141" s="144" t="s">
        <v>1213</v>
      </c>
      <c r="C141" s="130" t="s">
        <v>1203</v>
      </c>
      <c r="D141" s="103"/>
      <c r="E141" s="103" t="s">
        <v>123</v>
      </c>
      <c r="F141" s="103">
        <v>6</v>
      </c>
      <c r="G141" s="103">
        <f>IF(OR(E141="U16", E141="S16"),1,IF(E141="TS",6,2))</f>
        <v>1</v>
      </c>
      <c r="H141" s="103">
        <v>1</v>
      </c>
      <c r="I141" s="85"/>
    </row>
    <row r="142" spans="1:9" ht="14.1" customHeight="1" x14ac:dyDescent="0.3">
      <c r="A142" s="103">
        <f t="shared" si="17"/>
        <v>7504</v>
      </c>
      <c r="B142" s="144" t="s">
        <v>1216</v>
      </c>
      <c r="C142" s="130" t="s">
        <v>1183</v>
      </c>
      <c r="D142" s="103"/>
      <c r="E142" s="103" t="s">
        <v>123</v>
      </c>
      <c r="F142" s="103">
        <v>6</v>
      </c>
      <c r="G142" s="103">
        <f>IF(OR(E142="U16", E142="S16"),1,IF(E142="TS",6,2))</f>
        <v>1</v>
      </c>
      <c r="H142" s="103">
        <v>1</v>
      </c>
      <c r="I142" s="85"/>
    </row>
    <row r="143" spans="1:9" ht="14.1" customHeight="1" x14ac:dyDescent="0.3">
      <c r="A143" s="103">
        <f t="shared" si="17"/>
        <v>7505</v>
      </c>
      <c r="B143" s="56" t="s">
        <v>113</v>
      </c>
      <c r="C143" s="103"/>
      <c r="D143" s="103"/>
      <c r="E143" s="103" t="s">
        <v>123</v>
      </c>
      <c r="F143" s="103">
        <v>6</v>
      </c>
      <c r="G143" s="103">
        <f t="shared" ref="G143" si="19">IF(OR(E143="U16", E143="S16"),1,IF(E143="TS",6,2))</f>
        <v>1</v>
      </c>
      <c r="H143" s="103"/>
      <c r="I143" s="85"/>
    </row>
    <row r="144" spans="1:9" ht="14.1" customHeight="1" x14ac:dyDescent="0.3">
      <c r="A144" s="109"/>
      <c r="B144" s="109"/>
      <c r="C144" s="109"/>
      <c r="D144" s="109"/>
      <c r="E144" s="109"/>
      <c r="F144" s="109"/>
      <c r="G144" s="109"/>
      <c r="H144" s="109"/>
    </row>
    <row r="145" spans="1:8" ht="14.1" customHeight="1" x14ac:dyDescent="0.3">
      <c r="A145" s="109"/>
      <c r="B145" s="109"/>
      <c r="C145" s="109"/>
      <c r="D145" s="109"/>
      <c r="E145" s="109"/>
      <c r="F145" s="109"/>
      <c r="G145" s="109"/>
      <c r="H145" s="109"/>
    </row>
    <row r="146" spans="1:8" ht="14.1" customHeight="1" x14ac:dyDescent="0.3">
      <c r="A146" s="109"/>
      <c r="B146" s="109"/>
      <c r="D146" s="109"/>
      <c r="E146" s="109"/>
      <c r="F146" s="109"/>
      <c r="G146" s="109"/>
      <c r="H146" s="109"/>
    </row>
  </sheetData>
  <mergeCells count="8">
    <mergeCell ref="A112:H112"/>
    <mergeCell ref="A119:H119"/>
    <mergeCell ref="A2:H2"/>
    <mergeCell ref="A15:H15"/>
    <mergeCell ref="A37:H37"/>
    <mergeCell ref="A57:H57"/>
    <mergeCell ref="A74:H74"/>
    <mergeCell ref="A98:H98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71"/>
  <sheetViews>
    <sheetView tabSelected="1" topLeftCell="A914" zoomScaleNormal="100" workbookViewId="0">
      <selection activeCell="J927" sqref="J927"/>
    </sheetView>
  </sheetViews>
  <sheetFormatPr defaultColWidth="9" defaultRowHeight="13.5" customHeight="1" x14ac:dyDescent="0.3"/>
  <cols>
    <col min="1" max="1" width="7.375" style="8" customWidth="1"/>
    <col min="2" max="2" width="40.875" style="10" bestFit="1" customWidth="1"/>
    <col min="3" max="3" width="32.5" style="123" bestFit="1" customWidth="1"/>
    <col min="4" max="4" width="6.875" style="8" bestFit="1" customWidth="1"/>
    <col min="5" max="5" width="5.25" style="16" bestFit="1" customWidth="1"/>
    <col min="6" max="6" width="4.5" style="16" bestFit="1" customWidth="1"/>
    <col min="7" max="7" width="6" style="16" bestFit="1" customWidth="1"/>
    <col min="8" max="8" width="6" style="8" bestFit="1" customWidth="1"/>
    <col min="9" max="9" width="6" style="8" customWidth="1"/>
    <col min="10" max="10" width="75.25" style="10" customWidth="1"/>
    <col min="11" max="16384" width="9" style="8"/>
  </cols>
  <sheetData>
    <row r="1" spans="1:10" ht="27.75" customHeight="1" x14ac:dyDescent="0.3">
      <c r="A1" s="42" t="s">
        <v>634</v>
      </c>
      <c r="B1" s="42" t="s">
        <v>632</v>
      </c>
      <c r="C1" s="125" t="s">
        <v>633</v>
      </c>
      <c r="D1" s="42" t="s">
        <v>638</v>
      </c>
      <c r="E1" s="42" t="s">
        <v>635</v>
      </c>
      <c r="F1" s="42" t="s">
        <v>1041</v>
      </c>
      <c r="G1" s="42" t="s">
        <v>636</v>
      </c>
      <c r="H1" s="42" t="s">
        <v>637</v>
      </c>
      <c r="I1" s="87"/>
    </row>
    <row r="2" spans="1:10" ht="15.95" customHeight="1" x14ac:dyDescent="0.3">
      <c r="A2" s="162" t="s">
        <v>139</v>
      </c>
      <c r="B2" s="162"/>
      <c r="C2" s="162"/>
      <c r="D2" s="162"/>
      <c r="E2" s="162"/>
      <c r="F2" s="162"/>
      <c r="G2" s="162"/>
      <c r="H2" s="162"/>
      <c r="I2" s="88"/>
    </row>
    <row r="3" spans="1:10" ht="15.95" customHeight="1" x14ac:dyDescent="0.3">
      <c r="A3" s="60">
        <v>0</v>
      </c>
      <c r="B3" s="9" t="s">
        <v>90</v>
      </c>
      <c r="C3" s="9"/>
      <c r="D3" s="60"/>
      <c r="E3" s="15" t="s">
        <v>91</v>
      </c>
      <c r="F3" s="15">
        <v>3</v>
      </c>
      <c r="G3" s="15">
        <f>IF(OR(E3="U16",E3="S16"),1,IF(E3="TS",6,IF(E3="U64",4,2)))</f>
        <v>2</v>
      </c>
      <c r="H3" s="60">
        <v>1</v>
      </c>
      <c r="I3" s="85"/>
    </row>
    <row r="4" spans="1:10" ht="81" x14ac:dyDescent="0.3">
      <c r="A4" s="67">
        <f>A3+(G3*H3)</f>
        <v>2</v>
      </c>
      <c r="B4" s="56" t="s">
        <v>635</v>
      </c>
      <c r="C4" s="9" t="s">
        <v>1178</v>
      </c>
      <c r="D4" s="60"/>
      <c r="E4" s="15" t="s">
        <v>123</v>
      </c>
      <c r="F4" s="15">
        <v>3</v>
      </c>
      <c r="G4" s="15">
        <v>1</v>
      </c>
      <c r="H4" s="60">
        <v>1</v>
      </c>
      <c r="I4" s="85"/>
      <c r="J4" s="59"/>
    </row>
    <row r="5" spans="1:10" ht="15.95" customHeight="1" x14ac:dyDescent="0.3">
      <c r="A5" s="67">
        <f t="shared" ref="A5:A6" si="0">A4+(G4*H4)</f>
        <v>3</v>
      </c>
      <c r="B5" s="56" t="s">
        <v>963</v>
      </c>
      <c r="C5" s="9" t="s">
        <v>964</v>
      </c>
      <c r="D5" s="60"/>
      <c r="E5" s="15" t="s">
        <v>123</v>
      </c>
      <c r="F5" s="15">
        <v>3</v>
      </c>
      <c r="G5" s="15">
        <v>1</v>
      </c>
      <c r="H5" s="60">
        <v>1</v>
      </c>
      <c r="I5" s="85"/>
      <c r="J5" s="59" t="s">
        <v>1186</v>
      </c>
    </row>
    <row r="6" spans="1:10" ht="15.95" customHeight="1" x14ac:dyDescent="0.3">
      <c r="A6" s="67">
        <f t="shared" si="0"/>
        <v>4</v>
      </c>
      <c r="B6" s="56" t="s">
        <v>30</v>
      </c>
      <c r="C6" s="9" t="s">
        <v>598</v>
      </c>
      <c r="D6" s="60" t="s">
        <v>639</v>
      </c>
      <c r="E6" s="15" t="s">
        <v>59</v>
      </c>
      <c r="F6" s="15">
        <v>3</v>
      </c>
      <c r="G6" s="15">
        <f t="shared" ref="G6:G66" si="1">IF(OR(E6="U16",E6="S16"),1,IF(E6="TS",6,IF(E6="U64",4,2)))</f>
        <v>2</v>
      </c>
      <c r="H6" s="60">
        <v>1</v>
      </c>
      <c r="I6" s="85"/>
    </row>
    <row r="7" spans="1:10" ht="15.95" customHeight="1" x14ac:dyDescent="0.3">
      <c r="A7" s="67">
        <f t="shared" ref="A7" si="2">A6+(G6*H6)</f>
        <v>6</v>
      </c>
      <c r="B7" s="56" t="s">
        <v>147</v>
      </c>
      <c r="C7" s="9"/>
      <c r="D7" s="43" t="s">
        <v>640</v>
      </c>
      <c r="E7" s="15" t="s">
        <v>58</v>
      </c>
      <c r="F7" s="15">
        <v>3</v>
      </c>
      <c r="G7" s="15">
        <f t="shared" si="1"/>
        <v>2</v>
      </c>
      <c r="H7" s="60">
        <v>1</v>
      </c>
      <c r="I7" s="85"/>
    </row>
    <row r="8" spans="1:10" ht="15.95" customHeight="1" x14ac:dyDescent="0.3">
      <c r="A8" s="67">
        <f t="shared" ref="A8:A73" si="3">A7+(G7*H7)</f>
        <v>8</v>
      </c>
      <c r="B8" s="56" t="s">
        <v>154</v>
      </c>
      <c r="C8" s="56" t="s">
        <v>618</v>
      </c>
      <c r="D8" s="171" t="s">
        <v>142</v>
      </c>
      <c r="E8" s="67" t="s">
        <v>59</v>
      </c>
      <c r="F8" s="15">
        <v>3</v>
      </c>
      <c r="G8" s="15">
        <f t="shared" si="1"/>
        <v>2</v>
      </c>
      <c r="H8" s="60">
        <v>1</v>
      </c>
      <c r="I8" s="85"/>
    </row>
    <row r="9" spans="1:10" ht="15.95" customHeight="1" x14ac:dyDescent="0.3">
      <c r="A9" s="67">
        <f t="shared" si="3"/>
        <v>10</v>
      </c>
      <c r="B9" s="56" t="s">
        <v>155</v>
      </c>
      <c r="C9" s="56" t="s">
        <v>619</v>
      </c>
      <c r="D9" s="171"/>
      <c r="E9" s="67" t="s">
        <v>59</v>
      </c>
      <c r="F9" s="15">
        <v>3</v>
      </c>
      <c r="G9" s="15">
        <f t="shared" si="1"/>
        <v>2</v>
      </c>
      <c r="H9" s="60">
        <v>1</v>
      </c>
      <c r="I9" s="85"/>
    </row>
    <row r="10" spans="1:10" ht="15.95" customHeight="1" x14ac:dyDescent="0.3">
      <c r="A10" s="67">
        <f t="shared" si="3"/>
        <v>12</v>
      </c>
      <c r="B10" s="56" t="s">
        <v>156</v>
      </c>
      <c r="C10" s="56" t="s">
        <v>620</v>
      </c>
      <c r="D10" s="171"/>
      <c r="E10" s="67" t="s">
        <v>59</v>
      </c>
      <c r="F10" s="15">
        <v>3</v>
      </c>
      <c r="G10" s="15">
        <f t="shared" si="1"/>
        <v>2</v>
      </c>
      <c r="H10" s="60">
        <v>1</v>
      </c>
      <c r="I10" s="85"/>
    </row>
    <row r="11" spans="1:10" ht="15.95" customHeight="1" x14ac:dyDescent="0.3">
      <c r="A11" s="67">
        <f t="shared" si="3"/>
        <v>14</v>
      </c>
      <c r="B11" s="56" t="s">
        <v>162</v>
      </c>
      <c r="C11" s="56" t="s">
        <v>621</v>
      </c>
      <c r="D11" s="171"/>
      <c r="E11" s="67" t="s">
        <v>59</v>
      </c>
      <c r="F11" s="15">
        <v>3</v>
      </c>
      <c r="G11" s="15">
        <f t="shared" si="1"/>
        <v>2</v>
      </c>
      <c r="H11" s="60">
        <v>1</v>
      </c>
      <c r="I11" s="85"/>
    </row>
    <row r="12" spans="1:10" ht="15.95" customHeight="1" x14ac:dyDescent="0.3">
      <c r="A12" s="67">
        <f t="shared" si="3"/>
        <v>16</v>
      </c>
      <c r="B12" s="56" t="s">
        <v>158</v>
      </c>
      <c r="C12" s="56" t="s">
        <v>599</v>
      </c>
      <c r="D12" s="171"/>
      <c r="E12" s="67" t="s">
        <v>59</v>
      </c>
      <c r="F12" s="15">
        <v>3</v>
      </c>
      <c r="G12" s="15">
        <f t="shared" si="1"/>
        <v>2</v>
      </c>
      <c r="H12" s="60">
        <v>1</v>
      </c>
      <c r="I12" s="85"/>
    </row>
    <row r="13" spans="1:10" ht="15.95" customHeight="1" x14ac:dyDescent="0.3">
      <c r="A13" s="67">
        <f t="shared" si="3"/>
        <v>18</v>
      </c>
      <c r="B13" s="56" t="s">
        <v>159</v>
      </c>
      <c r="C13" s="56" t="s">
        <v>600</v>
      </c>
      <c r="D13" s="171"/>
      <c r="E13" s="67" t="s">
        <v>59</v>
      </c>
      <c r="F13" s="15">
        <v>3</v>
      </c>
      <c r="G13" s="15">
        <f t="shared" si="1"/>
        <v>2</v>
      </c>
      <c r="H13" s="60">
        <v>1</v>
      </c>
      <c r="I13" s="85"/>
    </row>
    <row r="14" spans="1:10" ht="15.95" customHeight="1" x14ac:dyDescent="0.3">
      <c r="A14" s="67">
        <f t="shared" si="3"/>
        <v>20</v>
      </c>
      <c r="B14" s="56" t="s">
        <v>160</v>
      </c>
      <c r="C14" s="56" t="s">
        <v>601</v>
      </c>
      <c r="D14" s="171"/>
      <c r="E14" s="67" t="s">
        <v>59</v>
      </c>
      <c r="F14" s="15">
        <v>3</v>
      </c>
      <c r="G14" s="15">
        <f t="shared" si="1"/>
        <v>2</v>
      </c>
      <c r="H14" s="60">
        <v>1</v>
      </c>
      <c r="I14" s="85"/>
    </row>
    <row r="15" spans="1:10" ht="15.95" customHeight="1" x14ac:dyDescent="0.3">
      <c r="A15" s="67">
        <f t="shared" si="3"/>
        <v>22</v>
      </c>
      <c r="B15" s="56" t="s">
        <v>161</v>
      </c>
      <c r="C15" s="56" t="s">
        <v>622</v>
      </c>
      <c r="D15" s="171"/>
      <c r="E15" s="67" t="s">
        <v>59</v>
      </c>
      <c r="F15" s="15">
        <v>3</v>
      </c>
      <c r="G15" s="15">
        <f t="shared" si="1"/>
        <v>2</v>
      </c>
      <c r="H15" s="60">
        <v>1</v>
      </c>
      <c r="I15" s="85"/>
    </row>
    <row r="16" spans="1:10" ht="15.95" customHeight="1" x14ac:dyDescent="0.3">
      <c r="A16" s="60">
        <f t="shared" si="3"/>
        <v>24</v>
      </c>
      <c r="B16" s="9" t="s">
        <v>189</v>
      </c>
      <c r="C16" s="9"/>
      <c r="D16" s="163" t="s">
        <v>146</v>
      </c>
      <c r="E16" s="15" t="s">
        <v>59</v>
      </c>
      <c r="F16" s="15">
        <v>3</v>
      </c>
      <c r="G16" s="15">
        <f t="shared" si="1"/>
        <v>2</v>
      </c>
      <c r="H16" s="60">
        <v>1</v>
      </c>
      <c r="I16" s="85"/>
      <c r="J16" s="10" t="s">
        <v>180</v>
      </c>
    </row>
    <row r="17" spans="1:10" ht="15.95" customHeight="1" x14ac:dyDescent="0.3">
      <c r="A17" s="60">
        <f t="shared" si="3"/>
        <v>26</v>
      </c>
      <c r="B17" s="9" t="s">
        <v>190</v>
      </c>
      <c r="C17" s="9"/>
      <c r="D17" s="163"/>
      <c r="E17" s="15" t="s">
        <v>58</v>
      </c>
      <c r="F17" s="15">
        <v>3</v>
      </c>
      <c r="G17" s="15">
        <f t="shared" si="1"/>
        <v>2</v>
      </c>
      <c r="H17" s="60">
        <v>1</v>
      </c>
      <c r="I17" s="85"/>
      <c r="J17" s="10" t="s">
        <v>181</v>
      </c>
    </row>
    <row r="18" spans="1:10" ht="15.95" customHeight="1" x14ac:dyDescent="0.3">
      <c r="A18" s="60">
        <f t="shared" si="3"/>
        <v>28</v>
      </c>
      <c r="B18" s="9" t="s">
        <v>169</v>
      </c>
      <c r="C18" s="173"/>
      <c r="D18" s="33"/>
      <c r="E18" s="15" t="s">
        <v>59</v>
      </c>
      <c r="F18" s="15">
        <v>3</v>
      </c>
      <c r="G18" s="15">
        <f t="shared" si="1"/>
        <v>2</v>
      </c>
      <c r="H18" s="60">
        <v>1</v>
      </c>
      <c r="I18" s="85"/>
    </row>
    <row r="19" spans="1:10" ht="15.95" customHeight="1" x14ac:dyDescent="0.3">
      <c r="A19" s="60">
        <f t="shared" si="3"/>
        <v>30</v>
      </c>
      <c r="B19" s="9" t="s">
        <v>170</v>
      </c>
      <c r="C19" s="173"/>
      <c r="D19" s="33"/>
      <c r="E19" s="15" t="s">
        <v>59</v>
      </c>
      <c r="F19" s="15">
        <v>3</v>
      </c>
      <c r="G19" s="15">
        <f t="shared" si="1"/>
        <v>2</v>
      </c>
      <c r="H19" s="60">
        <v>1</v>
      </c>
      <c r="I19" s="85"/>
    </row>
    <row r="20" spans="1:10" ht="15.95" customHeight="1" x14ac:dyDescent="0.3">
      <c r="A20" s="60">
        <f t="shared" si="3"/>
        <v>32</v>
      </c>
      <c r="B20" s="9" t="s">
        <v>171</v>
      </c>
      <c r="C20" s="173"/>
      <c r="D20" s="33"/>
      <c r="E20" s="15" t="s">
        <v>59</v>
      </c>
      <c r="F20" s="15">
        <v>3</v>
      </c>
      <c r="G20" s="15">
        <f t="shared" si="1"/>
        <v>2</v>
      </c>
      <c r="H20" s="60">
        <v>1</v>
      </c>
      <c r="I20" s="85"/>
    </row>
    <row r="21" spans="1:10" ht="15.95" customHeight="1" x14ac:dyDescent="0.3">
      <c r="A21" s="60">
        <f t="shared" si="3"/>
        <v>34</v>
      </c>
      <c r="B21" s="9" t="s">
        <v>172</v>
      </c>
      <c r="C21" s="173"/>
      <c r="D21" s="33"/>
      <c r="E21" s="15" t="s">
        <v>59</v>
      </c>
      <c r="F21" s="15">
        <v>3</v>
      </c>
      <c r="G21" s="15">
        <f t="shared" si="1"/>
        <v>2</v>
      </c>
      <c r="H21" s="60">
        <v>1</v>
      </c>
      <c r="I21" s="85"/>
    </row>
    <row r="22" spans="1:10" ht="15.95" customHeight="1" x14ac:dyDescent="0.3">
      <c r="A22" s="60">
        <f t="shared" si="3"/>
        <v>36</v>
      </c>
      <c r="B22" s="9" t="s">
        <v>173</v>
      </c>
      <c r="C22" s="173"/>
      <c r="D22" s="33"/>
      <c r="E22" s="15" t="s">
        <v>59</v>
      </c>
      <c r="F22" s="15">
        <v>3</v>
      </c>
      <c r="G22" s="15">
        <f t="shared" si="1"/>
        <v>2</v>
      </c>
      <c r="H22" s="60">
        <v>1</v>
      </c>
      <c r="I22" s="85"/>
    </row>
    <row r="23" spans="1:10" ht="15.95" customHeight="1" x14ac:dyDescent="0.3">
      <c r="A23" s="60">
        <f t="shared" si="3"/>
        <v>38</v>
      </c>
      <c r="B23" s="9" t="s">
        <v>177</v>
      </c>
      <c r="C23" s="173"/>
      <c r="D23" s="33"/>
      <c r="E23" s="15" t="s">
        <v>59</v>
      </c>
      <c r="F23" s="15">
        <v>3</v>
      </c>
      <c r="G23" s="15">
        <f t="shared" si="1"/>
        <v>2</v>
      </c>
      <c r="H23" s="60">
        <v>1</v>
      </c>
      <c r="I23" s="85"/>
    </row>
    <row r="24" spans="1:10" ht="15.95" customHeight="1" x14ac:dyDescent="0.3">
      <c r="A24" s="60">
        <f t="shared" si="3"/>
        <v>40</v>
      </c>
      <c r="B24" s="9" t="s">
        <v>174</v>
      </c>
      <c r="C24" s="173"/>
      <c r="D24" s="33"/>
      <c r="E24" s="15" t="s">
        <v>59</v>
      </c>
      <c r="F24" s="15">
        <v>3</v>
      </c>
      <c r="G24" s="15">
        <f t="shared" si="1"/>
        <v>2</v>
      </c>
      <c r="H24" s="60">
        <v>1</v>
      </c>
      <c r="I24" s="85"/>
    </row>
    <row r="25" spans="1:10" ht="15.95" customHeight="1" x14ac:dyDescent="0.3">
      <c r="A25" s="60">
        <f t="shared" si="3"/>
        <v>42</v>
      </c>
      <c r="B25" s="9" t="s">
        <v>175</v>
      </c>
      <c r="C25" s="173"/>
      <c r="D25" s="33"/>
      <c r="E25" s="15" t="s">
        <v>59</v>
      </c>
      <c r="F25" s="15">
        <v>3</v>
      </c>
      <c r="G25" s="15">
        <f t="shared" si="1"/>
        <v>2</v>
      </c>
      <c r="H25" s="60">
        <v>1</v>
      </c>
      <c r="I25" s="85"/>
    </row>
    <row r="26" spans="1:10" ht="15.95" customHeight="1" x14ac:dyDescent="0.3">
      <c r="A26" s="60">
        <f t="shared" si="3"/>
        <v>44</v>
      </c>
      <c r="B26" s="9" t="s">
        <v>176</v>
      </c>
      <c r="C26" s="173"/>
      <c r="D26" s="33"/>
      <c r="E26" s="15" t="s">
        <v>59</v>
      </c>
      <c r="F26" s="15">
        <v>3</v>
      </c>
      <c r="G26" s="15">
        <f t="shared" si="1"/>
        <v>2</v>
      </c>
      <c r="H26" s="60">
        <v>1</v>
      </c>
      <c r="I26" s="85"/>
    </row>
    <row r="27" spans="1:10" ht="15.95" customHeight="1" x14ac:dyDescent="0.3">
      <c r="A27" s="60">
        <f t="shared" si="3"/>
        <v>46</v>
      </c>
      <c r="B27" s="9" t="s">
        <v>163</v>
      </c>
      <c r="C27" s="173"/>
      <c r="D27" s="60" t="s">
        <v>146</v>
      </c>
      <c r="E27" s="15" t="s">
        <v>59</v>
      </c>
      <c r="F27" s="15">
        <v>3</v>
      </c>
      <c r="G27" s="15">
        <f t="shared" si="1"/>
        <v>2</v>
      </c>
      <c r="H27" s="60">
        <v>1</v>
      </c>
      <c r="I27" s="85"/>
    </row>
    <row r="28" spans="1:10" ht="15.95" customHeight="1" x14ac:dyDescent="0.3">
      <c r="A28" s="60">
        <f t="shared" si="3"/>
        <v>48</v>
      </c>
      <c r="B28" s="9" t="s">
        <v>164</v>
      </c>
      <c r="C28" s="173"/>
      <c r="D28" s="60" t="s">
        <v>146</v>
      </c>
      <c r="E28" s="15" t="s">
        <v>59</v>
      </c>
      <c r="F28" s="15">
        <v>3</v>
      </c>
      <c r="G28" s="15">
        <f t="shared" si="1"/>
        <v>2</v>
      </c>
      <c r="H28" s="60">
        <v>1</v>
      </c>
      <c r="I28" s="85"/>
    </row>
    <row r="29" spans="1:10" ht="15.95" customHeight="1" x14ac:dyDescent="0.3">
      <c r="A29" s="60">
        <f t="shared" si="3"/>
        <v>50</v>
      </c>
      <c r="B29" s="9" t="s">
        <v>165</v>
      </c>
      <c r="C29" s="173"/>
      <c r="D29" s="60" t="s">
        <v>146</v>
      </c>
      <c r="E29" s="15" t="s">
        <v>59</v>
      </c>
      <c r="F29" s="15">
        <v>3</v>
      </c>
      <c r="G29" s="15">
        <f t="shared" si="1"/>
        <v>2</v>
      </c>
      <c r="H29" s="60">
        <v>1</v>
      </c>
      <c r="I29" s="85"/>
    </row>
    <row r="30" spans="1:10" ht="15.95" customHeight="1" x14ac:dyDescent="0.3">
      <c r="A30" s="60">
        <f t="shared" si="3"/>
        <v>52</v>
      </c>
      <c r="B30" s="9" t="s">
        <v>166</v>
      </c>
      <c r="C30" s="9"/>
      <c r="D30" s="60" t="s">
        <v>146</v>
      </c>
      <c r="E30" s="15" t="s">
        <v>59</v>
      </c>
      <c r="F30" s="15">
        <v>3</v>
      </c>
      <c r="G30" s="15">
        <f t="shared" si="1"/>
        <v>2</v>
      </c>
      <c r="H30" s="60">
        <v>1</v>
      </c>
      <c r="I30" s="85"/>
    </row>
    <row r="31" spans="1:10" ht="15.95" customHeight="1" x14ac:dyDescent="0.3">
      <c r="A31" s="60">
        <f t="shared" si="3"/>
        <v>54</v>
      </c>
      <c r="B31" s="9" t="s">
        <v>167</v>
      </c>
      <c r="C31" s="9"/>
      <c r="D31" s="60" t="s">
        <v>146</v>
      </c>
      <c r="E31" s="15" t="s">
        <v>59</v>
      </c>
      <c r="F31" s="15">
        <v>3</v>
      </c>
      <c r="G31" s="15">
        <f t="shared" si="1"/>
        <v>2</v>
      </c>
      <c r="H31" s="60">
        <v>1</v>
      </c>
      <c r="I31" s="85"/>
    </row>
    <row r="32" spans="1:10" ht="15.95" customHeight="1" x14ac:dyDescent="0.3">
      <c r="A32" s="60">
        <f t="shared" si="3"/>
        <v>56</v>
      </c>
      <c r="B32" s="9" t="s">
        <v>168</v>
      </c>
      <c r="C32" s="9"/>
      <c r="D32" s="60" t="s">
        <v>146</v>
      </c>
      <c r="E32" s="15" t="s">
        <v>59</v>
      </c>
      <c r="F32" s="15">
        <v>3</v>
      </c>
      <c r="G32" s="15">
        <f t="shared" si="1"/>
        <v>2</v>
      </c>
      <c r="H32" s="60">
        <v>1</v>
      </c>
      <c r="I32" s="85"/>
    </row>
    <row r="33" spans="1:10" ht="15.95" customHeight="1" x14ac:dyDescent="0.3">
      <c r="A33" s="60">
        <f t="shared" si="3"/>
        <v>58</v>
      </c>
      <c r="B33" s="56" t="s">
        <v>0</v>
      </c>
      <c r="C33" s="56" t="s">
        <v>623</v>
      </c>
      <c r="D33" s="171" t="s">
        <v>641</v>
      </c>
      <c r="E33" s="67" t="s">
        <v>59</v>
      </c>
      <c r="F33" s="15">
        <v>3</v>
      </c>
      <c r="G33" s="15">
        <f t="shared" si="1"/>
        <v>2</v>
      </c>
      <c r="H33" s="60">
        <v>1</v>
      </c>
      <c r="I33" s="85"/>
    </row>
    <row r="34" spans="1:10" ht="15.95" customHeight="1" x14ac:dyDescent="0.3">
      <c r="A34" s="60">
        <f t="shared" si="3"/>
        <v>60</v>
      </c>
      <c r="B34" s="56" t="s">
        <v>1</v>
      </c>
      <c r="C34" s="56" t="s">
        <v>624</v>
      </c>
      <c r="D34" s="171"/>
      <c r="E34" s="67" t="s">
        <v>59</v>
      </c>
      <c r="F34" s="15">
        <v>3</v>
      </c>
      <c r="G34" s="15">
        <f t="shared" si="1"/>
        <v>2</v>
      </c>
      <c r="H34" s="60">
        <v>1</v>
      </c>
      <c r="I34" s="85"/>
    </row>
    <row r="35" spans="1:10" ht="15.95" customHeight="1" x14ac:dyDescent="0.3">
      <c r="A35" s="67">
        <f t="shared" si="3"/>
        <v>62</v>
      </c>
      <c r="B35" s="56" t="s">
        <v>2</v>
      </c>
      <c r="C35" s="56" t="s">
        <v>625</v>
      </c>
      <c r="D35" s="171"/>
      <c r="E35" s="67" t="s">
        <v>59</v>
      </c>
      <c r="F35" s="15">
        <v>3</v>
      </c>
      <c r="G35" s="15">
        <f t="shared" si="1"/>
        <v>2</v>
      </c>
      <c r="H35" s="60">
        <v>1</v>
      </c>
      <c r="I35" s="85"/>
    </row>
    <row r="36" spans="1:10" ht="15.95" customHeight="1" x14ac:dyDescent="0.3">
      <c r="A36" s="67">
        <f t="shared" si="3"/>
        <v>64</v>
      </c>
      <c r="B36" s="56" t="s">
        <v>149</v>
      </c>
      <c r="C36" s="56"/>
      <c r="D36" s="171"/>
      <c r="E36" s="67" t="s">
        <v>59</v>
      </c>
      <c r="F36" s="15">
        <v>3</v>
      </c>
      <c r="G36" s="15">
        <f t="shared" si="1"/>
        <v>2</v>
      </c>
      <c r="H36" s="60">
        <v>1</v>
      </c>
      <c r="I36" s="85"/>
    </row>
    <row r="37" spans="1:10" ht="15.95" customHeight="1" x14ac:dyDescent="0.3">
      <c r="A37" s="67">
        <f t="shared" si="3"/>
        <v>66</v>
      </c>
      <c r="B37" s="56" t="s">
        <v>5</v>
      </c>
      <c r="C37" s="56"/>
      <c r="D37" s="171"/>
      <c r="E37" s="67" t="s">
        <v>59</v>
      </c>
      <c r="F37" s="15">
        <v>3</v>
      </c>
      <c r="G37" s="15">
        <f t="shared" si="1"/>
        <v>2</v>
      </c>
      <c r="H37" s="60">
        <v>1</v>
      </c>
      <c r="I37" s="85"/>
    </row>
    <row r="38" spans="1:10" ht="15.95" customHeight="1" x14ac:dyDescent="0.3">
      <c r="A38" s="67">
        <f t="shared" si="3"/>
        <v>68</v>
      </c>
      <c r="B38" s="56" t="s">
        <v>40</v>
      </c>
      <c r="C38" s="56"/>
      <c r="D38" s="67"/>
      <c r="E38" s="67" t="s">
        <v>59</v>
      </c>
      <c r="F38" s="15">
        <v>3</v>
      </c>
      <c r="G38" s="15">
        <f t="shared" si="1"/>
        <v>2</v>
      </c>
      <c r="H38" s="60">
        <v>1</v>
      </c>
      <c r="I38" s="84"/>
      <c r="J38" s="9" t="s">
        <v>582</v>
      </c>
    </row>
    <row r="39" spans="1:10" ht="15.95" customHeight="1" x14ac:dyDescent="0.3">
      <c r="A39" s="67">
        <f t="shared" si="3"/>
        <v>70</v>
      </c>
      <c r="B39" s="56" t="s">
        <v>580</v>
      </c>
      <c r="C39" s="56" t="s">
        <v>581</v>
      </c>
      <c r="D39" s="67"/>
      <c r="E39" s="67" t="s">
        <v>59</v>
      </c>
      <c r="F39" s="15">
        <v>3</v>
      </c>
      <c r="G39" s="15">
        <f t="shared" si="1"/>
        <v>2</v>
      </c>
      <c r="H39" s="60">
        <v>1</v>
      </c>
      <c r="I39" s="85"/>
      <c r="J39" s="10" t="s">
        <v>583</v>
      </c>
    </row>
    <row r="40" spans="1:10" ht="15.95" customHeight="1" x14ac:dyDescent="0.3">
      <c r="A40" s="67">
        <f t="shared" si="3"/>
        <v>72</v>
      </c>
      <c r="B40" s="56" t="s">
        <v>655</v>
      </c>
      <c r="C40" s="56"/>
      <c r="D40" s="67"/>
      <c r="E40" s="67" t="s">
        <v>59</v>
      </c>
      <c r="F40" s="15">
        <v>3</v>
      </c>
      <c r="G40" s="15">
        <f t="shared" si="1"/>
        <v>2</v>
      </c>
      <c r="H40" s="60">
        <v>1</v>
      </c>
      <c r="I40" s="85"/>
    </row>
    <row r="41" spans="1:10" ht="15.95" customHeight="1" x14ac:dyDescent="0.3">
      <c r="A41" s="60">
        <f t="shared" si="3"/>
        <v>74</v>
      </c>
      <c r="B41" s="9" t="s">
        <v>182</v>
      </c>
      <c r="C41" s="173"/>
      <c r="D41" s="60"/>
      <c r="E41" s="15" t="s">
        <v>59</v>
      </c>
      <c r="F41" s="15">
        <v>3</v>
      </c>
      <c r="G41" s="15">
        <f t="shared" si="1"/>
        <v>2</v>
      </c>
      <c r="H41" s="60">
        <v>1</v>
      </c>
      <c r="I41" s="85"/>
    </row>
    <row r="42" spans="1:10" ht="15.95" customHeight="1" x14ac:dyDescent="0.3">
      <c r="A42" s="60">
        <f t="shared" si="3"/>
        <v>76</v>
      </c>
      <c r="B42" s="9" t="s">
        <v>183</v>
      </c>
      <c r="C42" s="173"/>
      <c r="D42" s="60"/>
      <c r="E42" s="15" t="s">
        <v>59</v>
      </c>
      <c r="F42" s="15">
        <v>3</v>
      </c>
      <c r="G42" s="15">
        <f t="shared" si="1"/>
        <v>2</v>
      </c>
      <c r="H42" s="60">
        <v>1</v>
      </c>
      <c r="I42" s="85"/>
    </row>
    <row r="43" spans="1:10" ht="15.95" customHeight="1" x14ac:dyDescent="0.3">
      <c r="A43" s="60">
        <f t="shared" si="3"/>
        <v>78</v>
      </c>
      <c r="B43" s="9" t="s">
        <v>184</v>
      </c>
      <c r="C43" s="173"/>
      <c r="D43" s="60"/>
      <c r="E43" s="15" t="s">
        <v>59</v>
      </c>
      <c r="F43" s="15">
        <v>3</v>
      </c>
      <c r="G43" s="15">
        <f t="shared" si="1"/>
        <v>2</v>
      </c>
      <c r="H43" s="60">
        <v>1</v>
      </c>
      <c r="I43" s="85"/>
    </row>
    <row r="44" spans="1:10" ht="15.95" customHeight="1" x14ac:dyDescent="0.3">
      <c r="A44" s="60">
        <f t="shared" si="3"/>
        <v>80</v>
      </c>
      <c r="B44" s="9" t="s">
        <v>185</v>
      </c>
      <c r="C44" s="173"/>
      <c r="D44" s="60"/>
      <c r="E44" s="15" t="s">
        <v>59</v>
      </c>
      <c r="F44" s="15">
        <v>3</v>
      </c>
      <c r="G44" s="15">
        <f t="shared" si="1"/>
        <v>2</v>
      </c>
      <c r="H44" s="60">
        <v>1</v>
      </c>
      <c r="I44" s="85"/>
    </row>
    <row r="45" spans="1:10" ht="15.95" customHeight="1" x14ac:dyDescent="0.3">
      <c r="A45" s="60">
        <f t="shared" si="3"/>
        <v>82</v>
      </c>
      <c r="B45" s="9" t="s">
        <v>186</v>
      </c>
      <c r="C45" s="173"/>
      <c r="D45" s="60"/>
      <c r="E45" s="15" t="s">
        <v>59</v>
      </c>
      <c r="F45" s="15">
        <v>3</v>
      </c>
      <c r="G45" s="15">
        <f t="shared" si="1"/>
        <v>2</v>
      </c>
      <c r="H45" s="60">
        <v>1</v>
      </c>
      <c r="I45" s="85"/>
    </row>
    <row r="46" spans="1:10" ht="15.95" customHeight="1" x14ac:dyDescent="0.3">
      <c r="A46" s="60">
        <f t="shared" si="3"/>
        <v>84</v>
      </c>
      <c r="B46" s="9" t="s">
        <v>187</v>
      </c>
      <c r="C46" s="173"/>
      <c r="D46" s="60"/>
      <c r="E46" s="15" t="s">
        <v>59</v>
      </c>
      <c r="F46" s="15">
        <v>3</v>
      </c>
      <c r="G46" s="15">
        <f t="shared" si="1"/>
        <v>2</v>
      </c>
      <c r="H46" s="60">
        <v>1</v>
      </c>
      <c r="I46" s="85"/>
    </row>
    <row r="47" spans="1:10" ht="15.95" customHeight="1" x14ac:dyDescent="0.3">
      <c r="A47" s="60">
        <f t="shared" si="3"/>
        <v>86</v>
      </c>
      <c r="B47" s="9" t="s">
        <v>191</v>
      </c>
      <c r="C47" s="173"/>
      <c r="D47" s="60"/>
      <c r="E47" s="15" t="s">
        <v>59</v>
      </c>
      <c r="F47" s="15">
        <v>3</v>
      </c>
      <c r="G47" s="15">
        <f t="shared" si="1"/>
        <v>2</v>
      </c>
      <c r="H47" s="60">
        <v>1</v>
      </c>
      <c r="I47" s="85"/>
    </row>
    <row r="48" spans="1:10" ht="15.95" customHeight="1" x14ac:dyDescent="0.3">
      <c r="A48" s="60">
        <f t="shared" si="3"/>
        <v>88</v>
      </c>
      <c r="B48" s="9" t="s">
        <v>192</v>
      </c>
      <c r="C48" s="173"/>
      <c r="D48" s="60"/>
      <c r="E48" s="15" t="s">
        <v>59</v>
      </c>
      <c r="F48" s="15">
        <v>3</v>
      </c>
      <c r="G48" s="15">
        <f t="shared" si="1"/>
        <v>2</v>
      </c>
      <c r="H48" s="60">
        <v>1</v>
      </c>
      <c r="I48" s="85"/>
    </row>
    <row r="49" spans="1:9" ht="15.95" customHeight="1" x14ac:dyDescent="0.3">
      <c r="A49" s="60">
        <f t="shared" si="3"/>
        <v>90</v>
      </c>
      <c r="B49" s="9" t="s">
        <v>193</v>
      </c>
      <c r="C49" s="173"/>
      <c r="D49" s="60"/>
      <c r="E49" s="15" t="s">
        <v>59</v>
      </c>
      <c r="F49" s="15">
        <v>3</v>
      </c>
      <c r="G49" s="15">
        <f t="shared" si="1"/>
        <v>2</v>
      </c>
      <c r="H49" s="60">
        <v>1</v>
      </c>
      <c r="I49" s="85"/>
    </row>
    <row r="50" spans="1:9" ht="15.95" customHeight="1" x14ac:dyDescent="0.3">
      <c r="A50" s="60">
        <f t="shared" si="3"/>
        <v>92</v>
      </c>
      <c r="B50" s="9" t="s">
        <v>194</v>
      </c>
      <c r="C50" s="9"/>
      <c r="D50" s="163" t="s">
        <v>146</v>
      </c>
      <c r="E50" s="15" t="s">
        <v>59</v>
      </c>
      <c r="F50" s="15">
        <v>3</v>
      </c>
      <c r="G50" s="15">
        <f t="shared" si="1"/>
        <v>2</v>
      </c>
      <c r="H50" s="60">
        <v>1</v>
      </c>
      <c r="I50" s="85"/>
    </row>
    <row r="51" spans="1:9" ht="15.95" customHeight="1" x14ac:dyDescent="0.3">
      <c r="A51" s="60">
        <f t="shared" si="3"/>
        <v>94</v>
      </c>
      <c r="B51" s="9" t="s">
        <v>188</v>
      </c>
      <c r="C51" s="9"/>
      <c r="D51" s="163"/>
      <c r="E51" s="15" t="s">
        <v>59</v>
      </c>
      <c r="F51" s="15">
        <v>3</v>
      </c>
      <c r="G51" s="15">
        <f t="shared" si="1"/>
        <v>2</v>
      </c>
      <c r="H51" s="60">
        <v>1</v>
      </c>
      <c r="I51" s="85"/>
    </row>
    <row r="52" spans="1:9" ht="15.95" customHeight="1" x14ac:dyDescent="0.3">
      <c r="A52" s="60">
        <f t="shared" si="3"/>
        <v>96</v>
      </c>
      <c r="B52" s="56" t="s">
        <v>60</v>
      </c>
      <c r="C52" s="56" t="s">
        <v>602</v>
      </c>
      <c r="D52" s="171" t="s">
        <v>594</v>
      </c>
      <c r="E52" s="67" t="s">
        <v>59</v>
      </c>
      <c r="F52" s="15">
        <v>3</v>
      </c>
      <c r="G52" s="15">
        <f t="shared" si="1"/>
        <v>2</v>
      </c>
      <c r="H52" s="60">
        <v>1</v>
      </c>
      <c r="I52" s="85"/>
    </row>
    <row r="53" spans="1:9" ht="15.95" customHeight="1" x14ac:dyDescent="0.3">
      <c r="A53" s="67">
        <f t="shared" si="3"/>
        <v>98</v>
      </c>
      <c r="B53" s="56" t="s">
        <v>148</v>
      </c>
      <c r="C53" s="56" t="s">
        <v>603</v>
      </c>
      <c r="D53" s="171"/>
      <c r="E53" s="67" t="s">
        <v>59</v>
      </c>
      <c r="F53" s="15">
        <v>3</v>
      </c>
      <c r="G53" s="15">
        <f t="shared" si="1"/>
        <v>2</v>
      </c>
      <c r="H53" s="60">
        <v>1</v>
      </c>
      <c r="I53" s="85"/>
    </row>
    <row r="54" spans="1:9" ht="15.95" customHeight="1" x14ac:dyDescent="0.3">
      <c r="A54" s="67">
        <f t="shared" si="3"/>
        <v>100</v>
      </c>
      <c r="B54" s="56" t="s">
        <v>4</v>
      </c>
      <c r="C54" s="56" t="s">
        <v>604</v>
      </c>
      <c r="D54" s="171"/>
      <c r="E54" s="67" t="s">
        <v>59</v>
      </c>
      <c r="F54" s="15">
        <v>3</v>
      </c>
      <c r="G54" s="15">
        <f t="shared" si="1"/>
        <v>2</v>
      </c>
      <c r="H54" s="60">
        <v>1</v>
      </c>
      <c r="I54" s="85"/>
    </row>
    <row r="55" spans="1:9" ht="15.95" customHeight="1" x14ac:dyDescent="0.3">
      <c r="A55" s="67">
        <f t="shared" si="3"/>
        <v>102</v>
      </c>
      <c r="B55" s="56" t="s">
        <v>61</v>
      </c>
      <c r="C55" s="56" t="s">
        <v>605</v>
      </c>
      <c r="D55" s="171"/>
      <c r="E55" s="67" t="s">
        <v>59</v>
      </c>
      <c r="F55" s="15">
        <v>3</v>
      </c>
      <c r="G55" s="15">
        <f t="shared" si="1"/>
        <v>2</v>
      </c>
      <c r="H55" s="60">
        <v>1</v>
      </c>
      <c r="I55" s="85"/>
    </row>
    <row r="56" spans="1:9" ht="15.95" customHeight="1" x14ac:dyDescent="0.3">
      <c r="A56" s="67">
        <f t="shared" si="3"/>
        <v>104</v>
      </c>
      <c r="B56" s="56" t="s">
        <v>68</v>
      </c>
      <c r="C56" s="56"/>
      <c r="D56" s="171"/>
      <c r="E56" s="67" t="s">
        <v>59</v>
      </c>
      <c r="F56" s="15">
        <v>3</v>
      </c>
      <c r="G56" s="15">
        <f t="shared" si="1"/>
        <v>2</v>
      </c>
      <c r="H56" s="60">
        <v>1</v>
      </c>
      <c r="I56" s="85"/>
    </row>
    <row r="57" spans="1:9" ht="15.95" customHeight="1" x14ac:dyDescent="0.3">
      <c r="A57" s="67">
        <f t="shared" si="3"/>
        <v>106</v>
      </c>
      <c r="B57" s="56" t="s">
        <v>69</v>
      </c>
      <c r="C57" s="56"/>
      <c r="D57" s="171"/>
      <c r="E57" s="67" t="s">
        <v>59</v>
      </c>
      <c r="F57" s="15">
        <v>3</v>
      </c>
      <c r="G57" s="15">
        <f t="shared" si="1"/>
        <v>2</v>
      </c>
      <c r="H57" s="60">
        <v>1</v>
      </c>
      <c r="I57" s="85"/>
    </row>
    <row r="58" spans="1:9" ht="15.95" customHeight="1" x14ac:dyDescent="0.3">
      <c r="A58" s="67">
        <f t="shared" si="3"/>
        <v>108</v>
      </c>
      <c r="B58" s="56" t="s">
        <v>70</v>
      </c>
      <c r="C58" s="56"/>
      <c r="D58" s="171"/>
      <c r="E58" s="67" t="s">
        <v>59</v>
      </c>
      <c r="F58" s="15">
        <v>3</v>
      </c>
      <c r="G58" s="15">
        <f t="shared" si="1"/>
        <v>2</v>
      </c>
      <c r="H58" s="60">
        <v>1</v>
      </c>
      <c r="I58" s="85"/>
    </row>
    <row r="59" spans="1:9" ht="15.95" customHeight="1" x14ac:dyDescent="0.3">
      <c r="A59" s="67">
        <f t="shared" si="3"/>
        <v>110</v>
      </c>
      <c r="B59" s="56" t="s">
        <v>71</v>
      </c>
      <c r="C59" s="56"/>
      <c r="D59" s="171"/>
      <c r="E59" s="67" t="s">
        <v>59</v>
      </c>
      <c r="F59" s="15">
        <v>3</v>
      </c>
      <c r="G59" s="15">
        <f t="shared" si="1"/>
        <v>2</v>
      </c>
      <c r="H59" s="60">
        <v>1</v>
      </c>
      <c r="I59" s="85"/>
    </row>
    <row r="60" spans="1:9" ht="15.95" customHeight="1" x14ac:dyDescent="0.3">
      <c r="A60" s="67">
        <f t="shared" si="3"/>
        <v>112</v>
      </c>
      <c r="B60" s="56" t="s">
        <v>62</v>
      </c>
      <c r="C60" s="56" t="s">
        <v>606</v>
      </c>
      <c r="D60" s="171" t="s">
        <v>595</v>
      </c>
      <c r="E60" s="67" t="s">
        <v>59</v>
      </c>
      <c r="F60" s="15">
        <v>3</v>
      </c>
      <c r="G60" s="15">
        <f t="shared" si="1"/>
        <v>2</v>
      </c>
      <c r="H60" s="60">
        <v>1</v>
      </c>
      <c r="I60" s="85"/>
    </row>
    <row r="61" spans="1:9" ht="15.95" customHeight="1" x14ac:dyDescent="0.3">
      <c r="A61" s="67">
        <f t="shared" si="3"/>
        <v>114</v>
      </c>
      <c r="B61" s="56" t="s">
        <v>63</v>
      </c>
      <c r="C61" s="56" t="s">
        <v>607</v>
      </c>
      <c r="D61" s="171"/>
      <c r="E61" s="67" t="s">
        <v>59</v>
      </c>
      <c r="F61" s="15">
        <v>3</v>
      </c>
      <c r="G61" s="15">
        <f t="shared" si="1"/>
        <v>2</v>
      </c>
      <c r="H61" s="60">
        <v>1</v>
      </c>
      <c r="I61" s="85"/>
    </row>
    <row r="62" spans="1:9" ht="15.95" customHeight="1" x14ac:dyDescent="0.3">
      <c r="A62" s="67">
        <f t="shared" si="3"/>
        <v>116</v>
      </c>
      <c r="B62" s="56" t="s">
        <v>64</v>
      </c>
      <c r="C62" s="56" t="s">
        <v>608</v>
      </c>
      <c r="D62" s="171"/>
      <c r="E62" s="67" t="s">
        <v>59</v>
      </c>
      <c r="F62" s="15">
        <v>3</v>
      </c>
      <c r="G62" s="15">
        <f t="shared" si="1"/>
        <v>2</v>
      </c>
      <c r="H62" s="60">
        <v>1</v>
      </c>
      <c r="I62" s="85"/>
    </row>
    <row r="63" spans="1:9" ht="15.95" customHeight="1" x14ac:dyDescent="0.3">
      <c r="A63" s="67">
        <f t="shared" si="3"/>
        <v>118</v>
      </c>
      <c r="B63" s="56" t="s">
        <v>65</v>
      </c>
      <c r="C63" s="56" t="s">
        <v>609</v>
      </c>
      <c r="D63" s="171"/>
      <c r="E63" s="67" t="s">
        <v>59</v>
      </c>
      <c r="F63" s="15">
        <v>3</v>
      </c>
      <c r="G63" s="15">
        <f t="shared" si="1"/>
        <v>2</v>
      </c>
      <c r="H63" s="60">
        <v>1</v>
      </c>
      <c r="I63" s="85"/>
    </row>
    <row r="64" spans="1:9" ht="15.95" customHeight="1" x14ac:dyDescent="0.3">
      <c r="A64" s="67">
        <f t="shared" si="3"/>
        <v>120</v>
      </c>
      <c r="B64" s="56" t="s">
        <v>72</v>
      </c>
      <c r="C64" s="172"/>
      <c r="D64" s="171"/>
      <c r="E64" s="67" t="s">
        <v>59</v>
      </c>
      <c r="F64" s="15">
        <v>3</v>
      </c>
      <c r="G64" s="15">
        <f t="shared" si="1"/>
        <v>2</v>
      </c>
      <c r="H64" s="60">
        <v>1</v>
      </c>
      <c r="I64" s="85"/>
    </row>
    <row r="65" spans="1:10" ht="15.95" customHeight="1" x14ac:dyDescent="0.3">
      <c r="A65" s="67">
        <f t="shared" si="3"/>
        <v>122</v>
      </c>
      <c r="B65" s="56" t="s">
        <v>73</v>
      </c>
      <c r="C65" s="172"/>
      <c r="D65" s="171"/>
      <c r="E65" s="67" t="s">
        <v>59</v>
      </c>
      <c r="F65" s="15">
        <v>3</v>
      </c>
      <c r="G65" s="15">
        <f t="shared" si="1"/>
        <v>2</v>
      </c>
      <c r="H65" s="60">
        <v>1</v>
      </c>
      <c r="I65" s="85"/>
    </row>
    <row r="66" spans="1:10" ht="15.95" customHeight="1" x14ac:dyDescent="0.3">
      <c r="A66" s="67">
        <f t="shared" si="3"/>
        <v>124</v>
      </c>
      <c r="B66" s="56" t="s">
        <v>74</v>
      </c>
      <c r="C66" s="172"/>
      <c r="D66" s="171"/>
      <c r="E66" s="67" t="s">
        <v>59</v>
      </c>
      <c r="F66" s="15">
        <v>3</v>
      </c>
      <c r="G66" s="15">
        <f t="shared" si="1"/>
        <v>2</v>
      </c>
      <c r="H66" s="60">
        <v>1</v>
      </c>
      <c r="I66" s="85"/>
    </row>
    <row r="67" spans="1:10" ht="15.95" customHeight="1" x14ac:dyDescent="0.3">
      <c r="A67" s="67">
        <f t="shared" si="3"/>
        <v>126</v>
      </c>
      <c r="B67" s="56" t="s">
        <v>75</v>
      </c>
      <c r="C67" s="172"/>
      <c r="D67" s="171"/>
      <c r="E67" s="67" t="s">
        <v>59</v>
      </c>
      <c r="F67" s="15">
        <v>3</v>
      </c>
      <c r="G67" s="15">
        <f t="shared" ref="G67:G91" si="4">IF(OR(E67="U16",E67="S16"),1,IF(E67="TS",6,IF(E67="U64",4,2)))</f>
        <v>2</v>
      </c>
      <c r="H67" s="60">
        <v>1</v>
      </c>
      <c r="I67" s="85"/>
    </row>
    <row r="68" spans="1:10" ht="15.95" customHeight="1" x14ac:dyDescent="0.3">
      <c r="A68" s="67">
        <f t="shared" si="3"/>
        <v>128</v>
      </c>
      <c r="B68" s="56" t="s">
        <v>66</v>
      </c>
      <c r="C68" s="56" t="s">
        <v>610</v>
      </c>
      <c r="D68" s="171" t="s">
        <v>596</v>
      </c>
      <c r="E68" s="67" t="s">
        <v>59</v>
      </c>
      <c r="F68" s="15">
        <v>3</v>
      </c>
      <c r="G68" s="15">
        <f t="shared" si="4"/>
        <v>2</v>
      </c>
      <c r="H68" s="60">
        <v>1</v>
      </c>
      <c r="I68" s="85"/>
    </row>
    <row r="69" spans="1:10" ht="15.95" customHeight="1" x14ac:dyDescent="0.3">
      <c r="A69" s="67">
        <f t="shared" si="3"/>
        <v>130</v>
      </c>
      <c r="B69" s="56" t="s">
        <v>6</v>
      </c>
      <c r="C69" s="56" t="s">
        <v>611</v>
      </c>
      <c r="D69" s="171"/>
      <c r="E69" s="67" t="s">
        <v>59</v>
      </c>
      <c r="F69" s="15">
        <v>3</v>
      </c>
      <c r="G69" s="15">
        <f t="shared" si="4"/>
        <v>2</v>
      </c>
      <c r="H69" s="60">
        <v>1</v>
      </c>
      <c r="I69" s="85"/>
    </row>
    <row r="70" spans="1:10" ht="15.95" customHeight="1" x14ac:dyDescent="0.3">
      <c r="A70" s="67">
        <f t="shared" si="3"/>
        <v>132</v>
      </c>
      <c r="B70" s="56" t="s">
        <v>7</v>
      </c>
      <c r="C70" s="56" t="s">
        <v>612</v>
      </c>
      <c r="D70" s="171"/>
      <c r="E70" s="67" t="s">
        <v>59</v>
      </c>
      <c r="F70" s="15">
        <v>3</v>
      </c>
      <c r="G70" s="15">
        <f t="shared" si="4"/>
        <v>2</v>
      </c>
      <c r="H70" s="60">
        <v>1</v>
      </c>
      <c r="I70" s="85"/>
      <c r="J70" s="27"/>
    </row>
    <row r="71" spans="1:10" ht="15.95" customHeight="1" x14ac:dyDescent="0.3">
      <c r="A71" s="67">
        <f t="shared" si="3"/>
        <v>134</v>
      </c>
      <c r="B71" s="56" t="s">
        <v>67</v>
      </c>
      <c r="C71" s="56" t="s">
        <v>613</v>
      </c>
      <c r="D71" s="171"/>
      <c r="E71" s="67" t="s">
        <v>59</v>
      </c>
      <c r="F71" s="15">
        <v>3</v>
      </c>
      <c r="G71" s="15">
        <f t="shared" si="4"/>
        <v>2</v>
      </c>
      <c r="H71" s="60">
        <v>1</v>
      </c>
      <c r="I71" s="85"/>
    </row>
    <row r="72" spans="1:10" ht="15.95" customHeight="1" x14ac:dyDescent="0.3">
      <c r="A72" s="67">
        <f t="shared" si="3"/>
        <v>136</v>
      </c>
      <c r="B72" s="56" t="s">
        <v>76</v>
      </c>
      <c r="C72" s="172"/>
      <c r="D72" s="171"/>
      <c r="E72" s="67" t="s">
        <v>59</v>
      </c>
      <c r="F72" s="15">
        <v>3</v>
      </c>
      <c r="G72" s="15">
        <f t="shared" si="4"/>
        <v>2</v>
      </c>
      <c r="H72" s="60">
        <v>1</v>
      </c>
      <c r="I72" s="85"/>
    </row>
    <row r="73" spans="1:10" ht="15.95" customHeight="1" x14ac:dyDescent="0.3">
      <c r="A73" s="67">
        <f t="shared" si="3"/>
        <v>138</v>
      </c>
      <c r="B73" s="56" t="s">
        <v>77</v>
      </c>
      <c r="C73" s="172"/>
      <c r="D73" s="171"/>
      <c r="E73" s="67" t="s">
        <v>59</v>
      </c>
      <c r="F73" s="15">
        <v>3</v>
      </c>
      <c r="G73" s="15">
        <f t="shared" si="4"/>
        <v>2</v>
      </c>
      <c r="H73" s="60">
        <v>1</v>
      </c>
      <c r="I73" s="85"/>
    </row>
    <row r="74" spans="1:10" ht="15.95" customHeight="1" x14ac:dyDescent="0.3">
      <c r="A74" s="67">
        <f t="shared" ref="A74:A91" si="5">A73+(G73*H73)</f>
        <v>140</v>
      </c>
      <c r="B74" s="56" t="s">
        <v>78</v>
      </c>
      <c r="C74" s="172"/>
      <c r="D74" s="171"/>
      <c r="E74" s="67" t="s">
        <v>59</v>
      </c>
      <c r="F74" s="15">
        <v>3</v>
      </c>
      <c r="G74" s="15">
        <f t="shared" si="4"/>
        <v>2</v>
      </c>
      <c r="H74" s="60">
        <v>1</v>
      </c>
      <c r="I74" s="85"/>
    </row>
    <row r="75" spans="1:10" ht="15.95" customHeight="1" x14ac:dyDescent="0.3">
      <c r="A75" s="67">
        <f t="shared" si="5"/>
        <v>142</v>
      </c>
      <c r="B75" s="56" t="s">
        <v>79</v>
      </c>
      <c r="C75" s="172"/>
      <c r="D75" s="171"/>
      <c r="E75" s="67" t="s">
        <v>59</v>
      </c>
      <c r="F75" s="15">
        <v>3</v>
      </c>
      <c r="G75" s="15">
        <f t="shared" si="4"/>
        <v>2</v>
      </c>
      <c r="H75" s="60">
        <v>1</v>
      </c>
      <c r="I75" s="85"/>
    </row>
    <row r="76" spans="1:10" ht="15.95" customHeight="1" x14ac:dyDescent="0.3">
      <c r="A76" s="67">
        <f t="shared" si="5"/>
        <v>144</v>
      </c>
      <c r="B76" s="56" t="s">
        <v>80</v>
      </c>
      <c r="C76" s="56" t="s">
        <v>615</v>
      </c>
      <c r="D76" s="171" t="s">
        <v>146</v>
      </c>
      <c r="E76" s="67" t="s">
        <v>59</v>
      </c>
      <c r="F76" s="67">
        <v>3</v>
      </c>
      <c r="G76" s="67">
        <f t="shared" si="4"/>
        <v>2</v>
      </c>
      <c r="H76" s="60">
        <v>1</v>
      </c>
      <c r="I76" s="85"/>
    </row>
    <row r="77" spans="1:10" ht="15.95" customHeight="1" x14ac:dyDescent="0.3">
      <c r="A77" s="67">
        <f t="shared" si="5"/>
        <v>146</v>
      </c>
      <c r="B77" s="56" t="s">
        <v>8</v>
      </c>
      <c r="C77" s="56" t="s">
        <v>616</v>
      </c>
      <c r="D77" s="171"/>
      <c r="E77" s="67" t="s">
        <v>59</v>
      </c>
      <c r="F77" s="67">
        <v>3</v>
      </c>
      <c r="G77" s="67">
        <f t="shared" si="4"/>
        <v>2</v>
      </c>
      <c r="H77" s="60">
        <v>1</v>
      </c>
      <c r="I77" s="85"/>
    </row>
    <row r="78" spans="1:10" ht="15.95" customHeight="1" x14ac:dyDescent="0.3">
      <c r="A78" s="67">
        <f t="shared" si="5"/>
        <v>148</v>
      </c>
      <c r="B78" s="56" t="s">
        <v>9</v>
      </c>
      <c r="C78" s="56" t="s">
        <v>617</v>
      </c>
      <c r="D78" s="171"/>
      <c r="E78" s="67" t="s">
        <v>59</v>
      </c>
      <c r="F78" s="67">
        <v>3</v>
      </c>
      <c r="G78" s="67">
        <f t="shared" si="4"/>
        <v>2</v>
      </c>
      <c r="H78" s="60">
        <v>1</v>
      </c>
      <c r="I78" s="85"/>
    </row>
    <row r="79" spans="1:10" ht="15.95" customHeight="1" x14ac:dyDescent="0.3">
      <c r="A79" s="67">
        <f t="shared" si="5"/>
        <v>150</v>
      </c>
      <c r="B79" s="56" t="s">
        <v>81</v>
      </c>
      <c r="C79" s="56" t="s">
        <v>614</v>
      </c>
      <c r="D79" s="171"/>
      <c r="E79" s="67" t="s">
        <v>59</v>
      </c>
      <c r="F79" s="67">
        <v>3</v>
      </c>
      <c r="G79" s="67">
        <f t="shared" si="4"/>
        <v>2</v>
      </c>
      <c r="H79" s="60">
        <v>1</v>
      </c>
      <c r="I79" s="85"/>
    </row>
    <row r="80" spans="1:10" ht="15.95" customHeight="1" x14ac:dyDescent="0.3">
      <c r="A80" s="60">
        <f t="shared" si="5"/>
        <v>152</v>
      </c>
      <c r="B80" s="9" t="s">
        <v>82</v>
      </c>
      <c r="C80" s="173"/>
      <c r="D80" s="163" t="s">
        <v>146</v>
      </c>
      <c r="E80" s="15" t="s">
        <v>59</v>
      </c>
      <c r="F80" s="15">
        <v>3</v>
      </c>
      <c r="G80" s="15">
        <f t="shared" si="4"/>
        <v>2</v>
      </c>
      <c r="H80" s="60">
        <v>1</v>
      </c>
      <c r="I80" s="85"/>
    </row>
    <row r="81" spans="1:10" ht="15.95" customHeight="1" x14ac:dyDescent="0.3">
      <c r="A81" s="60">
        <f t="shared" si="5"/>
        <v>154</v>
      </c>
      <c r="B81" s="9" t="s">
        <v>83</v>
      </c>
      <c r="C81" s="173"/>
      <c r="D81" s="163"/>
      <c r="E81" s="15" t="s">
        <v>59</v>
      </c>
      <c r="F81" s="15">
        <v>3</v>
      </c>
      <c r="G81" s="15">
        <f t="shared" si="4"/>
        <v>2</v>
      </c>
      <c r="H81" s="60">
        <v>1</v>
      </c>
      <c r="I81" s="85"/>
    </row>
    <row r="82" spans="1:10" ht="15.95" customHeight="1" x14ac:dyDescent="0.3">
      <c r="A82" s="60">
        <f t="shared" si="5"/>
        <v>156</v>
      </c>
      <c r="B82" s="9" t="s">
        <v>84</v>
      </c>
      <c r="C82" s="173"/>
      <c r="D82" s="163"/>
      <c r="E82" s="15" t="s">
        <v>59</v>
      </c>
      <c r="F82" s="15">
        <v>3</v>
      </c>
      <c r="G82" s="15">
        <f t="shared" si="4"/>
        <v>2</v>
      </c>
      <c r="H82" s="60">
        <v>1</v>
      </c>
      <c r="I82" s="85"/>
    </row>
    <row r="83" spans="1:10" ht="15.95" customHeight="1" x14ac:dyDescent="0.3">
      <c r="A83" s="60">
        <f t="shared" si="5"/>
        <v>158</v>
      </c>
      <c r="B83" s="9" t="s">
        <v>85</v>
      </c>
      <c r="C83" s="173"/>
      <c r="D83" s="163"/>
      <c r="E83" s="15" t="s">
        <v>59</v>
      </c>
      <c r="F83" s="15">
        <v>3</v>
      </c>
      <c r="G83" s="15">
        <f t="shared" si="4"/>
        <v>2</v>
      </c>
      <c r="H83" s="60">
        <v>1</v>
      </c>
      <c r="I83" s="85"/>
    </row>
    <row r="84" spans="1:10" ht="15.95" customHeight="1" x14ac:dyDescent="0.3">
      <c r="A84" s="60">
        <f t="shared" si="5"/>
        <v>160</v>
      </c>
      <c r="B84" s="9" t="s">
        <v>108</v>
      </c>
      <c r="C84" s="173"/>
      <c r="D84" s="163" t="s">
        <v>594</v>
      </c>
      <c r="E84" s="15" t="s">
        <v>59</v>
      </c>
      <c r="F84" s="15">
        <v>3</v>
      </c>
      <c r="G84" s="15">
        <f t="shared" si="4"/>
        <v>2</v>
      </c>
      <c r="H84" s="60">
        <v>1</v>
      </c>
      <c r="I84" s="85"/>
      <c r="J84" s="182" t="s">
        <v>112</v>
      </c>
    </row>
    <row r="85" spans="1:10" ht="15.95" customHeight="1" x14ac:dyDescent="0.3">
      <c r="A85" s="60">
        <f t="shared" si="5"/>
        <v>162</v>
      </c>
      <c r="B85" s="9" t="s">
        <v>109</v>
      </c>
      <c r="C85" s="173"/>
      <c r="D85" s="163"/>
      <c r="E85" s="15" t="s">
        <v>59</v>
      </c>
      <c r="F85" s="15">
        <v>3</v>
      </c>
      <c r="G85" s="15">
        <f t="shared" si="4"/>
        <v>2</v>
      </c>
      <c r="H85" s="60">
        <v>1</v>
      </c>
      <c r="I85" s="85"/>
      <c r="J85" s="182"/>
    </row>
    <row r="86" spans="1:10" ht="15.95" customHeight="1" x14ac:dyDescent="0.3">
      <c r="A86" s="60">
        <f t="shared" si="5"/>
        <v>164</v>
      </c>
      <c r="B86" s="9" t="s">
        <v>110</v>
      </c>
      <c r="C86" s="173"/>
      <c r="D86" s="163"/>
      <c r="E86" s="15" t="s">
        <v>59</v>
      </c>
      <c r="F86" s="15">
        <v>3</v>
      </c>
      <c r="G86" s="15">
        <f t="shared" si="4"/>
        <v>2</v>
      </c>
      <c r="H86" s="60">
        <v>1</v>
      </c>
      <c r="I86" s="85"/>
      <c r="J86" s="182"/>
    </row>
    <row r="87" spans="1:10" ht="15.95" customHeight="1" x14ac:dyDescent="0.3">
      <c r="A87" s="60">
        <f t="shared" si="5"/>
        <v>166</v>
      </c>
      <c r="B87" s="9" t="s">
        <v>111</v>
      </c>
      <c r="C87" s="173"/>
      <c r="D87" s="163"/>
      <c r="E87" s="15" t="s">
        <v>59</v>
      </c>
      <c r="F87" s="15">
        <v>3</v>
      </c>
      <c r="G87" s="15">
        <f t="shared" si="4"/>
        <v>2</v>
      </c>
      <c r="H87" s="60">
        <v>1</v>
      </c>
      <c r="I87" s="85"/>
      <c r="J87" s="182"/>
    </row>
    <row r="88" spans="1:10" ht="15.95" customHeight="1" x14ac:dyDescent="0.3">
      <c r="A88" s="60">
        <f t="shared" si="5"/>
        <v>168</v>
      </c>
      <c r="B88" s="9" t="s">
        <v>105</v>
      </c>
      <c r="C88" s="173"/>
      <c r="D88" s="163" t="s">
        <v>642</v>
      </c>
      <c r="E88" s="15" t="s">
        <v>59</v>
      </c>
      <c r="F88" s="15">
        <v>3</v>
      </c>
      <c r="G88" s="15">
        <f t="shared" si="4"/>
        <v>2</v>
      </c>
      <c r="H88" s="60">
        <v>1</v>
      </c>
      <c r="I88" s="85"/>
      <c r="J88" s="182" t="s">
        <v>394</v>
      </c>
    </row>
    <row r="89" spans="1:10" ht="15.95" customHeight="1" x14ac:dyDescent="0.3">
      <c r="A89" s="60">
        <f t="shared" si="5"/>
        <v>170</v>
      </c>
      <c r="B89" s="9" t="s">
        <v>106</v>
      </c>
      <c r="C89" s="173"/>
      <c r="D89" s="163"/>
      <c r="E89" s="15" t="s">
        <v>59</v>
      </c>
      <c r="F89" s="15">
        <v>3</v>
      </c>
      <c r="G89" s="15">
        <f t="shared" si="4"/>
        <v>2</v>
      </c>
      <c r="H89" s="60">
        <v>1</v>
      </c>
      <c r="I89" s="85"/>
      <c r="J89" s="182"/>
    </row>
    <row r="90" spans="1:10" ht="15.95" customHeight="1" x14ac:dyDescent="0.3">
      <c r="A90" s="60">
        <f t="shared" si="5"/>
        <v>172</v>
      </c>
      <c r="B90" s="9" t="s">
        <v>107</v>
      </c>
      <c r="C90" s="173"/>
      <c r="D90" s="163"/>
      <c r="E90" s="15" t="s">
        <v>59</v>
      </c>
      <c r="F90" s="15">
        <v>3</v>
      </c>
      <c r="G90" s="15">
        <f t="shared" si="4"/>
        <v>2</v>
      </c>
      <c r="H90" s="60">
        <v>1</v>
      </c>
      <c r="I90" s="85"/>
      <c r="J90" s="182"/>
    </row>
    <row r="91" spans="1:10" ht="15.95" customHeight="1" x14ac:dyDescent="0.3">
      <c r="A91" s="60">
        <f t="shared" si="5"/>
        <v>174</v>
      </c>
      <c r="B91" s="9" t="s">
        <v>383</v>
      </c>
      <c r="C91" s="173"/>
      <c r="D91" s="60"/>
      <c r="E91" s="15" t="s">
        <v>58</v>
      </c>
      <c r="F91" s="15">
        <v>3</v>
      </c>
      <c r="G91" s="15">
        <f t="shared" si="4"/>
        <v>2</v>
      </c>
      <c r="H91" s="60">
        <v>1</v>
      </c>
      <c r="I91" s="89"/>
      <c r="J91" s="41" t="s">
        <v>395</v>
      </c>
    </row>
    <row r="92" spans="1:10" ht="15.95" customHeight="1" x14ac:dyDescent="0.3">
      <c r="A92" s="60">
        <f t="shared" ref="A92:A123" si="6">A91+(G91*H91)</f>
        <v>176</v>
      </c>
      <c r="B92" s="9" t="s">
        <v>18</v>
      </c>
      <c r="C92" s="173"/>
      <c r="D92" s="163" t="s">
        <v>146</v>
      </c>
      <c r="E92" s="15" t="s">
        <v>59</v>
      </c>
      <c r="F92" s="15">
        <v>3</v>
      </c>
      <c r="G92" s="15">
        <f t="shared" ref="G92:G118" si="7">IF(OR(E92="U16", E92="S16"),1,IF(E92="TS",6,2))</f>
        <v>2</v>
      </c>
      <c r="H92" s="60">
        <v>1</v>
      </c>
      <c r="I92" s="85"/>
    </row>
    <row r="93" spans="1:10" ht="15.95" customHeight="1" x14ac:dyDescent="0.3">
      <c r="A93" s="60">
        <f t="shared" si="6"/>
        <v>178</v>
      </c>
      <c r="B93" s="9" t="s">
        <v>19</v>
      </c>
      <c r="C93" s="173"/>
      <c r="D93" s="163"/>
      <c r="E93" s="15" t="s">
        <v>59</v>
      </c>
      <c r="F93" s="15">
        <v>3</v>
      </c>
      <c r="G93" s="15">
        <f t="shared" si="7"/>
        <v>2</v>
      </c>
      <c r="H93" s="60">
        <v>1</v>
      </c>
      <c r="I93" s="85"/>
      <c r="J93" s="10" t="s">
        <v>178</v>
      </c>
    </row>
    <row r="94" spans="1:10" ht="15.95" customHeight="1" x14ac:dyDescent="0.3">
      <c r="A94" s="60">
        <f t="shared" si="6"/>
        <v>180</v>
      </c>
      <c r="B94" s="9" t="s">
        <v>20</v>
      </c>
      <c r="C94" s="173"/>
      <c r="D94" s="163"/>
      <c r="E94" s="15" t="s">
        <v>59</v>
      </c>
      <c r="F94" s="15">
        <v>3</v>
      </c>
      <c r="G94" s="15">
        <f t="shared" si="7"/>
        <v>2</v>
      </c>
      <c r="H94" s="60">
        <v>1</v>
      </c>
      <c r="I94" s="85"/>
    </row>
    <row r="95" spans="1:10" ht="15.95" customHeight="1" x14ac:dyDescent="0.3">
      <c r="A95" s="60">
        <f t="shared" si="6"/>
        <v>182</v>
      </c>
      <c r="B95" s="9" t="s">
        <v>21</v>
      </c>
      <c r="C95" s="173"/>
      <c r="D95" s="163"/>
      <c r="E95" s="15" t="s">
        <v>59</v>
      </c>
      <c r="F95" s="15">
        <v>3</v>
      </c>
      <c r="G95" s="15">
        <f t="shared" si="7"/>
        <v>2</v>
      </c>
      <c r="H95" s="60">
        <v>1</v>
      </c>
      <c r="I95" s="85"/>
    </row>
    <row r="96" spans="1:10" ht="15.95" customHeight="1" x14ac:dyDescent="0.3">
      <c r="A96" s="60">
        <f t="shared" si="6"/>
        <v>184</v>
      </c>
      <c r="B96" s="9" t="s">
        <v>22</v>
      </c>
      <c r="C96" s="173"/>
      <c r="D96" s="163"/>
      <c r="E96" s="15" t="s">
        <v>59</v>
      </c>
      <c r="F96" s="15">
        <v>3</v>
      </c>
      <c r="G96" s="15">
        <f t="shared" si="7"/>
        <v>2</v>
      </c>
      <c r="H96" s="60">
        <v>1</v>
      </c>
      <c r="I96" s="85"/>
    </row>
    <row r="97" spans="1:9" ht="15.95" customHeight="1" x14ac:dyDescent="0.3">
      <c r="A97" s="60">
        <f t="shared" si="6"/>
        <v>186</v>
      </c>
      <c r="B97" s="9" t="s">
        <v>23</v>
      </c>
      <c r="C97" s="173"/>
      <c r="D97" s="163"/>
      <c r="E97" s="15" t="s">
        <v>59</v>
      </c>
      <c r="F97" s="15">
        <v>3</v>
      </c>
      <c r="G97" s="15">
        <f t="shared" si="7"/>
        <v>2</v>
      </c>
      <c r="H97" s="60">
        <v>1</v>
      </c>
      <c r="I97" s="85"/>
    </row>
    <row r="98" spans="1:9" ht="15.95" customHeight="1" x14ac:dyDescent="0.3">
      <c r="A98" s="60">
        <f t="shared" si="6"/>
        <v>188</v>
      </c>
      <c r="B98" s="9" t="s">
        <v>86</v>
      </c>
      <c r="C98" s="9" t="s">
        <v>643</v>
      </c>
      <c r="D98" s="163"/>
      <c r="E98" s="15" t="s">
        <v>59</v>
      </c>
      <c r="F98" s="15">
        <v>3</v>
      </c>
      <c r="G98" s="15">
        <f t="shared" si="7"/>
        <v>2</v>
      </c>
      <c r="H98" s="60">
        <v>1</v>
      </c>
      <c r="I98" s="85"/>
    </row>
    <row r="99" spans="1:9" ht="15.95" customHeight="1" x14ac:dyDescent="0.3">
      <c r="A99" s="60">
        <f t="shared" si="6"/>
        <v>190</v>
      </c>
      <c r="B99" s="9" t="s">
        <v>16</v>
      </c>
      <c r="C99" s="9"/>
      <c r="D99" s="163"/>
      <c r="E99" s="15" t="s">
        <v>59</v>
      </c>
      <c r="F99" s="15">
        <v>3</v>
      </c>
      <c r="G99" s="15">
        <f t="shared" si="7"/>
        <v>2</v>
      </c>
      <c r="H99" s="60">
        <v>1</v>
      </c>
      <c r="I99" s="85"/>
    </row>
    <row r="100" spans="1:9" ht="15.95" customHeight="1" x14ac:dyDescent="0.3">
      <c r="A100" s="60">
        <f t="shared" si="6"/>
        <v>192</v>
      </c>
      <c r="B100" s="9" t="s">
        <v>17</v>
      </c>
      <c r="C100" s="9"/>
      <c r="D100" s="163"/>
      <c r="E100" s="15" t="s">
        <v>59</v>
      </c>
      <c r="F100" s="15">
        <v>3</v>
      </c>
      <c r="G100" s="15">
        <f t="shared" si="7"/>
        <v>2</v>
      </c>
      <c r="H100" s="60">
        <v>1</v>
      </c>
      <c r="I100" s="85"/>
    </row>
    <row r="101" spans="1:9" ht="15.95" customHeight="1" x14ac:dyDescent="0.3">
      <c r="A101" s="60">
        <f t="shared" si="6"/>
        <v>194</v>
      </c>
      <c r="B101" s="9" t="s">
        <v>87</v>
      </c>
      <c r="C101" s="9"/>
      <c r="D101" s="163"/>
      <c r="E101" s="15" t="s">
        <v>59</v>
      </c>
      <c r="F101" s="15">
        <v>3</v>
      </c>
      <c r="G101" s="15">
        <f t="shared" si="7"/>
        <v>2</v>
      </c>
      <c r="H101" s="60">
        <v>1</v>
      </c>
      <c r="I101" s="85"/>
    </row>
    <row r="102" spans="1:9" ht="15.95" customHeight="1" x14ac:dyDescent="0.3">
      <c r="A102" s="60">
        <f t="shared" si="6"/>
        <v>196</v>
      </c>
      <c r="B102" s="9" t="s">
        <v>88</v>
      </c>
      <c r="C102" s="9"/>
      <c r="D102" s="163"/>
      <c r="E102" s="15" t="s">
        <v>59</v>
      </c>
      <c r="F102" s="15">
        <v>3</v>
      </c>
      <c r="G102" s="15">
        <f t="shared" si="7"/>
        <v>2</v>
      </c>
      <c r="H102" s="60">
        <v>1</v>
      </c>
      <c r="I102" s="85"/>
    </row>
    <row r="103" spans="1:9" ht="15.95" customHeight="1" x14ac:dyDescent="0.3">
      <c r="A103" s="60">
        <f t="shared" si="6"/>
        <v>198</v>
      </c>
      <c r="B103" s="9" t="s">
        <v>89</v>
      </c>
      <c r="C103" s="9"/>
      <c r="D103" s="163"/>
      <c r="E103" s="15" t="s">
        <v>59</v>
      </c>
      <c r="F103" s="15">
        <v>3</v>
      </c>
      <c r="G103" s="15">
        <f t="shared" si="7"/>
        <v>2</v>
      </c>
      <c r="H103" s="60">
        <v>1</v>
      </c>
      <c r="I103" s="85"/>
    </row>
    <row r="104" spans="1:9" ht="15.95" customHeight="1" x14ac:dyDescent="0.3">
      <c r="A104" s="60">
        <f t="shared" si="6"/>
        <v>200</v>
      </c>
      <c r="B104" s="9" t="s">
        <v>24</v>
      </c>
      <c r="C104" s="9"/>
      <c r="D104" s="163"/>
      <c r="E104" s="15" t="s">
        <v>59</v>
      </c>
      <c r="F104" s="15">
        <v>3</v>
      </c>
      <c r="G104" s="15">
        <f t="shared" si="7"/>
        <v>2</v>
      </c>
      <c r="H104" s="60">
        <v>1</v>
      </c>
      <c r="I104" s="85"/>
    </row>
    <row r="105" spans="1:9" ht="15.95" customHeight="1" x14ac:dyDescent="0.3">
      <c r="A105" s="60">
        <f t="shared" si="6"/>
        <v>202</v>
      </c>
      <c r="B105" s="9" t="s">
        <v>25</v>
      </c>
      <c r="C105" s="9"/>
      <c r="D105" s="163"/>
      <c r="E105" s="15" t="s">
        <v>59</v>
      </c>
      <c r="F105" s="15">
        <v>3</v>
      </c>
      <c r="G105" s="15">
        <f t="shared" si="7"/>
        <v>2</v>
      </c>
      <c r="H105" s="60">
        <v>1</v>
      </c>
      <c r="I105" s="85"/>
    </row>
    <row r="106" spans="1:9" ht="15.95" customHeight="1" x14ac:dyDescent="0.3">
      <c r="A106" s="60">
        <f t="shared" si="6"/>
        <v>204</v>
      </c>
      <c r="B106" s="9" t="s">
        <v>26</v>
      </c>
      <c r="C106" s="9"/>
      <c r="D106" s="163"/>
      <c r="E106" s="15" t="s">
        <v>59</v>
      </c>
      <c r="F106" s="15">
        <v>3</v>
      </c>
      <c r="G106" s="15">
        <f t="shared" si="7"/>
        <v>2</v>
      </c>
      <c r="H106" s="60">
        <v>1</v>
      </c>
      <c r="I106" s="85"/>
    </row>
    <row r="107" spans="1:9" ht="15.95" customHeight="1" x14ac:dyDescent="0.3">
      <c r="A107" s="60">
        <f t="shared" si="6"/>
        <v>206</v>
      </c>
      <c r="B107" s="9" t="s">
        <v>27</v>
      </c>
      <c r="C107" s="9"/>
      <c r="D107" s="163"/>
      <c r="E107" s="15" t="s">
        <v>59</v>
      </c>
      <c r="F107" s="15">
        <v>3</v>
      </c>
      <c r="G107" s="15">
        <f t="shared" si="7"/>
        <v>2</v>
      </c>
      <c r="H107" s="60">
        <v>1</v>
      </c>
      <c r="I107" s="85"/>
    </row>
    <row r="108" spans="1:9" ht="15.95" customHeight="1" x14ac:dyDescent="0.3">
      <c r="A108" s="60">
        <f t="shared" si="6"/>
        <v>208</v>
      </c>
      <c r="B108" s="9" t="s">
        <v>28</v>
      </c>
      <c r="C108" s="9"/>
      <c r="D108" s="163"/>
      <c r="E108" s="15" t="s">
        <v>59</v>
      </c>
      <c r="F108" s="15">
        <v>3</v>
      </c>
      <c r="G108" s="15">
        <f t="shared" si="7"/>
        <v>2</v>
      </c>
      <c r="H108" s="60">
        <v>1</v>
      </c>
      <c r="I108" s="85"/>
    </row>
    <row r="109" spans="1:9" ht="15.95" customHeight="1" x14ac:dyDescent="0.3">
      <c r="A109" s="60">
        <f t="shared" si="6"/>
        <v>210</v>
      </c>
      <c r="B109" s="9" t="s">
        <v>29</v>
      </c>
      <c r="C109" s="9"/>
      <c r="D109" s="163"/>
      <c r="E109" s="15" t="s">
        <v>59</v>
      </c>
      <c r="F109" s="15">
        <v>3</v>
      </c>
      <c r="G109" s="15">
        <f t="shared" si="7"/>
        <v>2</v>
      </c>
      <c r="H109" s="60">
        <v>1</v>
      </c>
      <c r="I109" s="85"/>
    </row>
    <row r="110" spans="1:9" ht="15.95" customHeight="1" x14ac:dyDescent="0.3">
      <c r="A110" s="60">
        <f t="shared" si="6"/>
        <v>212</v>
      </c>
      <c r="B110" s="9" t="s">
        <v>10</v>
      </c>
      <c r="C110" s="9" t="s">
        <v>644</v>
      </c>
      <c r="D110" s="163"/>
      <c r="E110" s="15" t="s">
        <v>59</v>
      </c>
      <c r="F110" s="15">
        <v>3</v>
      </c>
      <c r="G110" s="15">
        <f t="shared" si="7"/>
        <v>2</v>
      </c>
      <c r="H110" s="60">
        <v>1</v>
      </c>
      <c r="I110" s="85"/>
    </row>
    <row r="111" spans="1:9" ht="15.95" customHeight="1" x14ac:dyDescent="0.3">
      <c r="A111" s="60">
        <f t="shared" si="6"/>
        <v>214</v>
      </c>
      <c r="B111" s="9" t="s">
        <v>11</v>
      </c>
      <c r="C111" s="9"/>
      <c r="D111" s="163"/>
      <c r="E111" s="15" t="s">
        <v>59</v>
      </c>
      <c r="F111" s="15">
        <v>3</v>
      </c>
      <c r="G111" s="15">
        <f t="shared" si="7"/>
        <v>2</v>
      </c>
      <c r="H111" s="60">
        <v>1</v>
      </c>
      <c r="I111" s="85"/>
    </row>
    <row r="112" spans="1:9" ht="15.95" customHeight="1" x14ac:dyDescent="0.3">
      <c r="A112" s="60">
        <f t="shared" si="6"/>
        <v>216</v>
      </c>
      <c r="B112" s="9" t="s">
        <v>12</v>
      </c>
      <c r="C112" s="9"/>
      <c r="D112" s="163"/>
      <c r="E112" s="15" t="s">
        <v>59</v>
      </c>
      <c r="F112" s="15">
        <v>3</v>
      </c>
      <c r="G112" s="15">
        <f t="shared" si="7"/>
        <v>2</v>
      </c>
      <c r="H112" s="60">
        <v>1</v>
      </c>
      <c r="I112" s="85"/>
    </row>
    <row r="113" spans="1:10" ht="15.95" customHeight="1" x14ac:dyDescent="0.3">
      <c r="A113" s="60">
        <f t="shared" si="6"/>
        <v>218</v>
      </c>
      <c r="B113" s="9" t="s">
        <v>13</v>
      </c>
      <c r="C113" s="9" t="s">
        <v>643</v>
      </c>
      <c r="D113" s="163"/>
      <c r="E113" s="15" t="s">
        <v>59</v>
      </c>
      <c r="F113" s="15">
        <v>3</v>
      </c>
      <c r="G113" s="15">
        <f t="shared" si="7"/>
        <v>2</v>
      </c>
      <c r="H113" s="60">
        <v>1</v>
      </c>
      <c r="I113" s="85"/>
    </row>
    <row r="114" spans="1:10" ht="15.95" customHeight="1" x14ac:dyDescent="0.3">
      <c r="A114" s="60">
        <f t="shared" si="6"/>
        <v>220</v>
      </c>
      <c r="B114" s="9" t="s">
        <v>14</v>
      </c>
      <c r="C114" s="9"/>
      <c r="D114" s="163"/>
      <c r="E114" s="15" t="s">
        <v>59</v>
      </c>
      <c r="F114" s="15">
        <v>3</v>
      </c>
      <c r="G114" s="15">
        <f t="shared" si="7"/>
        <v>2</v>
      </c>
      <c r="H114" s="60">
        <v>1</v>
      </c>
      <c r="I114" s="85"/>
    </row>
    <row r="115" spans="1:10" ht="15.95" customHeight="1" x14ac:dyDescent="0.3">
      <c r="A115" s="60">
        <f t="shared" si="6"/>
        <v>222</v>
      </c>
      <c r="B115" s="9" t="s">
        <v>15</v>
      </c>
      <c r="C115" s="9"/>
      <c r="D115" s="163"/>
      <c r="E115" s="15" t="s">
        <v>59</v>
      </c>
      <c r="F115" s="15">
        <v>3</v>
      </c>
      <c r="G115" s="15">
        <f t="shared" si="7"/>
        <v>2</v>
      </c>
      <c r="H115" s="60">
        <v>1</v>
      </c>
      <c r="I115" s="85"/>
    </row>
    <row r="116" spans="1:10" ht="15.95" customHeight="1" x14ac:dyDescent="0.3">
      <c r="A116" s="60">
        <f t="shared" si="6"/>
        <v>224</v>
      </c>
      <c r="B116" s="55" t="s">
        <v>656</v>
      </c>
      <c r="C116" s="55" t="s">
        <v>660</v>
      </c>
      <c r="D116" s="174" t="s">
        <v>672</v>
      </c>
      <c r="E116" s="48" t="s">
        <v>59</v>
      </c>
      <c r="F116" s="15">
        <v>3</v>
      </c>
      <c r="G116" s="48">
        <f t="shared" si="7"/>
        <v>2</v>
      </c>
      <c r="H116" s="48">
        <v>1</v>
      </c>
      <c r="I116" s="90"/>
    </row>
    <row r="117" spans="1:10" ht="15.95" customHeight="1" x14ac:dyDescent="0.3">
      <c r="A117" s="60">
        <f t="shared" si="6"/>
        <v>226</v>
      </c>
      <c r="B117" s="55" t="s">
        <v>657</v>
      </c>
      <c r="C117" s="55" t="s">
        <v>661</v>
      </c>
      <c r="D117" s="174"/>
      <c r="E117" s="48" t="s">
        <v>59</v>
      </c>
      <c r="F117" s="15">
        <v>3</v>
      </c>
      <c r="G117" s="48">
        <f t="shared" si="7"/>
        <v>2</v>
      </c>
      <c r="H117" s="48">
        <v>1</v>
      </c>
      <c r="I117" s="90"/>
    </row>
    <row r="118" spans="1:10" ht="15.95" customHeight="1" x14ac:dyDescent="0.3">
      <c r="A118" s="60">
        <f t="shared" si="6"/>
        <v>228</v>
      </c>
      <c r="B118" s="55" t="s">
        <v>658</v>
      </c>
      <c r="C118" s="55" t="s">
        <v>662</v>
      </c>
      <c r="D118" s="174"/>
      <c r="E118" s="48" t="s">
        <v>59</v>
      </c>
      <c r="F118" s="15">
        <v>3</v>
      </c>
      <c r="G118" s="48">
        <f t="shared" si="7"/>
        <v>2</v>
      </c>
      <c r="H118" s="48">
        <v>1</v>
      </c>
      <c r="I118" s="90"/>
    </row>
    <row r="119" spans="1:10" ht="15.95" customHeight="1" x14ac:dyDescent="0.3">
      <c r="A119" s="60">
        <f t="shared" si="6"/>
        <v>230</v>
      </c>
      <c r="B119" s="55" t="s">
        <v>659</v>
      </c>
      <c r="C119" s="55" t="s">
        <v>663</v>
      </c>
      <c r="D119" s="174"/>
      <c r="E119" s="48" t="s">
        <v>59</v>
      </c>
      <c r="F119" s="15">
        <v>3</v>
      </c>
      <c r="G119" s="48">
        <f t="shared" ref="G119:G123" si="8">IF(OR(E119="U16", E119="S16"),1,IF(E119="TS",6,2))</f>
        <v>2</v>
      </c>
      <c r="H119" s="48">
        <v>1</v>
      </c>
      <c r="I119" s="90"/>
    </row>
    <row r="120" spans="1:10" ht="15.95" customHeight="1" x14ac:dyDescent="0.3">
      <c r="A120" s="60">
        <f t="shared" si="6"/>
        <v>232</v>
      </c>
      <c r="B120" s="55" t="s">
        <v>664</v>
      </c>
      <c r="C120" s="55" t="s">
        <v>668</v>
      </c>
      <c r="D120" s="174" t="s">
        <v>673</v>
      </c>
      <c r="E120" s="48" t="s">
        <v>59</v>
      </c>
      <c r="F120" s="15">
        <v>3</v>
      </c>
      <c r="G120" s="48">
        <f t="shared" si="8"/>
        <v>2</v>
      </c>
      <c r="H120" s="48">
        <v>1</v>
      </c>
      <c r="I120" s="90"/>
    </row>
    <row r="121" spans="1:10" ht="15.95" customHeight="1" x14ac:dyDescent="0.3">
      <c r="A121" s="60">
        <f t="shared" si="6"/>
        <v>234</v>
      </c>
      <c r="B121" s="55" t="s">
        <v>665</v>
      </c>
      <c r="C121" s="55" t="s">
        <v>669</v>
      </c>
      <c r="D121" s="174"/>
      <c r="E121" s="48" t="s">
        <v>59</v>
      </c>
      <c r="F121" s="15">
        <v>3</v>
      </c>
      <c r="G121" s="48">
        <f t="shared" si="8"/>
        <v>2</v>
      </c>
      <c r="H121" s="48">
        <v>1</v>
      </c>
      <c r="I121" s="90"/>
    </row>
    <row r="122" spans="1:10" ht="15.95" customHeight="1" x14ac:dyDescent="0.3">
      <c r="A122" s="60">
        <f t="shared" si="6"/>
        <v>236</v>
      </c>
      <c r="B122" s="55" t="s">
        <v>666</v>
      </c>
      <c r="C122" s="55" t="s">
        <v>670</v>
      </c>
      <c r="D122" s="174"/>
      <c r="E122" s="48" t="s">
        <v>59</v>
      </c>
      <c r="F122" s="15">
        <v>3</v>
      </c>
      <c r="G122" s="48">
        <f t="shared" si="8"/>
        <v>2</v>
      </c>
      <c r="H122" s="48">
        <v>1</v>
      </c>
      <c r="I122" s="90"/>
    </row>
    <row r="123" spans="1:10" ht="15.95" customHeight="1" x14ac:dyDescent="0.3">
      <c r="A123" s="60">
        <f t="shared" si="6"/>
        <v>238</v>
      </c>
      <c r="B123" s="55" t="s">
        <v>667</v>
      </c>
      <c r="C123" s="55" t="s">
        <v>671</v>
      </c>
      <c r="D123" s="174"/>
      <c r="E123" s="48" t="s">
        <v>59</v>
      </c>
      <c r="F123" s="15">
        <v>3</v>
      </c>
      <c r="G123" s="48">
        <f t="shared" si="8"/>
        <v>2</v>
      </c>
      <c r="H123" s="48">
        <v>1</v>
      </c>
      <c r="I123" s="90"/>
    </row>
    <row r="124" spans="1:10" ht="15.95" customHeight="1" x14ac:dyDescent="0.3">
      <c r="A124" s="162" t="s">
        <v>57</v>
      </c>
      <c r="B124" s="162"/>
      <c r="C124" s="162"/>
      <c r="D124" s="162"/>
      <c r="E124" s="162"/>
      <c r="F124" s="162"/>
      <c r="G124" s="162"/>
      <c r="H124" s="162"/>
      <c r="I124" s="88"/>
    </row>
    <row r="125" spans="1:10" s="46" customFormat="1" ht="15.95" customHeight="1" x14ac:dyDescent="0.3">
      <c r="A125" s="60">
        <f>A123+(G123*H123)</f>
        <v>240</v>
      </c>
      <c r="B125" s="56" t="s">
        <v>1120</v>
      </c>
      <c r="C125" s="56" t="s">
        <v>1138</v>
      </c>
      <c r="D125" s="67"/>
      <c r="E125" s="67" t="s">
        <v>539</v>
      </c>
      <c r="F125" s="143" t="s">
        <v>1045</v>
      </c>
      <c r="G125" s="67">
        <f>IF(OR(E125="U16",E125="S16"),1,IF(E125="TS",6,IF(E125="U64",4,2)))</f>
        <v>2</v>
      </c>
      <c r="H125" s="67">
        <v>1</v>
      </c>
      <c r="I125" s="86"/>
      <c r="J125" s="57"/>
    </row>
    <row r="126" spans="1:10" ht="15.95" customHeight="1" x14ac:dyDescent="0.3">
      <c r="A126" s="60">
        <f t="shared" ref="A126:A202" si="9">A125+(G125*H125)</f>
        <v>242</v>
      </c>
      <c r="B126" s="9" t="s">
        <v>1121</v>
      </c>
      <c r="C126" s="9"/>
      <c r="D126" s="60"/>
      <c r="E126" s="15" t="s">
        <v>539</v>
      </c>
      <c r="F126" s="143" t="s">
        <v>1045</v>
      </c>
      <c r="G126" s="15">
        <f t="shared" ref="G126:G202" si="10">IF(OR(E126="U16",E126="S16"),1,IF(E126="TS",6,IF(E126="U64",4,2)))</f>
        <v>2</v>
      </c>
      <c r="H126" s="60">
        <v>1</v>
      </c>
      <c r="I126" s="85"/>
    </row>
    <row r="127" spans="1:10" ht="15.95" customHeight="1" x14ac:dyDescent="0.3">
      <c r="A127" s="104">
        <f t="shared" si="9"/>
        <v>244</v>
      </c>
      <c r="B127" s="9" t="s">
        <v>1122</v>
      </c>
      <c r="C127" s="9"/>
      <c r="D127" s="60"/>
      <c r="E127" s="15" t="s">
        <v>539</v>
      </c>
      <c r="F127" s="143" t="s">
        <v>1044</v>
      </c>
      <c r="G127" s="15">
        <f t="shared" si="10"/>
        <v>2</v>
      </c>
      <c r="H127" s="60">
        <v>1</v>
      </c>
      <c r="I127" s="85"/>
    </row>
    <row r="128" spans="1:10" ht="15.95" customHeight="1" x14ac:dyDescent="0.3">
      <c r="A128" s="104">
        <f t="shared" si="9"/>
        <v>246</v>
      </c>
      <c r="B128" s="9" t="s">
        <v>1123</v>
      </c>
      <c r="C128" s="9"/>
      <c r="D128" s="60"/>
      <c r="E128" s="15" t="s">
        <v>539</v>
      </c>
      <c r="F128" s="143" t="s">
        <v>1044</v>
      </c>
      <c r="G128" s="15">
        <f t="shared" si="10"/>
        <v>2</v>
      </c>
      <c r="H128" s="60">
        <v>1</v>
      </c>
      <c r="I128" s="85"/>
    </row>
    <row r="129" spans="1:10" ht="15.95" customHeight="1" x14ac:dyDescent="0.3">
      <c r="A129" s="104">
        <f t="shared" si="9"/>
        <v>248</v>
      </c>
      <c r="B129" s="9" t="s">
        <v>1124</v>
      </c>
      <c r="C129" s="9"/>
      <c r="D129" s="60"/>
      <c r="E129" s="15" t="s">
        <v>539</v>
      </c>
      <c r="F129" s="143" t="s">
        <v>1044</v>
      </c>
      <c r="G129" s="15">
        <f t="shared" si="10"/>
        <v>2</v>
      </c>
      <c r="H129" s="60">
        <v>1</v>
      </c>
      <c r="I129" s="85"/>
    </row>
    <row r="130" spans="1:10" ht="15.95" customHeight="1" x14ac:dyDescent="0.3">
      <c r="A130" s="104">
        <f t="shared" si="9"/>
        <v>250</v>
      </c>
      <c r="B130" s="9"/>
      <c r="C130" s="9"/>
      <c r="D130" s="60"/>
      <c r="E130" s="15" t="s">
        <v>539</v>
      </c>
      <c r="F130" s="143" t="s">
        <v>1044</v>
      </c>
      <c r="G130" s="15">
        <f t="shared" si="10"/>
        <v>2</v>
      </c>
      <c r="H130" s="60">
        <v>1</v>
      </c>
      <c r="I130" s="85"/>
    </row>
    <row r="131" spans="1:10" s="46" customFormat="1" ht="15.95" customHeight="1" x14ac:dyDescent="0.3">
      <c r="A131" s="104">
        <f t="shared" si="9"/>
        <v>252</v>
      </c>
      <c r="B131" s="56" t="s">
        <v>1125</v>
      </c>
      <c r="C131" s="56" t="s">
        <v>1135</v>
      </c>
      <c r="D131" s="105"/>
      <c r="E131" s="105" t="s">
        <v>145</v>
      </c>
      <c r="F131" s="143" t="s">
        <v>1044</v>
      </c>
      <c r="G131" s="105">
        <f>IF(OR(E131="U16",E131="S16"),1,IF(E131="TS",6,IF(E131="U64",4,2)))</f>
        <v>2</v>
      </c>
      <c r="H131" s="105">
        <v>1</v>
      </c>
      <c r="I131" s="86"/>
      <c r="J131" s="57"/>
    </row>
    <row r="132" spans="1:10" ht="15.95" customHeight="1" x14ac:dyDescent="0.3">
      <c r="A132" s="104">
        <f t="shared" si="9"/>
        <v>254</v>
      </c>
      <c r="B132" s="9" t="s">
        <v>1126</v>
      </c>
      <c r="C132" s="9"/>
      <c r="D132" s="104"/>
      <c r="E132" s="15" t="s">
        <v>145</v>
      </c>
      <c r="F132" s="143" t="s">
        <v>1044</v>
      </c>
      <c r="G132" s="15">
        <f t="shared" ref="G132:G136" si="11">IF(OR(E132="U16",E132="S16"),1,IF(E132="TS",6,IF(E132="U64",4,2)))</f>
        <v>2</v>
      </c>
      <c r="H132" s="104">
        <v>1</v>
      </c>
      <c r="I132" s="85"/>
      <c r="J132" s="106"/>
    </row>
    <row r="133" spans="1:10" ht="15.95" customHeight="1" x14ac:dyDescent="0.3">
      <c r="A133" s="104">
        <f t="shared" si="9"/>
        <v>256</v>
      </c>
      <c r="B133" s="9" t="s">
        <v>1127</v>
      </c>
      <c r="C133" s="9"/>
      <c r="D133" s="104"/>
      <c r="E133" s="15" t="s">
        <v>145</v>
      </c>
      <c r="F133" s="143" t="s">
        <v>1044</v>
      </c>
      <c r="G133" s="15">
        <f t="shared" si="11"/>
        <v>2</v>
      </c>
      <c r="H133" s="104">
        <v>1</v>
      </c>
      <c r="I133" s="85"/>
      <c r="J133" s="106"/>
    </row>
    <row r="134" spans="1:10" ht="15.95" customHeight="1" x14ac:dyDescent="0.3">
      <c r="A134" s="104">
        <f t="shared" si="9"/>
        <v>258</v>
      </c>
      <c r="B134" s="9" t="s">
        <v>1128</v>
      </c>
      <c r="C134" s="9"/>
      <c r="D134" s="104"/>
      <c r="E134" s="15" t="s">
        <v>145</v>
      </c>
      <c r="F134" s="143" t="s">
        <v>1044</v>
      </c>
      <c r="G134" s="15">
        <f t="shared" si="11"/>
        <v>2</v>
      </c>
      <c r="H134" s="104">
        <v>1</v>
      </c>
      <c r="I134" s="85"/>
      <c r="J134" s="106"/>
    </row>
    <row r="135" spans="1:10" ht="15.95" customHeight="1" x14ac:dyDescent="0.3">
      <c r="A135" s="104">
        <f t="shared" si="9"/>
        <v>260</v>
      </c>
      <c r="B135" s="9" t="s">
        <v>1129</v>
      </c>
      <c r="C135" s="9"/>
      <c r="D135" s="104"/>
      <c r="E135" s="15" t="s">
        <v>145</v>
      </c>
      <c r="F135" s="143" t="s">
        <v>1044</v>
      </c>
      <c r="G135" s="15">
        <f t="shared" si="11"/>
        <v>2</v>
      </c>
      <c r="H135" s="104">
        <v>1</v>
      </c>
      <c r="I135" s="85"/>
      <c r="J135" s="106"/>
    </row>
    <row r="136" spans="1:10" ht="15.95" customHeight="1" x14ac:dyDescent="0.3">
      <c r="A136" s="104">
        <f t="shared" si="9"/>
        <v>262</v>
      </c>
      <c r="B136" s="9"/>
      <c r="C136" s="9"/>
      <c r="D136" s="104"/>
      <c r="E136" s="15" t="s">
        <v>145</v>
      </c>
      <c r="F136" s="143" t="s">
        <v>1044</v>
      </c>
      <c r="G136" s="15">
        <f t="shared" si="11"/>
        <v>2</v>
      </c>
      <c r="H136" s="104">
        <v>1</v>
      </c>
      <c r="I136" s="85"/>
      <c r="J136" s="106"/>
    </row>
    <row r="137" spans="1:10" ht="15.95" customHeight="1" x14ac:dyDescent="0.3">
      <c r="A137" s="104">
        <f t="shared" si="9"/>
        <v>264</v>
      </c>
      <c r="B137" s="56" t="s">
        <v>1139</v>
      </c>
      <c r="C137" s="56" t="s">
        <v>1136</v>
      </c>
      <c r="D137" s="105"/>
      <c r="E137" s="105" t="s">
        <v>145</v>
      </c>
      <c r="F137" s="143" t="s">
        <v>1044</v>
      </c>
      <c r="G137" s="105">
        <f>IF(OR(E137="U16",E137="S16"),1,IF(E137="TS",6,IF(E137="U64",4,2)))</f>
        <v>2</v>
      </c>
      <c r="H137" s="105">
        <v>1</v>
      </c>
      <c r="I137" s="85"/>
      <c r="J137" s="106"/>
    </row>
    <row r="138" spans="1:10" ht="15.95" customHeight="1" x14ac:dyDescent="0.3">
      <c r="A138" s="104">
        <f t="shared" si="9"/>
        <v>266</v>
      </c>
      <c r="B138" s="9" t="s">
        <v>1140</v>
      </c>
      <c r="C138" s="9"/>
      <c r="D138" s="104"/>
      <c r="E138" s="15" t="s">
        <v>145</v>
      </c>
      <c r="F138" s="143" t="s">
        <v>1044</v>
      </c>
      <c r="G138" s="15">
        <f t="shared" ref="G138:G142" si="12">IF(OR(E138="U16",E138="S16"),1,IF(E138="TS",6,IF(E138="U64",4,2)))</f>
        <v>2</v>
      </c>
      <c r="H138" s="104">
        <v>1</v>
      </c>
      <c r="I138" s="85"/>
      <c r="J138" s="106"/>
    </row>
    <row r="139" spans="1:10" ht="15.95" customHeight="1" x14ac:dyDescent="0.3">
      <c r="A139" s="104">
        <f t="shared" si="9"/>
        <v>268</v>
      </c>
      <c r="B139" s="9" t="s">
        <v>1141</v>
      </c>
      <c r="C139" s="9"/>
      <c r="D139" s="104"/>
      <c r="E139" s="15" t="s">
        <v>145</v>
      </c>
      <c r="F139" s="143" t="s">
        <v>1044</v>
      </c>
      <c r="G139" s="15">
        <f t="shared" si="12"/>
        <v>2</v>
      </c>
      <c r="H139" s="104">
        <v>1</v>
      </c>
      <c r="I139" s="85"/>
      <c r="J139" s="106"/>
    </row>
    <row r="140" spans="1:10" ht="15.95" customHeight="1" x14ac:dyDescent="0.3">
      <c r="A140" s="104">
        <f t="shared" si="9"/>
        <v>270</v>
      </c>
      <c r="B140" s="9" t="s">
        <v>1142</v>
      </c>
      <c r="C140" s="9"/>
      <c r="D140" s="104"/>
      <c r="E140" s="15" t="s">
        <v>145</v>
      </c>
      <c r="F140" s="143" t="s">
        <v>1044</v>
      </c>
      <c r="G140" s="15">
        <f t="shared" si="12"/>
        <v>2</v>
      </c>
      <c r="H140" s="104">
        <v>1</v>
      </c>
      <c r="I140" s="85"/>
      <c r="J140" s="106"/>
    </row>
    <row r="141" spans="1:10" ht="15.95" customHeight="1" x14ac:dyDescent="0.3">
      <c r="A141" s="104">
        <f t="shared" si="9"/>
        <v>272</v>
      </c>
      <c r="B141" s="9" t="s">
        <v>1143</v>
      </c>
      <c r="C141" s="9"/>
      <c r="D141" s="104"/>
      <c r="E141" s="15" t="s">
        <v>145</v>
      </c>
      <c r="F141" s="143" t="s">
        <v>1044</v>
      </c>
      <c r="G141" s="15">
        <f t="shared" si="12"/>
        <v>2</v>
      </c>
      <c r="H141" s="104">
        <v>1</v>
      </c>
      <c r="I141" s="85"/>
      <c r="J141" s="106"/>
    </row>
    <row r="142" spans="1:10" ht="15.95" customHeight="1" x14ac:dyDescent="0.3">
      <c r="A142" s="104">
        <f t="shared" si="9"/>
        <v>274</v>
      </c>
      <c r="B142" s="9"/>
      <c r="C142" s="9"/>
      <c r="D142" s="104"/>
      <c r="E142" s="15" t="s">
        <v>145</v>
      </c>
      <c r="F142" s="143" t="s">
        <v>1044</v>
      </c>
      <c r="G142" s="15">
        <f t="shared" si="12"/>
        <v>2</v>
      </c>
      <c r="H142" s="104">
        <v>1</v>
      </c>
      <c r="I142" s="85"/>
      <c r="J142" s="106"/>
    </row>
    <row r="143" spans="1:10" s="46" customFormat="1" ht="15.95" customHeight="1" x14ac:dyDescent="0.3">
      <c r="A143" s="104">
        <f t="shared" si="9"/>
        <v>276</v>
      </c>
      <c r="B143" s="56" t="s">
        <v>1144</v>
      </c>
      <c r="C143" s="56" t="s">
        <v>1137</v>
      </c>
      <c r="D143" s="105"/>
      <c r="E143" s="105" t="s">
        <v>145</v>
      </c>
      <c r="F143" s="143" t="s">
        <v>1044</v>
      </c>
      <c r="G143" s="105">
        <f>IF(OR(E143="U16",E143="S16"),1,IF(E143="TS",6,IF(E143="U64",4,2)))</f>
        <v>2</v>
      </c>
      <c r="H143" s="105">
        <v>1</v>
      </c>
      <c r="I143" s="86"/>
      <c r="J143" s="57"/>
    </row>
    <row r="144" spans="1:10" ht="15.95" customHeight="1" x14ac:dyDescent="0.3">
      <c r="A144" s="104">
        <f t="shared" si="9"/>
        <v>278</v>
      </c>
      <c r="B144" s="9" t="s">
        <v>1145</v>
      </c>
      <c r="C144" s="9"/>
      <c r="D144" s="104"/>
      <c r="E144" s="15" t="s">
        <v>145</v>
      </c>
      <c r="F144" s="143" t="s">
        <v>1044</v>
      </c>
      <c r="G144" s="15">
        <f t="shared" ref="G144:G148" si="13">IF(OR(E144="U16",E144="S16"),1,IF(E144="TS",6,IF(E144="U64",4,2)))</f>
        <v>2</v>
      </c>
      <c r="H144" s="104">
        <v>1</v>
      </c>
      <c r="I144" s="85"/>
      <c r="J144" s="106"/>
    </row>
    <row r="145" spans="1:10" ht="15.95" customHeight="1" x14ac:dyDescent="0.3">
      <c r="A145" s="104">
        <f t="shared" si="9"/>
        <v>280</v>
      </c>
      <c r="B145" s="9" t="s">
        <v>1146</v>
      </c>
      <c r="C145" s="9"/>
      <c r="D145" s="104"/>
      <c r="E145" s="15" t="s">
        <v>145</v>
      </c>
      <c r="F145" s="143" t="s">
        <v>1044</v>
      </c>
      <c r="G145" s="15">
        <f t="shared" si="13"/>
        <v>2</v>
      </c>
      <c r="H145" s="104">
        <v>1</v>
      </c>
      <c r="I145" s="85"/>
      <c r="J145" s="106"/>
    </row>
    <row r="146" spans="1:10" ht="15.95" customHeight="1" x14ac:dyDescent="0.3">
      <c r="A146" s="104">
        <f t="shared" si="9"/>
        <v>282</v>
      </c>
      <c r="B146" s="9" t="s">
        <v>1147</v>
      </c>
      <c r="C146" s="9"/>
      <c r="D146" s="104"/>
      <c r="E146" s="15" t="s">
        <v>145</v>
      </c>
      <c r="F146" s="143" t="s">
        <v>1044</v>
      </c>
      <c r="G146" s="15">
        <f t="shared" si="13"/>
        <v>2</v>
      </c>
      <c r="H146" s="104">
        <v>1</v>
      </c>
      <c r="I146" s="85"/>
      <c r="J146" s="106"/>
    </row>
    <row r="147" spans="1:10" ht="15.95" customHeight="1" x14ac:dyDescent="0.3">
      <c r="A147" s="104">
        <f t="shared" si="9"/>
        <v>284</v>
      </c>
      <c r="B147" s="9" t="s">
        <v>1148</v>
      </c>
      <c r="C147" s="9"/>
      <c r="D147" s="104"/>
      <c r="E147" s="15" t="s">
        <v>145</v>
      </c>
      <c r="F147" s="143" t="s">
        <v>1044</v>
      </c>
      <c r="G147" s="15">
        <f t="shared" si="13"/>
        <v>2</v>
      </c>
      <c r="H147" s="104">
        <v>1</v>
      </c>
      <c r="I147" s="85"/>
      <c r="J147" s="106"/>
    </row>
    <row r="148" spans="1:10" ht="15.95" customHeight="1" x14ac:dyDescent="0.3">
      <c r="A148" s="104">
        <f t="shared" si="9"/>
        <v>286</v>
      </c>
      <c r="B148" s="9"/>
      <c r="C148" s="9"/>
      <c r="D148" s="104"/>
      <c r="E148" s="15" t="s">
        <v>145</v>
      </c>
      <c r="F148" s="143" t="s">
        <v>1044</v>
      </c>
      <c r="G148" s="15">
        <f t="shared" si="13"/>
        <v>2</v>
      </c>
      <c r="H148" s="104">
        <v>1</v>
      </c>
      <c r="I148" s="85"/>
      <c r="J148" s="106"/>
    </row>
    <row r="149" spans="1:10" ht="15.95" customHeight="1" x14ac:dyDescent="0.3">
      <c r="A149" s="104">
        <f t="shared" si="9"/>
        <v>288</v>
      </c>
      <c r="B149" s="9" t="s">
        <v>1130</v>
      </c>
      <c r="C149" s="9" t="s">
        <v>1164</v>
      </c>
      <c r="D149" s="60"/>
      <c r="E149" s="15" t="s">
        <v>539</v>
      </c>
      <c r="F149" s="143" t="s">
        <v>1044</v>
      </c>
      <c r="G149" s="15">
        <f t="shared" si="10"/>
        <v>2</v>
      </c>
      <c r="H149" s="60">
        <v>1</v>
      </c>
      <c r="I149" s="85"/>
    </row>
    <row r="150" spans="1:10" ht="15.95" customHeight="1" x14ac:dyDescent="0.3">
      <c r="A150" s="104">
        <f t="shared" si="9"/>
        <v>290</v>
      </c>
      <c r="B150" s="9" t="s">
        <v>1131</v>
      </c>
      <c r="C150" s="9"/>
      <c r="D150" s="60"/>
      <c r="E150" s="15" t="s">
        <v>539</v>
      </c>
      <c r="F150" s="143" t="s">
        <v>1044</v>
      </c>
      <c r="G150" s="15">
        <f t="shared" si="10"/>
        <v>2</v>
      </c>
      <c r="H150" s="60">
        <v>1</v>
      </c>
      <c r="I150" s="85"/>
    </row>
    <row r="151" spans="1:10" ht="15.95" customHeight="1" x14ac:dyDescent="0.3">
      <c r="A151" s="104">
        <f t="shared" si="9"/>
        <v>292</v>
      </c>
      <c r="B151" s="9" t="s">
        <v>1132</v>
      </c>
      <c r="C151" s="9"/>
      <c r="D151" s="60"/>
      <c r="E151" s="15" t="s">
        <v>539</v>
      </c>
      <c r="F151" s="143" t="s">
        <v>1044</v>
      </c>
      <c r="G151" s="15">
        <f t="shared" si="10"/>
        <v>2</v>
      </c>
      <c r="H151" s="60">
        <v>1</v>
      </c>
      <c r="I151" s="85"/>
    </row>
    <row r="152" spans="1:10" ht="15.95" customHeight="1" x14ac:dyDescent="0.3">
      <c r="A152" s="104">
        <f t="shared" si="9"/>
        <v>294</v>
      </c>
      <c r="B152" s="9" t="s">
        <v>1133</v>
      </c>
      <c r="C152" s="9"/>
      <c r="D152" s="60"/>
      <c r="E152" s="15" t="s">
        <v>539</v>
      </c>
      <c r="F152" s="143" t="s">
        <v>1044</v>
      </c>
      <c r="G152" s="15">
        <f t="shared" si="10"/>
        <v>2</v>
      </c>
      <c r="H152" s="60">
        <v>1</v>
      </c>
      <c r="I152" s="85"/>
    </row>
    <row r="153" spans="1:10" ht="15.95" customHeight="1" x14ac:dyDescent="0.3">
      <c r="A153" s="104">
        <f t="shared" si="9"/>
        <v>296</v>
      </c>
      <c r="B153" s="9" t="s">
        <v>1134</v>
      </c>
      <c r="C153" s="9"/>
      <c r="D153" s="60"/>
      <c r="E153" s="15" t="s">
        <v>539</v>
      </c>
      <c r="F153" s="143" t="s">
        <v>1044</v>
      </c>
      <c r="G153" s="15">
        <f t="shared" si="10"/>
        <v>2</v>
      </c>
      <c r="H153" s="60">
        <v>1</v>
      </c>
      <c r="I153" s="85"/>
    </row>
    <row r="154" spans="1:10" ht="15.95" customHeight="1" x14ac:dyDescent="0.3">
      <c r="A154" s="104">
        <f t="shared" si="9"/>
        <v>298</v>
      </c>
      <c r="B154" s="9"/>
      <c r="C154" s="9"/>
      <c r="D154" s="60"/>
      <c r="E154" s="15" t="s">
        <v>539</v>
      </c>
      <c r="F154" s="143" t="s">
        <v>1044</v>
      </c>
      <c r="G154" s="15">
        <f t="shared" si="10"/>
        <v>2</v>
      </c>
      <c r="H154" s="60">
        <v>1</v>
      </c>
      <c r="J154" s="8"/>
    </row>
    <row r="155" spans="1:10" ht="15.95" customHeight="1" x14ac:dyDescent="0.3">
      <c r="A155" s="104">
        <f t="shared" si="9"/>
        <v>300</v>
      </c>
      <c r="B155" s="9" t="s">
        <v>1149</v>
      </c>
      <c r="C155" s="9" t="s">
        <v>1165</v>
      </c>
      <c r="D155" s="104"/>
      <c r="E155" s="15" t="s">
        <v>145</v>
      </c>
      <c r="F155" s="143" t="s">
        <v>1044</v>
      </c>
      <c r="G155" s="15">
        <f t="shared" ref="G155:G160" si="14">IF(OR(E155="U16",E155="S16"),1,IF(E155="TS",6,IF(E155="U64",4,2)))</f>
        <v>2</v>
      </c>
      <c r="H155" s="104">
        <v>1</v>
      </c>
      <c r="I155" s="85"/>
      <c r="J155" s="106"/>
    </row>
    <row r="156" spans="1:10" ht="15.95" customHeight="1" x14ac:dyDescent="0.3">
      <c r="A156" s="104">
        <f t="shared" si="9"/>
        <v>302</v>
      </c>
      <c r="B156" s="9" t="s">
        <v>1150</v>
      </c>
      <c r="C156" s="9"/>
      <c r="D156" s="104"/>
      <c r="E156" s="15" t="s">
        <v>145</v>
      </c>
      <c r="F156" s="143" t="s">
        <v>1044</v>
      </c>
      <c r="G156" s="15">
        <f t="shared" si="14"/>
        <v>2</v>
      </c>
      <c r="H156" s="104">
        <v>1</v>
      </c>
      <c r="I156" s="85"/>
      <c r="J156" s="106"/>
    </row>
    <row r="157" spans="1:10" ht="15.95" customHeight="1" x14ac:dyDescent="0.3">
      <c r="A157" s="104">
        <f t="shared" si="9"/>
        <v>304</v>
      </c>
      <c r="B157" s="9" t="s">
        <v>1151</v>
      </c>
      <c r="C157" s="9"/>
      <c r="D157" s="104"/>
      <c r="E157" s="15" t="s">
        <v>145</v>
      </c>
      <c r="F157" s="143" t="s">
        <v>1044</v>
      </c>
      <c r="G157" s="15">
        <f t="shared" si="14"/>
        <v>2</v>
      </c>
      <c r="H157" s="104">
        <v>1</v>
      </c>
      <c r="I157" s="85"/>
      <c r="J157" s="106"/>
    </row>
    <row r="158" spans="1:10" ht="15.95" customHeight="1" x14ac:dyDescent="0.3">
      <c r="A158" s="104">
        <f t="shared" si="9"/>
        <v>306</v>
      </c>
      <c r="B158" s="9" t="s">
        <v>1152</v>
      </c>
      <c r="C158" s="9"/>
      <c r="D158" s="104"/>
      <c r="E158" s="15" t="s">
        <v>145</v>
      </c>
      <c r="F158" s="143" t="s">
        <v>1044</v>
      </c>
      <c r="G158" s="15">
        <f t="shared" si="14"/>
        <v>2</v>
      </c>
      <c r="H158" s="104">
        <v>1</v>
      </c>
      <c r="I158" s="85"/>
      <c r="J158" s="106"/>
    </row>
    <row r="159" spans="1:10" ht="15.95" customHeight="1" x14ac:dyDescent="0.3">
      <c r="A159" s="104">
        <f t="shared" si="9"/>
        <v>308</v>
      </c>
      <c r="B159" s="9" t="s">
        <v>1153</v>
      </c>
      <c r="C159" s="9"/>
      <c r="D159" s="104"/>
      <c r="E159" s="15" t="s">
        <v>145</v>
      </c>
      <c r="F159" s="143" t="s">
        <v>1044</v>
      </c>
      <c r="G159" s="15">
        <f t="shared" si="14"/>
        <v>2</v>
      </c>
      <c r="H159" s="104">
        <v>1</v>
      </c>
      <c r="I159" s="85"/>
      <c r="J159" s="106"/>
    </row>
    <row r="160" spans="1:10" ht="15.95" customHeight="1" x14ac:dyDescent="0.3">
      <c r="A160" s="104">
        <f t="shared" si="9"/>
        <v>310</v>
      </c>
      <c r="B160" s="9"/>
      <c r="C160" s="9"/>
      <c r="D160" s="104"/>
      <c r="E160" s="15" t="s">
        <v>145</v>
      </c>
      <c r="F160" s="143" t="s">
        <v>1044</v>
      </c>
      <c r="G160" s="15">
        <f t="shared" si="14"/>
        <v>2</v>
      </c>
      <c r="H160" s="104">
        <v>1</v>
      </c>
      <c r="J160" s="8"/>
    </row>
    <row r="161" spans="1:10" ht="15.95" customHeight="1" x14ac:dyDescent="0.3">
      <c r="A161" s="104">
        <f t="shared" si="9"/>
        <v>312</v>
      </c>
      <c r="B161" s="9" t="s">
        <v>1154</v>
      </c>
      <c r="C161" s="9" t="s">
        <v>1166</v>
      </c>
      <c r="D161" s="104"/>
      <c r="E161" s="15" t="s">
        <v>145</v>
      </c>
      <c r="F161" s="143" t="s">
        <v>1044</v>
      </c>
      <c r="G161" s="15">
        <f t="shared" ref="G161:G166" si="15">IF(OR(E161="U16",E161="S16"),1,IF(E161="TS",6,IF(E161="U64",4,2)))</f>
        <v>2</v>
      </c>
      <c r="H161" s="104">
        <v>1</v>
      </c>
      <c r="I161" s="85"/>
      <c r="J161" s="106"/>
    </row>
    <row r="162" spans="1:10" ht="15.95" customHeight="1" x14ac:dyDescent="0.3">
      <c r="A162" s="104">
        <f t="shared" si="9"/>
        <v>314</v>
      </c>
      <c r="B162" s="9" t="s">
        <v>1155</v>
      </c>
      <c r="C162" s="9"/>
      <c r="D162" s="104"/>
      <c r="E162" s="15" t="s">
        <v>145</v>
      </c>
      <c r="F162" s="143" t="s">
        <v>1044</v>
      </c>
      <c r="G162" s="15">
        <f t="shared" si="15"/>
        <v>2</v>
      </c>
      <c r="H162" s="104">
        <v>1</v>
      </c>
      <c r="I162" s="85"/>
      <c r="J162" s="106"/>
    </row>
    <row r="163" spans="1:10" ht="15.95" customHeight="1" x14ac:dyDescent="0.3">
      <c r="A163" s="104">
        <f t="shared" si="9"/>
        <v>316</v>
      </c>
      <c r="B163" s="9" t="s">
        <v>1156</v>
      </c>
      <c r="C163" s="9"/>
      <c r="D163" s="104"/>
      <c r="E163" s="15" t="s">
        <v>145</v>
      </c>
      <c r="F163" s="143" t="s">
        <v>1044</v>
      </c>
      <c r="G163" s="15">
        <f t="shared" si="15"/>
        <v>2</v>
      </c>
      <c r="H163" s="104">
        <v>1</v>
      </c>
      <c r="I163" s="85"/>
      <c r="J163" s="106"/>
    </row>
    <row r="164" spans="1:10" ht="15.95" customHeight="1" x14ac:dyDescent="0.3">
      <c r="A164" s="104">
        <f t="shared" si="9"/>
        <v>318</v>
      </c>
      <c r="B164" s="9" t="s">
        <v>1157</v>
      </c>
      <c r="C164" s="9"/>
      <c r="D164" s="104"/>
      <c r="E164" s="15" t="s">
        <v>145</v>
      </c>
      <c r="F164" s="143" t="s">
        <v>1044</v>
      </c>
      <c r="G164" s="15">
        <f t="shared" si="15"/>
        <v>2</v>
      </c>
      <c r="H164" s="104">
        <v>1</v>
      </c>
      <c r="I164" s="85"/>
      <c r="J164" s="106"/>
    </row>
    <row r="165" spans="1:10" ht="15.95" customHeight="1" x14ac:dyDescent="0.3">
      <c r="A165" s="104">
        <f t="shared" si="9"/>
        <v>320</v>
      </c>
      <c r="B165" s="9" t="s">
        <v>1158</v>
      </c>
      <c r="C165" s="9"/>
      <c r="D165" s="104"/>
      <c r="E165" s="15" t="s">
        <v>145</v>
      </c>
      <c r="F165" s="143" t="s">
        <v>1044</v>
      </c>
      <c r="G165" s="15">
        <f t="shared" si="15"/>
        <v>2</v>
      </c>
      <c r="H165" s="104">
        <v>1</v>
      </c>
      <c r="I165" s="85"/>
      <c r="J165" s="106"/>
    </row>
    <row r="166" spans="1:10" ht="15.95" customHeight="1" x14ac:dyDescent="0.3">
      <c r="A166" s="104">
        <f t="shared" si="9"/>
        <v>322</v>
      </c>
      <c r="B166" s="9"/>
      <c r="C166" s="9"/>
      <c r="D166" s="104"/>
      <c r="E166" s="15" t="s">
        <v>145</v>
      </c>
      <c r="F166" s="143" t="s">
        <v>1044</v>
      </c>
      <c r="G166" s="15">
        <f t="shared" si="15"/>
        <v>2</v>
      </c>
      <c r="H166" s="104">
        <v>1</v>
      </c>
      <c r="J166" s="8"/>
    </row>
    <row r="167" spans="1:10" ht="15.95" customHeight="1" x14ac:dyDescent="0.3">
      <c r="A167" s="104">
        <f t="shared" si="9"/>
        <v>324</v>
      </c>
      <c r="B167" s="9" t="s">
        <v>1159</v>
      </c>
      <c r="C167" s="9" t="s">
        <v>1167</v>
      </c>
      <c r="D167" s="104"/>
      <c r="E167" s="15" t="s">
        <v>145</v>
      </c>
      <c r="F167" s="143" t="s">
        <v>1044</v>
      </c>
      <c r="G167" s="15">
        <f t="shared" ref="G167:G172" si="16">IF(OR(E167="U16",E167="S16"),1,IF(E167="TS",6,IF(E167="U64",4,2)))</f>
        <v>2</v>
      </c>
      <c r="H167" s="104">
        <v>1</v>
      </c>
      <c r="I167" s="85"/>
      <c r="J167" s="106"/>
    </row>
    <row r="168" spans="1:10" ht="15.95" customHeight="1" x14ac:dyDescent="0.3">
      <c r="A168" s="104">
        <f t="shared" si="9"/>
        <v>326</v>
      </c>
      <c r="B168" s="9" t="s">
        <v>1160</v>
      </c>
      <c r="C168" s="9"/>
      <c r="D168" s="104"/>
      <c r="E168" s="15" t="s">
        <v>145</v>
      </c>
      <c r="F168" s="143" t="s">
        <v>1044</v>
      </c>
      <c r="G168" s="15">
        <f t="shared" si="16"/>
        <v>2</v>
      </c>
      <c r="H168" s="104">
        <v>1</v>
      </c>
      <c r="I168" s="85"/>
      <c r="J168" s="106"/>
    </row>
    <row r="169" spans="1:10" ht="15.95" customHeight="1" x14ac:dyDescent="0.3">
      <c r="A169" s="104">
        <f t="shared" si="9"/>
        <v>328</v>
      </c>
      <c r="B169" s="9" t="s">
        <v>1161</v>
      </c>
      <c r="C169" s="9"/>
      <c r="D169" s="104"/>
      <c r="E169" s="15" t="s">
        <v>145</v>
      </c>
      <c r="F169" s="143" t="s">
        <v>1044</v>
      </c>
      <c r="G169" s="15">
        <f t="shared" si="16"/>
        <v>2</v>
      </c>
      <c r="H169" s="104">
        <v>1</v>
      </c>
      <c r="I169" s="85"/>
      <c r="J169" s="106"/>
    </row>
    <row r="170" spans="1:10" ht="15.95" customHeight="1" x14ac:dyDescent="0.3">
      <c r="A170" s="104">
        <f t="shared" si="9"/>
        <v>330</v>
      </c>
      <c r="B170" s="9" t="s">
        <v>1162</v>
      </c>
      <c r="C170" s="9"/>
      <c r="D170" s="104"/>
      <c r="E170" s="15" t="s">
        <v>145</v>
      </c>
      <c r="F170" s="143" t="s">
        <v>1044</v>
      </c>
      <c r="G170" s="15">
        <f t="shared" si="16"/>
        <v>2</v>
      </c>
      <c r="H170" s="104">
        <v>1</v>
      </c>
      <c r="I170" s="85"/>
      <c r="J170" s="106"/>
    </row>
    <row r="171" spans="1:10" ht="15.95" customHeight="1" x14ac:dyDescent="0.3">
      <c r="A171" s="104">
        <f t="shared" si="9"/>
        <v>332</v>
      </c>
      <c r="B171" s="9" t="s">
        <v>1163</v>
      </c>
      <c r="C171" s="9"/>
      <c r="D171" s="104"/>
      <c r="E171" s="15" t="s">
        <v>145</v>
      </c>
      <c r="F171" s="143" t="s">
        <v>1044</v>
      </c>
      <c r="G171" s="15">
        <f t="shared" si="16"/>
        <v>2</v>
      </c>
      <c r="H171" s="104">
        <v>1</v>
      </c>
      <c r="I171" s="85"/>
      <c r="J171" s="106"/>
    </row>
    <row r="172" spans="1:10" ht="15.95" customHeight="1" x14ac:dyDescent="0.3">
      <c r="A172" s="104">
        <f t="shared" si="9"/>
        <v>334</v>
      </c>
      <c r="B172" s="9"/>
      <c r="C172" s="9"/>
      <c r="D172" s="104"/>
      <c r="E172" s="15" t="s">
        <v>145</v>
      </c>
      <c r="F172" s="143" t="s">
        <v>1044</v>
      </c>
      <c r="G172" s="15">
        <f t="shared" si="16"/>
        <v>2</v>
      </c>
      <c r="H172" s="104">
        <v>1</v>
      </c>
      <c r="J172" s="8"/>
    </row>
    <row r="173" spans="1:10" ht="15.95" customHeight="1" x14ac:dyDescent="0.3">
      <c r="A173" s="104">
        <f t="shared" si="9"/>
        <v>336</v>
      </c>
      <c r="B173" s="9" t="s">
        <v>1168</v>
      </c>
      <c r="C173" s="9" t="s">
        <v>1169</v>
      </c>
      <c r="D173" s="60"/>
      <c r="E173" s="15" t="s">
        <v>539</v>
      </c>
      <c r="F173" s="143" t="s">
        <v>1044</v>
      </c>
      <c r="G173" s="15">
        <f t="shared" si="10"/>
        <v>2</v>
      </c>
      <c r="H173" s="60">
        <v>1</v>
      </c>
      <c r="J173" s="8"/>
    </row>
    <row r="174" spans="1:10" ht="15.95" customHeight="1" x14ac:dyDescent="0.3">
      <c r="A174" s="104">
        <f t="shared" si="9"/>
        <v>338</v>
      </c>
      <c r="B174" s="9" t="s">
        <v>532</v>
      </c>
      <c r="C174" s="9"/>
      <c r="D174" s="60"/>
      <c r="E174" s="15" t="s">
        <v>539</v>
      </c>
      <c r="F174" s="143" t="s">
        <v>1044</v>
      </c>
      <c r="G174" s="15">
        <f t="shared" si="10"/>
        <v>2</v>
      </c>
      <c r="H174" s="60">
        <v>1</v>
      </c>
      <c r="J174" s="8"/>
    </row>
    <row r="175" spans="1:10" ht="15.95" customHeight="1" x14ac:dyDescent="0.3">
      <c r="A175" s="104">
        <f t="shared" si="9"/>
        <v>340</v>
      </c>
      <c r="B175" s="9" t="s">
        <v>533</v>
      </c>
      <c r="C175" s="9"/>
      <c r="D175" s="60"/>
      <c r="E175" s="15" t="s">
        <v>539</v>
      </c>
      <c r="F175" s="143" t="s">
        <v>1044</v>
      </c>
      <c r="G175" s="15">
        <f t="shared" si="10"/>
        <v>2</v>
      </c>
      <c r="H175" s="60">
        <v>1</v>
      </c>
      <c r="J175" s="8"/>
    </row>
    <row r="176" spans="1:10" ht="15.95" customHeight="1" x14ac:dyDescent="0.3">
      <c r="A176" s="104">
        <f t="shared" si="9"/>
        <v>342</v>
      </c>
      <c r="B176" s="9" t="s">
        <v>534</v>
      </c>
      <c r="C176" s="9"/>
      <c r="D176" s="60"/>
      <c r="E176" s="15" t="s">
        <v>539</v>
      </c>
      <c r="F176" s="143" t="s">
        <v>1044</v>
      </c>
      <c r="G176" s="15">
        <f t="shared" si="10"/>
        <v>2</v>
      </c>
      <c r="H176" s="60">
        <v>1</v>
      </c>
      <c r="J176" s="8"/>
    </row>
    <row r="177" spans="1:10" ht="15.95" customHeight="1" x14ac:dyDescent="0.3">
      <c r="A177" s="104">
        <f t="shared" si="9"/>
        <v>344</v>
      </c>
      <c r="B177" s="9" t="s">
        <v>31</v>
      </c>
      <c r="C177" s="9"/>
      <c r="D177" s="60"/>
      <c r="E177" s="15" t="s">
        <v>539</v>
      </c>
      <c r="F177" s="143" t="s">
        <v>1044</v>
      </c>
      <c r="G177" s="15">
        <f t="shared" si="10"/>
        <v>2</v>
      </c>
      <c r="H177" s="60">
        <v>1</v>
      </c>
      <c r="J177" s="8"/>
    </row>
    <row r="178" spans="1:10" ht="15.95" customHeight="1" x14ac:dyDescent="0.3">
      <c r="A178" s="104">
        <f t="shared" si="9"/>
        <v>346</v>
      </c>
      <c r="B178" s="9"/>
      <c r="C178" s="9"/>
      <c r="D178" s="60"/>
      <c r="E178" s="15" t="s">
        <v>539</v>
      </c>
      <c r="F178" s="143" t="s">
        <v>1044</v>
      </c>
      <c r="G178" s="15">
        <f t="shared" si="10"/>
        <v>2</v>
      </c>
      <c r="H178" s="60">
        <v>1</v>
      </c>
      <c r="J178" s="8"/>
    </row>
    <row r="179" spans="1:10" ht="15.95" customHeight="1" x14ac:dyDescent="0.3">
      <c r="A179" s="104">
        <f t="shared" si="9"/>
        <v>348</v>
      </c>
      <c r="B179" s="9" t="s">
        <v>1173</v>
      </c>
      <c r="C179" s="9" t="s">
        <v>1170</v>
      </c>
      <c r="D179" s="104"/>
      <c r="E179" s="15" t="s">
        <v>145</v>
      </c>
      <c r="F179" s="143" t="s">
        <v>1044</v>
      </c>
      <c r="G179" s="15">
        <f t="shared" si="10"/>
        <v>2</v>
      </c>
      <c r="H179" s="104">
        <v>1</v>
      </c>
      <c r="J179" s="8"/>
    </row>
    <row r="180" spans="1:10" ht="15.95" customHeight="1" x14ac:dyDescent="0.3">
      <c r="A180" s="104">
        <f t="shared" si="9"/>
        <v>350</v>
      </c>
      <c r="B180" s="9" t="s">
        <v>532</v>
      </c>
      <c r="C180" s="9"/>
      <c r="D180" s="104"/>
      <c r="E180" s="15" t="s">
        <v>145</v>
      </c>
      <c r="F180" s="143" t="s">
        <v>1044</v>
      </c>
      <c r="G180" s="15">
        <f t="shared" si="10"/>
        <v>2</v>
      </c>
      <c r="H180" s="104">
        <v>1</v>
      </c>
      <c r="J180" s="8"/>
    </row>
    <row r="181" spans="1:10" ht="15.95" customHeight="1" x14ac:dyDescent="0.3">
      <c r="A181" s="104">
        <f t="shared" si="9"/>
        <v>352</v>
      </c>
      <c r="B181" s="9" t="s">
        <v>533</v>
      </c>
      <c r="C181" s="9"/>
      <c r="D181" s="104"/>
      <c r="E181" s="15" t="s">
        <v>145</v>
      </c>
      <c r="F181" s="143" t="s">
        <v>1044</v>
      </c>
      <c r="G181" s="15">
        <f t="shared" si="10"/>
        <v>2</v>
      </c>
      <c r="H181" s="104">
        <v>1</v>
      </c>
      <c r="J181" s="8"/>
    </row>
    <row r="182" spans="1:10" ht="15.95" customHeight="1" x14ac:dyDescent="0.3">
      <c r="A182" s="104">
        <f t="shared" si="9"/>
        <v>354</v>
      </c>
      <c r="B182" s="9" t="s">
        <v>534</v>
      </c>
      <c r="C182" s="9"/>
      <c r="D182" s="104"/>
      <c r="E182" s="15" t="s">
        <v>145</v>
      </c>
      <c r="F182" s="143" t="s">
        <v>1044</v>
      </c>
      <c r="G182" s="15">
        <f t="shared" si="10"/>
        <v>2</v>
      </c>
      <c r="H182" s="104">
        <v>1</v>
      </c>
      <c r="J182" s="8"/>
    </row>
    <row r="183" spans="1:10" ht="15.95" customHeight="1" x14ac:dyDescent="0.3">
      <c r="A183" s="104">
        <f t="shared" si="9"/>
        <v>356</v>
      </c>
      <c r="B183" s="9" t="s">
        <v>31</v>
      </c>
      <c r="C183" s="9"/>
      <c r="D183" s="104"/>
      <c r="E183" s="15" t="s">
        <v>145</v>
      </c>
      <c r="F183" s="143" t="s">
        <v>1044</v>
      </c>
      <c r="G183" s="15">
        <f t="shared" si="10"/>
        <v>2</v>
      </c>
      <c r="H183" s="104">
        <v>1</v>
      </c>
      <c r="J183" s="8"/>
    </row>
    <row r="184" spans="1:10" ht="15.95" customHeight="1" x14ac:dyDescent="0.3">
      <c r="A184" s="104">
        <f t="shared" si="9"/>
        <v>358</v>
      </c>
      <c r="B184" s="9"/>
      <c r="C184" s="9"/>
      <c r="D184" s="104"/>
      <c r="E184" s="15" t="s">
        <v>145</v>
      </c>
      <c r="F184" s="143" t="s">
        <v>1044</v>
      </c>
      <c r="G184" s="15">
        <f t="shared" si="10"/>
        <v>2</v>
      </c>
      <c r="H184" s="104">
        <v>1</v>
      </c>
      <c r="J184" s="8"/>
    </row>
    <row r="185" spans="1:10" ht="15.95" customHeight="1" x14ac:dyDescent="0.3">
      <c r="A185" s="104">
        <f t="shared" si="9"/>
        <v>360</v>
      </c>
      <c r="B185" s="9" t="s">
        <v>1174</v>
      </c>
      <c r="C185" s="9" t="s">
        <v>1171</v>
      </c>
      <c r="D185" s="104"/>
      <c r="E185" s="15" t="s">
        <v>145</v>
      </c>
      <c r="F185" s="143" t="s">
        <v>1044</v>
      </c>
      <c r="G185" s="15">
        <f t="shared" si="10"/>
        <v>2</v>
      </c>
      <c r="H185" s="104">
        <v>1</v>
      </c>
      <c r="J185" s="8"/>
    </row>
    <row r="186" spans="1:10" ht="15.95" customHeight="1" x14ac:dyDescent="0.3">
      <c r="A186" s="104">
        <f t="shared" si="9"/>
        <v>362</v>
      </c>
      <c r="B186" s="9" t="s">
        <v>532</v>
      </c>
      <c r="C186" s="9"/>
      <c r="D186" s="104"/>
      <c r="E186" s="15" t="s">
        <v>145</v>
      </c>
      <c r="F186" s="143" t="s">
        <v>1044</v>
      </c>
      <c r="G186" s="15">
        <f t="shared" si="10"/>
        <v>2</v>
      </c>
      <c r="H186" s="104">
        <v>1</v>
      </c>
      <c r="J186" s="8"/>
    </row>
    <row r="187" spans="1:10" ht="15.95" customHeight="1" x14ac:dyDescent="0.3">
      <c r="A187" s="104">
        <f t="shared" si="9"/>
        <v>364</v>
      </c>
      <c r="B187" s="9" t="s">
        <v>533</v>
      </c>
      <c r="C187" s="9"/>
      <c r="D187" s="104"/>
      <c r="E187" s="15" t="s">
        <v>145</v>
      </c>
      <c r="F187" s="143" t="s">
        <v>1044</v>
      </c>
      <c r="G187" s="15">
        <f t="shared" si="10"/>
        <v>2</v>
      </c>
      <c r="H187" s="104">
        <v>1</v>
      </c>
      <c r="J187" s="8"/>
    </row>
    <row r="188" spans="1:10" ht="15.95" customHeight="1" x14ac:dyDescent="0.3">
      <c r="A188" s="104">
        <f t="shared" si="9"/>
        <v>366</v>
      </c>
      <c r="B188" s="9" t="s">
        <v>534</v>
      </c>
      <c r="C188" s="9"/>
      <c r="D188" s="104"/>
      <c r="E188" s="15" t="s">
        <v>145</v>
      </c>
      <c r="F188" s="143" t="s">
        <v>1044</v>
      </c>
      <c r="G188" s="15">
        <f t="shared" si="10"/>
        <v>2</v>
      </c>
      <c r="H188" s="104">
        <v>1</v>
      </c>
      <c r="J188" s="8"/>
    </row>
    <row r="189" spans="1:10" ht="15.95" customHeight="1" x14ac:dyDescent="0.3">
      <c r="A189" s="104">
        <f t="shared" si="9"/>
        <v>368</v>
      </c>
      <c r="B189" s="9" t="s">
        <v>31</v>
      </c>
      <c r="C189" s="9"/>
      <c r="D189" s="104"/>
      <c r="E189" s="15" t="s">
        <v>145</v>
      </c>
      <c r="F189" s="143" t="s">
        <v>1044</v>
      </c>
      <c r="G189" s="15">
        <f t="shared" si="10"/>
        <v>2</v>
      </c>
      <c r="H189" s="104">
        <v>1</v>
      </c>
      <c r="J189" s="8"/>
    </row>
    <row r="190" spans="1:10" ht="15.95" customHeight="1" x14ac:dyDescent="0.3">
      <c r="A190" s="104">
        <f t="shared" si="9"/>
        <v>370</v>
      </c>
      <c r="B190" s="9"/>
      <c r="C190" s="9"/>
      <c r="D190" s="104"/>
      <c r="E190" s="15" t="s">
        <v>145</v>
      </c>
      <c r="F190" s="143" t="s">
        <v>1044</v>
      </c>
      <c r="G190" s="15">
        <f t="shared" si="10"/>
        <v>2</v>
      </c>
      <c r="H190" s="104">
        <v>1</v>
      </c>
      <c r="J190" s="8"/>
    </row>
    <row r="191" spans="1:10" ht="15.95" customHeight="1" x14ac:dyDescent="0.3">
      <c r="A191" s="104">
        <f t="shared" si="9"/>
        <v>372</v>
      </c>
      <c r="B191" s="9" t="s">
        <v>1175</v>
      </c>
      <c r="C191" s="9" t="s">
        <v>1172</v>
      </c>
      <c r="D191" s="104"/>
      <c r="E191" s="15" t="s">
        <v>145</v>
      </c>
      <c r="F191" s="143" t="s">
        <v>1044</v>
      </c>
      <c r="G191" s="15">
        <f t="shared" ref="G191:G196" si="17">IF(OR(E191="U16",E191="S16"),1,IF(E191="TS",6,IF(E191="U64",4,2)))</f>
        <v>2</v>
      </c>
      <c r="H191" s="104">
        <v>1</v>
      </c>
      <c r="J191" s="8"/>
    </row>
    <row r="192" spans="1:10" ht="15.95" customHeight="1" x14ac:dyDescent="0.3">
      <c r="A192" s="104">
        <f t="shared" si="9"/>
        <v>374</v>
      </c>
      <c r="B192" s="9" t="s">
        <v>532</v>
      </c>
      <c r="C192" s="9"/>
      <c r="D192" s="104"/>
      <c r="E192" s="15" t="s">
        <v>145</v>
      </c>
      <c r="F192" s="143" t="s">
        <v>1044</v>
      </c>
      <c r="G192" s="15">
        <f t="shared" si="17"/>
        <v>2</v>
      </c>
      <c r="H192" s="104">
        <v>1</v>
      </c>
      <c r="J192" s="8"/>
    </row>
    <row r="193" spans="1:10" ht="15.95" customHeight="1" x14ac:dyDescent="0.3">
      <c r="A193" s="104">
        <f t="shared" si="9"/>
        <v>376</v>
      </c>
      <c r="B193" s="9" t="s">
        <v>533</v>
      </c>
      <c r="C193" s="9"/>
      <c r="D193" s="104"/>
      <c r="E193" s="15" t="s">
        <v>145</v>
      </c>
      <c r="F193" s="143" t="s">
        <v>1044</v>
      </c>
      <c r="G193" s="15">
        <f t="shared" si="17"/>
        <v>2</v>
      </c>
      <c r="H193" s="104">
        <v>1</v>
      </c>
      <c r="J193" s="8"/>
    </row>
    <row r="194" spans="1:10" ht="15.95" customHeight="1" x14ac:dyDescent="0.3">
      <c r="A194" s="104">
        <f t="shared" si="9"/>
        <v>378</v>
      </c>
      <c r="B194" s="9" t="s">
        <v>534</v>
      </c>
      <c r="C194" s="9"/>
      <c r="D194" s="104"/>
      <c r="E194" s="15" t="s">
        <v>145</v>
      </c>
      <c r="F194" s="143" t="s">
        <v>1044</v>
      </c>
      <c r="G194" s="15">
        <f t="shared" si="17"/>
        <v>2</v>
      </c>
      <c r="H194" s="104">
        <v>1</v>
      </c>
      <c r="J194" s="8"/>
    </row>
    <row r="195" spans="1:10" ht="15.95" customHeight="1" x14ac:dyDescent="0.3">
      <c r="A195" s="104">
        <f t="shared" si="9"/>
        <v>380</v>
      </c>
      <c r="B195" s="9" t="s">
        <v>31</v>
      </c>
      <c r="C195" s="9"/>
      <c r="D195" s="104"/>
      <c r="E195" s="15" t="s">
        <v>145</v>
      </c>
      <c r="F195" s="143" t="s">
        <v>1044</v>
      </c>
      <c r="G195" s="15">
        <f t="shared" si="17"/>
        <v>2</v>
      </c>
      <c r="H195" s="104">
        <v>1</v>
      </c>
      <c r="J195" s="8"/>
    </row>
    <row r="196" spans="1:10" ht="15.95" customHeight="1" x14ac:dyDescent="0.3">
      <c r="A196" s="104">
        <f t="shared" si="9"/>
        <v>382</v>
      </c>
      <c r="B196" s="9"/>
      <c r="C196" s="9"/>
      <c r="D196" s="104"/>
      <c r="E196" s="15" t="s">
        <v>145</v>
      </c>
      <c r="F196" s="143" t="s">
        <v>1044</v>
      </c>
      <c r="G196" s="15">
        <f t="shared" si="17"/>
        <v>2</v>
      </c>
      <c r="H196" s="104">
        <v>1</v>
      </c>
      <c r="J196" s="8"/>
    </row>
    <row r="197" spans="1:10" ht="15.95" customHeight="1" x14ac:dyDescent="0.3">
      <c r="A197" s="104">
        <f t="shared" si="9"/>
        <v>384</v>
      </c>
      <c r="B197" s="56" t="s">
        <v>541</v>
      </c>
      <c r="C197" s="9" t="s">
        <v>1176</v>
      </c>
      <c r="D197" s="67"/>
      <c r="E197" s="67" t="s">
        <v>540</v>
      </c>
      <c r="F197" s="143" t="s">
        <v>1044</v>
      </c>
      <c r="G197" s="67">
        <f t="shared" si="10"/>
        <v>4</v>
      </c>
      <c r="H197" s="67">
        <v>4</v>
      </c>
      <c r="J197" s="8"/>
    </row>
    <row r="198" spans="1:10" ht="15.95" customHeight="1" x14ac:dyDescent="0.3">
      <c r="A198" s="104">
        <f t="shared" si="9"/>
        <v>400</v>
      </c>
      <c r="B198" s="56" t="s">
        <v>542</v>
      </c>
      <c r="C198" s="9"/>
      <c r="D198" s="67"/>
      <c r="E198" s="67" t="s">
        <v>540</v>
      </c>
      <c r="F198" s="143" t="s">
        <v>1044</v>
      </c>
      <c r="G198" s="67">
        <f t="shared" si="10"/>
        <v>4</v>
      </c>
      <c r="H198" s="67">
        <v>4</v>
      </c>
      <c r="J198" s="8"/>
    </row>
    <row r="199" spans="1:10" ht="15.95" customHeight="1" x14ac:dyDescent="0.3">
      <c r="A199" s="104">
        <f t="shared" si="9"/>
        <v>416</v>
      </c>
      <c r="B199" s="56" t="s">
        <v>543</v>
      </c>
      <c r="C199" s="9"/>
      <c r="D199" s="67"/>
      <c r="E199" s="67" t="s">
        <v>540</v>
      </c>
      <c r="F199" s="143" t="s">
        <v>1044</v>
      </c>
      <c r="G199" s="67">
        <f t="shared" si="10"/>
        <v>4</v>
      </c>
      <c r="H199" s="105">
        <v>4</v>
      </c>
      <c r="J199" s="8"/>
    </row>
    <row r="200" spans="1:10" ht="15.95" customHeight="1" x14ac:dyDescent="0.3">
      <c r="A200" s="104">
        <f t="shared" si="9"/>
        <v>432</v>
      </c>
      <c r="B200" s="56" t="s">
        <v>141</v>
      </c>
      <c r="C200" s="9"/>
      <c r="D200" s="67"/>
      <c r="E200" s="67" t="s">
        <v>540</v>
      </c>
      <c r="F200" s="143" t="s">
        <v>1044</v>
      </c>
      <c r="G200" s="67">
        <f t="shared" si="10"/>
        <v>4</v>
      </c>
      <c r="H200" s="105">
        <v>4</v>
      </c>
      <c r="I200" s="86"/>
    </row>
    <row r="201" spans="1:10" ht="15.95" customHeight="1" x14ac:dyDescent="0.3">
      <c r="A201" s="104">
        <f t="shared" si="9"/>
        <v>448</v>
      </c>
      <c r="B201" s="56" t="s">
        <v>544</v>
      </c>
      <c r="C201" s="9"/>
      <c r="D201" s="67"/>
      <c r="E201" s="67" t="s">
        <v>540</v>
      </c>
      <c r="F201" s="143" t="s">
        <v>1044</v>
      </c>
      <c r="G201" s="67">
        <f t="shared" si="10"/>
        <v>4</v>
      </c>
      <c r="H201" s="105">
        <v>4</v>
      </c>
      <c r="I201" s="86"/>
    </row>
    <row r="202" spans="1:10" ht="15.95" customHeight="1" x14ac:dyDescent="0.3">
      <c r="A202" s="104">
        <f t="shared" si="9"/>
        <v>464</v>
      </c>
      <c r="B202" s="56"/>
      <c r="C202" s="9"/>
      <c r="D202" s="67"/>
      <c r="E202" s="67" t="s">
        <v>540</v>
      </c>
      <c r="F202" s="143" t="s">
        <v>1044</v>
      </c>
      <c r="G202" s="67">
        <f t="shared" si="10"/>
        <v>4</v>
      </c>
      <c r="H202" s="105">
        <v>4</v>
      </c>
      <c r="I202" s="86"/>
    </row>
    <row r="203" spans="1:10" ht="15.95" customHeight="1" x14ac:dyDescent="0.3">
      <c r="A203" s="162" t="s">
        <v>138</v>
      </c>
      <c r="B203" s="162"/>
      <c r="C203" s="162"/>
      <c r="D203" s="162"/>
      <c r="E203" s="162"/>
      <c r="F203" s="162"/>
      <c r="G203" s="162"/>
      <c r="H203" s="162"/>
      <c r="I203" s="88"/>
    </row>
    <row r="204" spans="1:10" ht="15.95" customHeight="1" x14ac:dyDescent="0.3">
      <c r="A204" s="60">
        <f>A202+(G202*H202)</f>
        <v>480</v>
      </c>
      <c r="B204" s="9" t="s">
        <v>90</v>
      </c>
      <c r="C204" s="173"/>
      <c r="D204" s="60"/>
      <c r="E204" s="15" t="s">
        <v>92</v>
      </c>
      <c r="F204" s="15">
        <v>3</v>
      </c>
      <c r="G204" s="15">
        <f t="shared" ref="G204:G221" si="18">IF(OR(E204="U16", E204="S16"),1,IF(E204="TS",6,2))</f>
        <v>2</v>
      </c>
      <c r="H204" s="60">
        <v>1</v>
      </c>
      <c r="I204" s="85"/>
    </row>
    <row r="205" spans="1:10" ht="15.95" customHeight="1" x14ac:dyDescent="0.3">
      <c r="A205" s="60">
        <f t="shared" ref="A205:A240" si="19">A204+(G204*H204)</f>
        <v>482</v>
      </c>
      <c r="B205" s="9" t="s">
        <v>42</v>
      </c>
      <c r="C205" s="173"/>
      <c r="D205" s="60"/>
      <c r="E205" s="15" t="s">
        <v>546</v>
      </c>
      <c r="F205" s="15">
        <v>3</v>
      </c>
      <c r="G205" s="15">
        <f t="shared" si="18"/>
        <v>2</v>
      </c>
      <c r="H205" s="60">
        <v>1</v>
      </c>
      <c r="I205" s="85"/>
    </row>
    <row r="206" spans="1:10" ht="15.95" customHeight="1" x14ac:dyDescent="0.3">
      <c r="A206" s="60">
        <f t="shared" si="19"/>
        <v>484</v>
      </c>
      <c r="B206" s="9" t="s">
        <v>90</v>
      </c>
      <c r="C206" s="173"/>
      <c r="D206" s="60"/>
      <c r="E206" s="15" t="s">
        <v>92</v>
      </c>
      <c r="F206" s="15">
        <v>3</v>
      </c>
      <c r="G206" s="15">
        <f t="shared" si="18"/>
        <v>2</v>
      </c>
      <c r="H206" s="60">
        <v>1</v>
      </c>
      <c r="I206" s="85"/>
    </row>
    <row r="207" spans="1:10" ht="15.95" customHeight="1" x14ac:dyDescent="0.3">
      <c r="A207" s="60">
        <f t="shared" si="19"/>
        <v>486</v>
      </c>
      <c r="B207" s="9" t="s">
        <v>43</v>
      </c>
      <c r="C207" s="173"/>
      <c r="D207" s="60"/>
      <c r="E207" s="15" t="s">
        <v>546</v>
      </c>
      <c r="F207" s="15">
        <v>3</v>
      </c>
      <c r="G207" s="15">
        <f t="shared" si="18"/>
        <v>2</v>
      </c>
      <c r="H207" s="60">
        <v>1</v>
      </c>
      <c r="I207" s="85"/>
    </row>
    <row r="208" spans="1:10" ht="15.95" customHeight="1" x14ac:dyDescent="0.3">
      <c r="A208" s="60">
        <f t="shared" si="19"/>
        <v>488</v>
      </c>
      <c r="B208" s="9" t="s">
        <v>90</v>
      </c>
      <c r="C208" s="173"/>
      <c r="D208" s="60"/>
      <c r="E208" s="15" t="s">
        <v>92</v>
      </c>
      <c r="F208" s="15">
        <v>3</v>
      </c>
      <c r="G208" s="15">
        <f t="shared" si="18"/>
        <v>2</v>
      </c>
      <c r="H208" s="60">
        <v>1</v>
      </c>
      <c r="I208" s="85"/>
    </row>
    <row r="209" spans="1:10" ht="15.95" customHeight="1" x14ac:dyDescent="0.3">
      <c r="A209" s="60">
        <f t="shared" si="19"/>
        <v>490</v>
      </c>
      <c r="B209" s="9" t="s">
        <v>44</v>
      </c>
      <c r="C209" s="173"/>
      <c r="D209" s="60"/>
      <c r="E209" s="15" t="s">
        <v>546</v>
      </c>
      <c r="F209" s="15">
        <v>3</v>
      </c>
      <c r="G209" s="15">
        <f t="shared" si="18"/>
        <v>2</v>
      </c>
      <c r="H209" s="60">
        <v>1</v>
      </c>
      <c r="I209" s="85"/>
    </row>
    <row r="210" spans="1:10" ht="15.95" customHeight="1" x14ac:dyDescent="0.3">
      <c r="A210" s="60">
        <f t="shared" si="19"/>
        <v>492</v>
      </c>
      <c r="B210" s="9" t="s">
        <v>90</v>
      </c>
      <c r="C210" s="173"/>
      <c r="D210" s="60"/>
      <c r="E210" s="15" t="s">
        <v>92</v>
      </c>
      <c r="F210" s="15">
        <v>3</v>
      </c>
      <c r="G210" s="15">
        <f t="shared" si="18"/>
        <v>2</v>
      </c>
      <c r="H210" s="60">
        <v>1</v>
      </c>
      <c r="I210" s="85"/>
    </row>
    <row r="211" spans="1:10" ht="15.95" customHeight="1" x14ac:dyDescent="0.3">
      <c r="A211" s="60">
        <f t="shared" si="19"/>
        <v>494</v>
      </c>
      <c r="B211" s="9" t="s">
        <v>45</v>
      </c>
      <c r="C211" s="173"/>
      <c r="D211" s="60"/>
      <c r="E211" s="15" t="s">
        <v>546</v>
      </c>
      <c r="F211" s="15">
        <v>3</v>
      </c>
      <c r="G211" s="15">
        <f t="shared" si="18"/>
        <v>2</v>
      </c>
      <c r="H211" s="60">
        <v>1</v>
      </c>
      <c r="I211" s="85"/>
    </row>
    <row r="212" spans="1:10" ht="15.95" customHeight="1" x14ac:dyDescent="0.3">
      <c r="A212" s="60">
        <f t="shared" si="19"/>
        <v>496</v>
      </c>
      <c r="B212" s="9" t="s">
        <v>90</v>
      </c>
      <c r="C212" s="173"/>
      <c r="D212" s="60"/>
      <c r="E212" s="15" t="s">
        <v>92</v>
      </c>
      <c r="F212" s="15">
        <v>3</v>
      </c>
      <c r="G212" s="15">
        <f t="shared" si="18"/>
        <v>2</v>
      </c>
      <c r="H212" s="60">
        <v>1</v>
      </c>
      <c r="I212" s="85"/>
    </row>
    <row r="213" spans="1:10" ht="15.95" customHeight="1" x14ac:dyDescent="0.3">
      <c r="A213" s="60">
        <f t="shared" si="19"/>
        <v>498</v>
      </c>
      <c r="B213" s="9" t="s">
        <v>134</v>
      </c>
      <c r="C213" s="173"/>
      <c r="D213" s="60"/>
      <c r="E213" s="15" t="s">
        <v>546</v>
      </c>
      <c r="F213" s="15">
        <v>3</v>
      </c>
      <c r="G213" s="15">
        <f t="shared" si="18"/>
        <v>2</v>
      </c>
      <c r="H213" s="60">
        <v>1</v>
      </c>
      <c r="I213" s="85"/>
    </row>
    <row r="214" spans="1:10" ht="15.95" customHeight="1" x14ac:dyDescent="0.3">
      <c r="A214" s="60">
        <f t="shared" si="19"/>
        <v>500</v>
      </c>
      <c r="B214" s="9" t="s">
        <v>90</v>
      </c>
      <c r="C214" s="173"/>
      <c r="D214" s="60"/>
      <c r="E214" s="15" t="s">
        <v>92</v>
      </c>
      <c r="F214" s="15">
        <v>3</v>
      </c>
      <c r="G214" s="15">
        <f t="shared" si="18"/>
        <v>2</v>
      </c>
      <c r="H214" s="60">
        <v>1</v>
      </c>
      <c r="I214" s="85"/>
    </row>
    <row r="215" spans="1:10" ht="15.95" customHeight="1" x14ac:dyDescent="0.3">
      <c r="A215" s="60">
        <f t="shared" si="19"/>
        <v>502</v>
      </c>
      <c r="B215" s="9" t="s">
        <v>46</v>
      </c>
      <c r="C215" s="173"/>
      <c r="D215" s="60"/>
      <c r="E215" s="15" t="s">
        <v>546</v>
      </c>
      <c r="F215" s="15">
        <v>3</v>
      </c>
      <c r="G215" s="15">
        <f t="shared" si="18"/>
        <v>2</v>
      </c>
      <c r="H215" s="60">
        <v>1</v>
      </c>
      <c r="I215" s="85"/>
    </row>
    <row r="216" spans="1:10" ht="15.95" customHeight="1" x14ac:dyDescent="0.3">
      <c r="A216" s="60">
        <f t="shared" si="19"/>
        <v>504</v>
      </c>
      <c r="B216" s="9" t="s">
        <v>90</v>
      </c>
      <c r="C216" s="173"/>
      <c r="D216" s="60"/>
      <c r="E216" s="15" t="s">
        <v>92</v>
      </c>
      <c r="F216" s="15">
        <v>3</v>
      </c>
      <c r="G216" s="15">
        <f t="shared" si="18"/>
        <v>2</v>
      </c>
      <c r="H216" s="60">
        <v>1</v>
      </c>
      <c r="I216" s="85"/>
    </row>
    <row r="217" spans="1:10" ht="15.95" customHeight="1" x14ac:dyDescent="0.3">
      <c r="A217" s="60">
        <f t="shared" si="19"/>
        <v>506</v>
      </c>
      <c r="B217" s="9" t="s">
        <v>47</v>
      </c>
      <c r="C217" s="173"/>
      <c r="D217" s="60"/>
      <c r="E217" s="15" t="s">
        <v>546</v>
      </c>
      <c r="F217" s="15">
        <v>3</v>
      </c>
      <c r="G217" s="15">
        <f t="shared" si="18"/>
        <v>2</v>
      </c>
      <c r="H217" s="60">
        <v>1</v>
      </c>
      <c r="I217" s="85"/>
    </row>
    <row r="218" spans="1:10" ht="15.95" customHeight="1" x14ac:dyDescent="0.3">
      <c r="A218" s="60">
        <f t="shared" si="19"/>
        <v>508</v>
      </c>
      <c r="B218" s="9" t="s">
        <v>90</v>
      </c>
      <c r="C218" s="173"/>
      <c r="D218" s="60"/>
      <c r="E218" s="15" t="s">
        <v>92</v>
      </c>
      <c r="F218" s="15">
        <v>3</v>
      </c>
      <c r="G218" s="15">
        <f t="shared" si="18"/>
        <v>2</v>
      </c>
      <c r="H218" s="60">
        <v>1</v>
      </c>
      <c r="I218" s="85"/>
    </row>
    <row r="219" spans="1:10" ht="15.95" customHeight="1" x14ac:dyDescent="0.3">
      <c r="A219" s="60">
        <f t="shared" si="19"/>
        <v>510</v>
      </c>
      <c r="B219" s="9" t="s">
        <v>48</v>
      </c>
      <c r="C219" s="173"/>
      <c r="D219" s="60"/>
      <c r="E219" s="15" t="s">
        <v>546</v>
      </c>
      <c r="F219" s="15">
        <v>3</v>
      </c>
      <c r="G219" s="15">
        <f t="shared" si="18"/>
        <v>2</v>
      </c>
      <c r="H219" s="60">
        <v>1</v>
      </c>
      <c r="I219" s="85"/>
    </row>
    <row r="220" spans="1:10" ht="15.95" customHeight="1" x14ac:dyDescent="0.3">
      <c r="A220" s="60">
        <f t="shared" si="19"/>
        <v>512</v>
      </c>
      <c r="B220" s="9" t="s">
        <v>396</v>
      </c>
      <c r="C220" s="9"/>
      <c r="D220" s="60"/>
      <c r="E220" s="15" t="s">
        <v>92</v>
      </c>
      <c r="F220" s="15">
        <v>3</v>
      </c>
      <c r="G220" s="15">
        <f t="shared" si="18"/>
        <v>2</v>
      </c>
      <c r="H220" s="60">
        <v>1</v>
      </c>
      <c r="I220" s="85"/>
    </row>
    <row r="221" spans="1:10" ht="15.95" customHeight="1" x14ac:dyDescent="0.3">
      <c r="A221" s="60">
        <f t="shared" si="19"/>
        <v>514</v>
      </c>
      <c r="B221" s="9" t="s">
        <v>49</v>
      </c>
      <c r="C221" s="9"/>
      <c r="D221" s="60"/>
      <c r="E221" s="15" t="s">
        <v>59</v>
      </c>
      <c r="F221" s="15">
        <v>3</v>
      </c>
      <c r="G221" s="15">
        <f t="shared" si="18"/>
        <v>2</v>
      </c>
      <c r="H221" s="60">
        <v>1</v>
      </c>
      <c r="I221" s="85"/>
    </row>
    <row r="222" spans="1:10" ht="15.95" customHeight="1" x14ac:dyDescent="0.3">
      <c r="A222" s="60">
        <f t="shared" si="19"/>
        <v>516</v>
      </c>
      <c r="B222" s="9" t="s">
        <v>50</v>
      </c>
      <c r="C222" s="9"/>
      <c r="D222" s="60"/>
      <c r="E222" s="15" t="s">
        <v>59</v>
      </c>
      <c r="F222" s="15">
        <v>3</v>
      </c>
      <c r="G222" s="15">
        <f t="shared" ref="G222:G240" si="20">IF(OR(E222="U16", E222="S16"),1,IF(E222="TS",6,2))</f>
        <v>2</v>
      </c>
      <c r="H222" s="60">
        <v>1</v>
      </c>
      <c r="I222" s="85"/>
      <c r="J222" s="10" t="s">
        <v>144</v>
      </c>
    </row>
    <row r="223" spans="1:10" ht="15.95" customHeight="1" x14ac:dyDescent="0.3">
      <c r="A223" s="60">
        <f t="shared" si="19"/>
        <v>518</v>
      </c>
      <c r="B223" s="9" t="s">
        <v>51</v>
      </c>
      <c r="C223" s="9"/>
      <c r="D223" s="60"/>
      <c r="E223" s="15" t="s">
        <v>59</v>
      </c>
      <c r="F223" s="15">
        <v>3</v>
      </c>
      <c r="G223" s="15">
        <f t="shared" si="20"/>
        <v>2</v>
      </c>
      <c r="H223" s="60">
        <v>1</v>
      </c>
      <c r="I223" s="85"/>
    </row>
    <row r="224" spans="1:10" ht="15.95" customHeight="1" x14ac:dyDescent="0.3">
      <c r="A224" s="60">
        <f t="shared" si="19"/>
        <v>520</v>
      </c>
      <c r="B224" s="9" t="s">
        <v>52</v>
      </c>
      <c r="C224" s="9"/>
      <c r="D224" s="60"/>
      <c r="E224" s="15" t="s">
        <v>59</v>
      </c>
      <c r="F224" s="15">
        <v>3</v>
      </c>
      <c r="G224" s="15">
        <f t="shared" si="20"/>
        <v>2</v>
      </c>
      <c r="H224" s="60">
        <v>1</v>
      </c>
      <c r="I224" s="85"/>
    </row>
    <row r="225" spans="1:9" ht="15.95" customHeight="1" x14ac:dyDescent="0.3">
      <c r="A225" s="60">
        <f t="shared" si="19"/>
        <v>522</v>
      </c>
      <c r="B225" s="9" t="s">
        <v>53</v>
      </c>
      <c r="C225" s="9"/>
      <c r="D225" s="60"/>
      <c r="E225" s="15" t="s">
        <v>59</v>
      </c>
      <c r="F225" s="15">
        <v>3</v>
      </c>
      <c r="G225" s="15">
        <f t="shared" si="20"/>
        <v>2</v>
      </c>
      <c r="H225" s="60">
        <v>1</v>
      </c>
      <c r="I225" s="85"/>
    </row>
    <row r="226" spans="1:9" ht="15.95" customHeight="1" x14ac:dyDescent="0.3">
      <c r="A226" s="60">
        <f t="shared" si="19"/>
        <v>524</v>
      </c>
      <c r="B226" s="9" t="s">
        <v>54</v>
      </c>
      <c r="C226" s="9"/>
      <c r="D226" s="60"/>
      <c r="E226" s="15" t="s">
        <v>59</v>
      </c>
      <c r="F226" s="15">
        <v>3</v>
      </c>
      <c r="G226" s="15">
        <f t="shared" si="20"/>
        <v>2</v>
      </c>
      <c r="H226" s="60">
        <v>1</v>
      </c>
      <c r="I226" s="85"/>
    </row>
    <row r="227" spans="1:9" ht="15.95" customHeight="1" x14ac:dyDescent="0.3">
      <c r="A227" s="60">
        <f t="shared" si="19"/>
        <v>526</v>
      </c>
      <c r="B227" s="9" t="s">
        <v>55</v>
      </c>
      <c r="C227" s="9"/>
      <c r="D227" s="60"/>
      <c r="E227" s="15" t="s">
        <v>59</v>
      </c>
      <c r="F227" s="15">
        <v>3</v>
      </c>
      <c r="G227" s="15">
        <f t="shared" si="20"/>
        <v>2</v>
      </c>
      <c r="H227" s="60">
        <v>1</v>
      </c>
      <c r="I227" s="85"/>
    </row>
    <row r="228" spans="1:9" ht="15.95" customHeight="1" x14ac:dyDescent="0.3">
      <c r="A228" s="60">
        <f t="shared" si="19"/>
        <v>528</v>
      </c>
      <c r="B228" s="9" t="s">
        <v>56</v>
      </c>
      <c r="C228" s="9"/>
      <c r="D228" s="60"/>
      <c r="E228" s="15" t="s">
        <v>59</v>
      </c>
      <c r="F228" s="15">
        <v>3</v>
      </c>
      <c r="G228" s="15">
        <f t="shared" si="20"/>
        <v>2</v>
      </c>
      <c r="H228" s="60">
        <v>1</v>
      </c>
      <c r="I228" s="85"/>
    </row>
    <row r="229" spans="1:9" ht="15.95" customHeight="1" x14ac:dyDescent="0.3">
      <c r="A229" s="60">
        <f t="shared" si="19"/>
        <v>530</v>
      </c>
      <c r="B229" s="9" t="s">
        <v>259</v>
      </c>
      <c r="C229" s="9"/>
      <c r="D229" s="60"/>
      <c r="E229" s="15" t="s">
        <v>59</v>
      </c>
      <c r="F229" s="15">
        <v>3</v>
      </c>
      <c r="G229" s="15">
        <f t="shared" si="20"/>
        <v>2</v>
      </c>
      <c r="H229" s="60">
        <v>1</v>
      </c>
      <c r="I229" s="85"/>
    </row>
    <row r="230" spans="1:9" ht="15.95" customHeight="1" x14ac:dyDescent="0.3">
      <c r="A230" s="60">
        <f t="shared" si="19"/>
        <v>532</v>
      </c>
      <c r="B230" s="9" t="s">
        <v>260</v>
      </c>
      <c r="C230" s="9"/>
      <c r="D230" s="60"/>
      <c r="E230" s="15" t="s">
        <v>59</v>
      </c>
      <c r="F230" s="15">
        <v>3</v>
      </c>
      <c r="G230" s="15">
        <f t="shared" si="20"/>
        <v>2</v>
      </c>
      <c r="H230" s="60">
        <v>1</v>
      </c>
      <c r="I230" s="85"/>
    </row>
    <row r="231" spans="1:9" ht="15.95" customHeight="1" x14ac:dyDescent="0.3">
      <c r="A231" s="60">
        <f t="shared" si="19"/>
        <v>534</v>
      </c>
      <c r="B231" s="9" t="s">
        <v>261</v>
      </c>
      <c r="C231" s="9"/>
      <c r="D231" s="60"/>
      <c r="E231" s="15" t="s">
        <v>59</v>
      </c>
      <c r="F231" s="15">
        <v>3</v>
      </c>
      <c r="G231" s="15">
        <f t="shared" si="20"/>
        <v>2</v>
      </c>
      <c r="H231" s="60">
        <v>1</v>
      </c>
      <c r="I231" s="85"/>
    </row>
    <row r="232" spans="1:9" ht="15.95" customHeight="1" x14ac:dyDescent="0.3">
      <c r="A232" s="60">
        <f t="shared" si="19"/>
        <v>536</v>
      </c>
      <c r="B232" s="9" t="s">
        <v>262</v>
      </c>
      <c r="C232" s="9"/>
      <c r="D232" s="60"/>
      <c r="E232" s="15" t="s">
        <v>59</v>
      </c>
      <c r="F232" s="15">
        <v>3</v>
      </c>
      <c r="G232" s="15">
        <f t="shared" si="20"/>
        <v>2</v>
      </c>
      <c r="H232" s="60">
        <v>1</v>
      </c>
      <c r="I232" s="85"/>
    </row>
    <row r="233" spans="1:9" ht="15.95" customHeight="1" x14ac:dyDescent="0.3">
      <c r="A233" s="60">
        <f t="shared" si="19"/>
        <v>538</v>
      </c>
      <c r="B233" s="9" t="s">
        <v>263</v>
      </c>
      <c r="C233" s="9"/>
      <c r="D233" s="60"/>
      <c r="E233" s="15" t="s">
        <v>59</v>
      </c>
      <c r="F233" s="15">
        <v>3</v>
      </c>
      <c r="G233" s="15">
        <f t="shared" si="20"/>
        <v>2</v>
      </c>
      <c r="H233" s="60">
        <v>1</v>
      </c>
      <c r="I233" s="85"/>
    </row>
    <row r="234" spans="1:9" ht="15.95" customHeight="1" x14ac:dyDescent="0.3">
      <c r="A234" s="60">
        <f t="shared" si="19"/>
        <v>540</v>
      </c>
      <c r="B234" s="9" t="s">
        <v>93</v>
      </c>
      <c r="C234" s="9"/>
      <c r="D234" s="60"/>
      <c r="E234" s="15" t="s">
        <v>59</v>
      </c>
      <c r="F234" s="15">
        <v>3</v>
      </c>
      <c r="G234" s="15">
        <f t="shared" si="20"/>
        <v>2</v>
      </c>
      <c r="H234" s="60">
        <v>1</v>
      </c>
      <c r="I234" s="85"/>
    </row>
    <row r="235" spans="1:9" ht="15.95" customHeight="1" x14ac:dyDescent="0.3">
      <c r="A235" s="60">
        <f t="shared" si="19"/>
        <v>542</v>
      </c>
      <c r="B235" s="9" t="s">
        <v>265</v>
      </c>
      <c r="C235" s="9"/>
      <c r="D235" s="60"/>
      <c r="E235" s="15" t="s">
        <v>59</v>
      </c>
      <c r="F235" s="15">
        <v>3</v>
      </c>
      <c r="G235" s="15">
        <f t="shared" si="20"/>
        <v>2</v>
      </c>
      <c r="H235" s="60">
        <v>1</v>
      </c>
      <c r="I235" s="85"/>
    </row>
    <row r="236" spans="1:9" ht="15.95" customHeight="1" x14ac:dyDescent="0.3">
      <c r="A236" s="60">
        <f t="shared" si="19"/>
        <v>544</v>
      </c>
      <c r="B236" s="9"/>
      <c r="C236" s="9"/>
      <c r="D236" s="60"/>
      <c r="E236" s="15" t="s">
        <v>59</v>
      </c>
      <c r="F236" s="15">
        <v>3</v>
      </c>
      <c r="G236" s="15">
        <f t="shared" si="20"/>
        <v>2</v>
      </c>
      <c r="H236" s="60">
        <v>1</v>
      </c>
      <c r="I236" s="85"/>
    </row>
    <row r="237" spans="1:9" ht="15.95" customHeight="1" x14ac:dyDescent="0.3">
      <c r="A237" s="60">
        <f t="shared" si="19"/>
        <v>546</v>
      </c>
      <c r="B237" s="9"/>
      <c r="C237" s="9"/>
      <c r="D237" s="60"/>
      <c r="E237" s="15" t="s">
        <v>59</v>
      </c>
      <c r="F237" s="15">
        <v>3</v>
      </c>
      <c r="G237" s="15">
        <f t="shared" si="20"/>
        <v>2</v>
      </c>
      <c r="H237" s="60">
        <v>1</v>
      </c>
      <c r="I237" s="85"/>
    </row>
    <row r="238" spans="1:9" ht="15.95" customHeight="1" x14ac:dyDescent="0.3">
      <c r="A238" s="60">
        <f t="shared" si="19"/>
        <v>548</v>
      </c>
      <c r="B238" s="9" t="s">
        <v>560</v>
      </c>
      <c r="C238" s="9"/>
      <c r="D238" s="60"/>
      <c r="E238" s="15" t="s">
        <v>555</v>
      </c>
      <c r="F238" s="15">
        <v>3</v>
      </c>
      <c r="G238" s="15">
        <f t="shared" si="20"/>
        <v>2</v>
      </c>
      <c r="H238" s="60">
        <v>1</v>
      </c>
      <c r="I238" s="85"/>
    </row>
    <row r="239" spans="1:9" ht="15.95" customHeight="1" x14ac:dyDescent="0.3">
      <c r="A239" s="60">
        <f t="shared" si="19"/>
        <v>550</v>
      </c>
      <c r="B239" s="9" t="s">
        <v>264</v>
      </c>
      <c r="C239" s="9"/>
      <c r="D239" s="60"/>
      <c r="E239" s="15" t="s">
        <v>59</v>
      </c>
      <c r="F239" s="15">
        <v>3</v>
      </c>
      <c r="G239" s="15">
        <f t="shared" si="20"/>
        <v>2</v>
      </c>
      <c r="H239" s="60">
        <v>96</v>
      </c>
      <c r="I239" s="85"/>
    </row>
    <row r="240" spans="1:9" ht="15.95" customHeight="1" x14ac:dyDescent="0.3">
      <c r="A240" s="60">
        <f t="shared" si="19"/>
        <v>742</v>
      </c>
      <c r="B240" s="9"/>
      <c r="C240" s="9"/>
      <c r="D240" s="60"/>
      <c r="E240" s="15" t="s">
        <v>59</v>
      </c>
      <c r="F240" s="15">
        <v>3</v>
      </c>
      <c r="G240" s="15">
        <f t="shared" si="20"/>
        <v>2</v>
      </c>
      <c r="H240" s="60">
        <v>19</v>
      </c>
      <c r="I240" s="85"/>
    </row>
    <row r="241" spans="1:10" ht="15.95" customHeight="1" x14ac:dyDescent="0.3">
      <c r="A241" s="162" t="s">
        <v>535</v>
      </c>
      <c r="B241" s="162"/>
      <c r="C241" s="162"/>
      <c r="D241" s="162"/>
      <c r="E241" s="162"/>
      <c r="F241" s="162"/>
      <c r="G241" s="162"/>
      <c r="H241" s="162"/>
      <c r="I241" s="88"/>
      <c r="J241" s="59"/>
    </row>
    <row r="242" spans="1:10" ht="15.95" customHeight="1" x14ac:dyDescent="0.3">
      <c r="A242" s="60">
        <f>A240+(G240*H240)</f>
        <v>780</v>
      </c>
      <c r="B242" s="9" t="s">
        <v>965</v>
      </c>
      <c r="C242" s="9"/>
      <c r="D242" s="60" t="s">
        <v>966</v>
      </c>
      <c r="E242" s="15" t="s">
        <v>436</v>
      </c>
      <c r="F242" s="15">
        <v>3</v>
      </c>
      <c r="G242" s="15">
        <v>2</v>
      </c>
      <c r="H242" s="60">
        <v>1</v>
      </c>
      <c r="I242" s="85"/>
      <c r="J242" s="59"/>
    </row>
    <row r="243" spans="1:10" ht="15.95" customHeight="1" x14ac:dyDescent="0.3">
      <c r="A243" s="60">
        <f t="shared" ref="A243:A269" si="21">A242+(G242*H242)</f>
        <v>782</v>
      </c>
      <c r="B243" s="9" t="s">
        <v>967</v>
      </c>
      <c r="C243" s="9"/>
      <c r="D243" s="60" t="s">
        <v>966</v>
      </c>
      <c r="E243" s="15" t="s">
        <v>436</v>
      </c>
      <c r="F243" s="15">
        <v>3</v>
      </c>
      <c r="G243" s="15">
        <v>2</v>
      </c>
      <c r="H243" s="60">
        <v>1</v>
      </c>
      <c r="I243" s="85"/>
      <c r="J243" s="59"/>
    </row>
    <row r="244" spans="1:10" ht="15.95" customHeight="1" x14ac:dyDescent="0.3">
      <c r="A244" s="60">
        <f t="shared" si="21"/>
        <v>784</v>
      </c>
      <c r="B244" s="9" t="s">
        <v>968</v>
      </c>
      <c r="C244" s="9"/>
      <c r="D244" s="60" t="s">
        <v>966</v>
      </c>
      <c r="E244" s="15" t="s">
        <v>436</v>
      </c>
      <c r="F244" s="15">
        <v>3</v>
      </c>
      <c r="G244" s="15">
        <v>2</v>
      </c>
      <c r="H244" s="60">
        <v>1</v>
      </c>
      <c r="I244" s="85"/>
      <c r="J244" s="59"/>
    </row>
    <row r="245" spans="1:10" ht="15.95" customHeight="1" x14ac:dyDescent="0.3">
      <c r="A245" s="60">
        <f t="shared" si="21"/>
        <v>786</v>
      </c>
      <c r="B245" s="9" t="s">
        <v>969</v>
      </c>
      <c r="C245" s="9"/>
      <c r="D245" s="60" t="s">
        <v>970</v>
      </c>
      <c r="E245" s="15" t="s">
        <v>436</v>
      </c>
      <c r="F245" s="15">
        <v>3</v>
      </c>
      <c r="G245" s="15">
        <v>2</v>
      </c>
      <c r="H245" s="60">
        <v>1</v>
      </c>
      <c r="I245" s="85"/>
      <c r="J245" s="59"/>
    </row>
    <row r="246" spans="1:10" ht="15.95" customHeight="1" x14ac:dyDescent="0.3">
      <c r="A246" s="60">
        <f t="shared" si="21"/>
        <v>788</v>
      </c>
      <c r="B246" s="9" t="s">
        <v>971</v>
      </c>
      <c r="C246" s="9"/>
      <c r="D246" s="60" t="s">
        <v>970</v>
      </c>
      <c r="E246" s="15" t="s">
        <v>436</v>
      </c>
      <c r="F246" s="15">
        <v>3</v>
      </c>
      <c r="G246" s="15">
        <v>2</v>
      </c>
      <c r="H246" s="60">
        <v>1</v>
      </c>
      <c r="I246" s="85"/>
      <c r="J246" s="59"/>
    </row>
    <row r="247" spans="1:10" ht="15.95" customHeight="1" x14ac:dyDescent="0.3">
      <c r="A247" s="60">
        <f t="shared" si="21"/>
        <v>790</v>
      </c>
      <c r="B247" s="9" t="s">
        <v>972</v>
      </c>
      <c r="C247" s="9"/>
      <c r="D247" s="60" t="s">
        <v>970</v>
      </c>
      <c r="E247" s="15" t="s">
        <v>436</v>
      </c>
      <c r="F247" s="15">
        <v>3</v>
      </c>
      <c r="G247" s="15">
        <v>2</v>
      </c>
      <c r="H247" s="60">
        <v>1</v>
      </c>
      <c r="I247" s="85"/>
      <c r="J247" s="59"/>
    </row>
    <row r="248" spans="1:10" ht="15.95" customHeight="1" x14ac:dyDescent="0.3">
      <c r="A248" s="60">
        <f t="shared" si="21"/>
        <v>792</v>
      </c>
      <c r="B248" s="9" t="s">
        <v>973</v>
      </c>
      <c r="C248" s="9"/>
      <c r="D248" s="60" t="s">
        <v>966</v>
      </c>
      <c r="E248" s="15" t="s">
        <v>436</v>
      </c>
      <c r="F248" s="15">
        <v>3</v>
      </c>
      <c r="G248" s="15">
        <v>2</v>
      </c>
      <c r="H248" s="60">
        <v>1</v>
      </c>
      <c r="I248" s="85"/>
      <c r="J248" s="59"/>
    </row>
    <row r="249" spans="1:10" ht="15.95" customHeight="1" x14ac:dyDescent="0.3">
      <c r="A249" s="60">
        <f t="shared" si="21"/>
        <v>794</v>
      </c>
      <c r="B249" s="9" t="s">
        <v>974</v>
      </c>
      <c r="C249" s="9"/>
      <c r="D249" s="60" t="s">
        <v>966</v>
      </c>
      <c r="E249" s="15" t="s">
        <v>436</v>
      </c>
      <c r="F249" s="15">
        <v>3</v>
      </c>
      <c r="G249" s="15">
        <v>2</v>
      </c>
      <c r="H249" s="60">
        <v>1</v>
      </c>
      <c r="I249" s="85"/>
      <c r="J249" s="59"/>
    </row>
    <row r="250" spans="1:10" ht="15.95" customHeight="1" x14ac:dyDescent="0.3">
      <c r="A250" s="60">
        <f t="shared" si="21"/>
        <v>796</v>
      </c>
      <c r="B250" s="9" t="s">
        <v>975</v>
      </c>
      <c r="C250" s="9"/>
      <c r="D250" s="60" t="s">
        <v>966</v>
      </c>
      <c r="E250" s="15" t="s">
        <v>436</v>
      </c>
      <c r="F250" s="15">
        <v>3</v>
      </c>
      <c r="G250" s="15">
        <v>2</v>
      </c>
      <c r="H250" s="60">
        <v>1</v>
      </c>
      <c r="I250" s="85"/>
      <c r="J250" s="59"/>
    </row>
    <row r="251" spans="1:10" ht="15.95" customHeight="1" x14ac:dyDescent="0.3">
      <c r="A251" s="60">
        <f t="shared" si="21"/>
        <v>798</v>
      </c>
      <c r="B251" s="9" t="s">
        <v>976</v>
      </c>
      <c r="C251" s="9"/>
      <c r="D251" s="60" t="s">
        <v>970</v>
      </c>
      <c r="E251" s="15" t="s">
        <v>436</v>
      </c>
      <c r="F251" s="15">
        <v>3</v>
      </c>
      <c r="G251" s="15">
        <v>2</v>
      </c>
      <c r="H251" s="60">
        <v>1</v>
      </c>
      <c r="I251" s="85"/>
      <c r="J251" s="59"/>
    </row>
    <row r="252" spans="1:10" ht="15.95" customHeight="1" x14ac:dyDescent="0.3">
      <c r="A252" s="60">
        <f t="shared" si="21"/>
        <v>800</v>
      </c>
      <c r="B252" s="9" t="s">
        <v>977</v>
      </c>
      <c r="C252" s="9"/>
      <c r="D252" s="60" t="s">
        <v>970</v>
      </c>
      <c r="E252" s="15" t="s">
        <v>436</v>
      </c>
      <c r="F252" s="15">
        <v>3</v>
      </c>
      <c r="G252" s="15">
        <v>2</v>
      </c>
      <c r="H252" s="60">
        <v>1</v>
      </c>
      <c r="I252" s="85"/>
      <c r="J252" s="59"/>
    </row>
    <row r="253" spans="1:10" ht="15.95" customHeight="1" x14ac:dyDescent="0.3">
      <c r="A253" s="60">
        <f t="shared" si="21"/>
        <v>802</v>
      </c>
      <c r="B253" s="9" t="s">
        <v>978</v>
      </c>
      <c r="C253" s="9"/>
      <c r="D253" s="60" t="s">
        <v>970</v>
      </c>
      <c r="E253" s="15" t="s">
        <v>436</v>
      </c>
      <c r="F253" s="15">
        <v>3</v>
      </c>
      <c r="G253" s="15">
        <v>2</v>
      </c>
      <c r="H253" s="60">
        <v>1</v>
      </c>
      <c r="I253" s="85"/>
      <c r="J253" s="59"/>
    </row>
    <row r="254" spans="1:10" ht="15.95" customHeight="1" x14ac:dyDescent="0.3">
      <c r="A254" s="60">
        <f t="shared" si="21"/>
        <v>804</v>
      </c>
      <c r="B254" s="149" t="s">
        <v>979</v>
      </c>
      <c r="C254" s="149" t="s">
        <v>980</v>
      </c>
      <c r="D254" s="150"/>
      <c r="E254" s="150" t="s">
        <v>436</v>
      </c>
      <c r="F254" s="150">
        <v>3</v>
      </c>
      <c r="G254" s="150">
        <v>2</v>
      </c>
      <c r="H254" s="150">
        <v>1</v>
      </c>
      <c r="I254" s="85"/>
      <c r="J254" s="59"/>
    </row>
    <row r="255" spans="1:10" ht="15.95" customHeight="1" x14ac:dyDescent="0.3">
      <c r="A255" s="60">
        <f t="shared" si="21"/>
        <v>806</v>
      </c>
      <c r="B255" s="149" t="s">
        <v>981</v>
      </c>
      <c r="C255" s="149"/>
      <c r="D255" s="150"/>
      <c r="E255" s="150" t="s">
        <v>436</v>
      </c>
      <c r="F255" s="150">
        <v>3</v>
      </c>
      <c r="G255" s="150">
        <v>2</v>
      </c>
      <c r="H255" s="150">
        <v>1</v>
      </c>
      <c r="I255" s="85"/>
      <c r="J255" s="59"/>
    </row>
    <row r="256" spans="1:10" ht="15.95" customHeight="1" x14ac:dyDescent="0.3">
      <c r="A256" s="60">
        <f t="shared" si="21"/>
        <v>808</v>
      </c>
      <c r="B256" s="149" t="s">
        <v>982</v>
      </c>
      <c r="C256" s="149"/>
      <c r="D256" s="150"/>
      <c r="E256" s="150" t="s">
        <v>436</v>
      </c>
      <c r="F256" s="150">
        <v>3</v>
      </c>
      <c r="G256" s="150">
        <v>2</v>
      </c>
      <c r="H256" s="150">
        <v>1</v>
      </c>
      <c r="I256" s="85"/>
      <c r="J256" s="59"/>
    </row>
    <row r="257" spans="1:10" ht="15.95" customHeight="1" x14ac:dyDescent="0.3">
      <c r="A257" s="60">
        <f t="shared" si="21"/>
        <v>810</v>
      </c>
      <c r="B257" s="149" t="s">
        <v>983</v>
      </c>
      <c r="C257" s="149" t="s">
        <v>984</v>
      </c>
      <c r="D257" s="150"/>
      <c r="E257" s="150" t="s">
        <v>436</v>
      </c>
      <c r="F257" s="150">
        <v>3</v>
      </c>
      <c r="G257" s="150">
        <v>2</v>
      </c>
      <c r="H257" s="150">
        <v>1</v>
      </c>
      <c r="I257" s="85"/>
      <c r="J257" s="59"/>
    </row>
    <row r="258" spans="1:10" ht="15.95" customHeight="1" x14ac:dyDescent="0.3">
      <c r="A258" s="60">
        <f t="shared" si="21"/>
        <v>812</v>
      </c>
      <c r="B258" s="149" t="s">
        <v>985</v>
      </c>
      <c r="C258" s="149"/>
      <c r="D258" s="150"/>
      <c r="E258" s="150" t="s">
        <v>436</v>
      </c>
      <c r="F258" s="150">
        <v>3</v>
      </c>
      <c r="G258" s="150">
        <v>2</v>
      </c>
      <c r="H258" s="150">
        <v>1</v>
      </c>
      <c r="I258" s="85"/>
      <c r="J258" s="59"/>
    </row>
    <row r="259" spans="1:10" ht="15.95" customHeight="1" x14ac:dyDescent="0.3">
      <c r="A259" s="60">
        <f t="shared" si="21"/>
        <v>814</v>
      </c>
      <c r="B259" s="149" t="s">
        <v>986</v>
      </c>
      <c r="C259" s="149"/>
      <c r="D259" s="150"/>
      <c r="E259" s="150" t="s">
        <v>436</v>
      </c>
      <c r="F259" s="150">
        <v>3</v>
      </c>
      <c r="G259" s="150">
        <v>2</v>
      </c>
      <c r="H259" s="150">
        <v>1</v>
      </c>
      <c r="I259" s="85"/>
      <c r="J259" s="59"/>
    </row>
    <row r="260" spans="1:10" ht="15.95" customHeight="1" x14ac:dyDescent="0.3">
      <c r="A260" s="60">
        <f t="shared" si="21"/>
        <v>816</v>
      </c>
      <c r="B260" s="149" t="s">
        <v>987</v>
      </c>
      <c r="C260" s="149" t="s">
        <v>988</v>
      </c>
      <c r="D260" s="150"/>
      <c r="E260" s="150" t="s">
        <v>436</v>
      </c>
      <c r="F260" s="150">
        <v>3</v>
      </c>
      <c r="G260" s="150">
        <v>2</v>
      </c>
      <c r="H260" s="150">
        <v>1</v>
      </c>
      <c r="I260" s="85"/>
      <c r="J260" s="59" t="s">
        <v>144</v>
      </c>
    </row>
    <row r="261" spans="1:10" ht="15.95" customHeight="1" x14ac:dyDescent="0.3">
      <c r="A261" s="60">
        <f t="shared" si="21"/>
        <v>818</v>
      </c>
      <c r="B261" s="149" t="s">
        <v>989</v>
      </c>
      <c r="C261" s="149"/>
      <c r="D261" s="150"/>
      <c r="E261" s="150" t="s">
        <v>436</v>
      </c>
      <c r="F261" s="150">
        <v>3</v>
      </c>
      <c r="G261" s="150">
        <v>2</v>
      </c>
      <c r="H261" s="150">
        <v>1</v>
      </c>
      <c r="I261" s="85"/>
      <c r="J261" s="59"/>
    </row>
    <row r="262" spans="1:10" ht="15.95" customHeight="1" x14ac:dyDescent="0.3">
      <c r="A262" s="60">
        <f t="shared" si="21"/>
        <v>820</v>
      </c>
      <c r="B262" s="149" t="s">
        <v>990</v>
      </c>
      <c r="C262" s="149"/>
      <c r="D262" s="150"/>
      <c r="E262" s="150" t="s">
        <v>436</v>
      </c>
      <c r="F262" s="150">
        <v>3</v>
      </c>
      <c r="G262" s="150">
        <v>2</v>
      </c>
      <c r="H262" s="150">
        <v>1</v>
      </c>
      <c r="I262" s="85"/>
      <c r="J262" s="59"/>
    </row>
    <row r="263" spans="1:10" ht="27" x14ac:dyDescent="0.3">
      <c r="A263" s="60">
        <f t="shared" si="21"/>
        <v>822</v>
      </c>
      <c r="B263" s="149" t="s">
        <v>991</v>
      </c>
      <c r="C263" s="149" t="s">
        <v>992</v>
      </c>
      <c r="D263" s="150"/>
      <c r="E263" s="150" t="s">
        <v>436</v>
      </c>
      <c r="F263" s="150">
        <v>3</v>
      </c>
      <c r="G263" s="150">
        <v>2</v>
      </c>
      <c r="H263" s="150">
        <v>1</v>
      </c>
      <c r="I263" s="85"/>
      <c r="J263" s="59"/>
    </row>
    <row r="264" spans="1:10" ht="15.95" customHeight="1" x14ac:dyDescent="0.3">
      <c r="A264" s="60">
        <f t="shared" si="21"/>
        <v>824</v>
      </c>
      <c r="B264" s="149" t="s">
        <v>993</v>
      </c>
      <c r="C264" s="149"/>
      <c r="D264" s="150"/>
      <c r="E264" s="150" t="s">
        <v>436</v>
      </c>
      <c r="F264" s="150">
        <v>3</v>
      </c>
      <c r="G264" s="150">
        <v>2</v>
      </c>
      <c r="H264" s="150">
        <v>1</v>
      </c>
      <c r="I264" s="85"/>
      <c r="J264" s="59"/>
    </row>
    <row r="265" spans="1:10" ht="15.95" customHeight="1" x14ac:dyDescent="0.3">
      <c r="A265" s="60">
        <f t="shared" si="21"/>
        <v>826</v>
      </c>
      <c r="B265" s="149" t="s">
        <v>994</v>
      </c>
      <c r="C265" s="149"/>
      <c r="D265" s="150"/>
      <c r="E265" s="150" t="s">
        <v>436</v>
      </c>
      <c r="F265" s="150">
        <v>3</v>
      </c>
      <c r="G265" s="150">
        <v>2</v>
      </c>
      <c r="H265" s="150">
        <v>1</v>
      </c>
      <c r="I265" s="85"/>
      <c r="J265" s="59"/>
    </row>
    <row r="266" spans="1:10" ht="40.5" x14ac:dyDescent="0.3">
      <c r="A266" s="60">
        <f t="shared" si="21"/>
        <v>828</v>
      </c>
      <c r="B266" s="149" t="s">
        <v>995</v>
      </c>
      <c r="C266" s="149" t="s">
        <v>996</v>
      </c>
      <c r="D266" s="150"/>
      <c r="E266" s="150" t="s">
        <v>436</v>
      </c>
      <c r="F266" s="150">
        <v>3</v>
      </c>
      <c r="G266" s="150">
        <v>2</v>
      </c>
      <c r="H266" s="150">
        <v>1</v>
      </c>
      <c r="I266" s="85"/>
      <c r="J266" s="59"/>
    </row>
    <row r="267" spans="1:10" ht="15.95" customHeight="1" x14ac:dyDescent="0.3">
      <c r="A267" s="60">
        <f t="shared" si="21"/>
        <v>830</v>
      </c>
      <c r="B267" s="149" t="s">
        <v>997</v>
      </c>
      <c r="C267" s="149"/>
      <c r="D267" s="150"/>
      <c r="E267" s="150" t="s">
        <v>436</v>
      </c>
      <c r="F267" s="150">
        <v>3</v>
      </c>
      <c r="G267" s="150">
        <v>2</v>
      </c>
      <c r="H267" s="150">
        <v>1</v>
      </c>
      <c r="I267" s="85"/>
      <c r="J267" s="59"/>
    </row>
    <row r="268" spans="1:10" ht="15.95" customHeight="1" x14ac:dyDescent="0.3">
      <c r="A268" s="60">
        <f t="shared" si="21"/>
        <v>832</v>
      </c>
      <c r="B268" s="149" t="s">
        <v>998</v>
      </c>
      <c r="C268" s="149"/>
      <c r="D268" s="150"/>
      <c r="E268" s="150" t="s">
        <v>436</v>
      </c>
      <c r="F268" s="150">
        <v>3</v>
      </c>
      <c r="G268" s="150">
        <v>2</v>
      </c>
      <c r="H268" s="150">
        <v>1</v>
      </c>
      <c r="I268" s="85"/>
      <c r="J268" s="59"/>
    </row>
    <row r="269" spans="1:10" ht="15.95" customHeight="1" x14ac:dyDescent="0.3">
      <c r="A269" s="60">
        <f t="shared" si="21"/>
        <v>834</v>
      </c>
      <c r="B269" s="9"/>
      <c r="C269" s="9"/>
      <c r="D269" s="60"/>
      <c r="E269" s="15" t="s">
        <v>436</v>
      </c>
      <c r="F269" s="15">
        <v>3</v>
      </c>
      <c r="G269" s="15">
        <v>2</v>
      </c>
      <c r="H269" s="60">
        <v>23</v>
      </c>
      <c r="I269" s="85"/>
      <c r="J269" s="59"/>
    </row>
    <row r="270" spans="1:10" ht="15.95" customHeight="1" x14ac:dyDescent="0.3">
      <c r="A270" s="162" t="s">
        <v>685</v>
      </c>
      <c r="B270" s="162"/>
      <c r="C270" s="162"/>
      <c r="D270" s="162"/>
      <c r="E270" s="162"/>
      <c r="F270" s="162"/>
      <c r="G270" s="162"/>
      <c r="H270" s="162"/>
      <c r="I270" s="88"/>
    </row>
    <row r="271" spans="1:10" ht="15.95" customHeight="1" x14ac:dyDescent="0.3">
      <c r="A271" s="60">
        <f>A269+(G269*H269)</f>
        <v>880</v>
      </c>
      <c r="B271" s="9" t="s">
        <v>746</v>
      </c>
      <c r="C271" s="9"/>
      <c r="D271" s="60"/>
      <c r="E271" s="15" t="s">
        <v>91</v>
      </c>
      <c r="F271" s="15">
        <v>3</v>
      </c>
      <c r="G271" s="15">
        <f>IF(OR(D271="U16", D271="S16"),1,IF(D271="TS",6,2))</f>
        <v>2</v>
      </c>
      <c r="H271" s="60">
        <v>1</v>
      </c>
      <c r="I271" s="85"/>
    </row>
    <row r="272" spans="1:10" ht="15.95" customHeight="1" x14ac:dyDescent="0.3">
      <c r="A272" s="60">
        <f t="shared" ref="A272:A289" si="22">A271+(G271*H271)</f>
        <v>882</v>
      </c>
      <c r="B272" s="9" t="s">
        <v>747</v>
      </c>
      <c r="C272" s="9"/>
      <c r="D272" s="60"/>
      <c r="E272" s="15" t="s">
        <v>91</v>
      </c>
      <c r="F272" s="15">
        <v>3</v>
      </c>
      <c r="G272" s="15">
        <f>IF(OR(D272="U16", D272="S16"),1,IF(D272="TS",6,2))</f>
        <v>2</v>
      </c>
      <c r="H272" s="60">
        <v>1</v>
      </c>
      <c r="I272" s="85"/>
    </row>
    <row r="273" spans="1:10" ht="405" x14ac:dyDescent="0.3">
      <c r="A273" s="60">
        <f t="shared" si="22"/>
        <v>884</v>
      </c>
      <c r="B273" s="9" t="s">
        <v>748</v>
      </c>
      <c r="C273" s="9" t="s">
        <v>1089</v>
      </c>
      <c r="D273" s="33"/>
      <c r="E273" s="15" t="s">
        <v>145</v>
      </c>
      <c r="F273" s="15">
        <v>3</v>
      </c>
      <c r="G273" s="15">
        <f>IF(OR(D273="U16", D273="S16"),1,IF(D273="TS",6,2))</f>
        <v>2</v>
      </c>
      <c r="H273" s="60">
        <v>1</v>
      </c>
      <c r="I273" s="85"/>
    </row>
    <row r="274" spans="1:10" ht="15.95" customHeight="1" x14ac:dyDescent="0.3">
      <c r="A274" s="60">
        <f t="shared" si="22"/>
        <v>886</v>
      </c>
      <c r="B274" s="9" t="s">
        <v>749</v>
      </c>
      <c r="C274" s="9">
        <v>0</v>
      </c>
      <c r="D274" s="60"/>
      <c r="E274" s="15" t="s">
        <v>123</v>
      </c>
      <c r="F274" s="15">
        <v>3</v>
      </c>
      <c r="G274" s="15">
        <v>1</v>
      </c>
      <c r="H274" s="60">
        <v>1</v>
      </c>
      <c r="I274" s="85"/>
      <c r="J274" s="10" t="s">
        <v>125</v>
      </c>
    </row>
    <row r="275" spans="1:10" ht="15.95" customHeight="1" x14ac:dyDescent="0.3">
      <c r="A275" s="60">
        <f t="shared" si="22"/>
        <v>887</v>
      </c>
      <c r="B275" s="9" t="s">
        <v>750</v>
      </c>
      <c r="C275" s="9">
        <v>1</v>
      </c>
      <c r="D275" s="60"/>
      <c r="E275" s="15" t="s">
        <v>123</v>
      </c>
      <c r="F275" s="15">
        <v>3</v>
      </c>
      <c r="G275" s="15">
        <v>1</v>
      </c>
      <c r="H275" s="60">
        <v>1</v>
      </c>
      <c r="I275" s="85"/>
      <c r="J275" s="10" t="s">
        <v>126</v>
      </c>
    </row>
    <row r="276" spans="1:10" ht="15.95" customHeight="1" x14ac:dyDescent="0.3">
      <c r="A276" s="60">
        <f t="shared" si="22"/>
        <v>888</v>
      </c>
      <c r="B276" s="9" t="s">
        <v>751</v>
      </c>
      <c r="C276" s="173">
        <v>2</v>
      </c>
      <c r="D276" s="60"/>
      <c r="E276" s="15" t="s">
        <v>123</v>
      </c>
      <c r="F276" s="15">
        <v>3</v>
      </c>
      <c r="G276" s="15">
        <v>1</v>
      </c>
      <c r="H276" s="60">
        <v>1</v>
      </c>
      <c r="I276" s="85"/>
    </row>
    <row r="277" spans="1:10" ht="15.95" customHeight="1" x14ac:dyDescent="0.3">
      <c r="A277" s="60">
        <f t="shared" si="22"/>
        <v>889</v>
      </c>
      <c r="B277" s="9" t="s">
        <v>752</v>
      </c>
      <c r="C277" s="173"/>
      <c r="D277" s="60"/>
      <c r="E277" s="15" t="s">
        <v>123</v>
      </c>
      <c r="F277" s="15">
        <v>3</v>
      </c>
      <c r="G277" s="15">
        <v>1</v>
      </c>
      <c r="H277" s="60">
        <v>1</v>
      </c>
      <c r="I277" s="85"/>
    </row>
    <row r="278" spans="1:10" ht="15.95" customHeight="1" x14ac:dyDescent="0.3">
      <c r="A278" s="60">
        <f t="shared" si="22"/>
        <v>890</v>
      </c>
      <c r="B278" s="9" t="s">
        <v>753</v>
      </c>
      <c r="C278" s="173"/>
      <c r="D278" s="60"/>
      <c r="E278" s="15" t="s">
        <v>123</v>
      </c>
      <c r="F278" s="15">
        <v>3</v>
      </c>
      <c r="G278" s="15">
        <v>1</v>
      </c>
      <c r="H278" s="60">
        <v>1</v>
      </c>
      <c r="I278" s="85"/>
      <c r="J278" s="10" t="s">
        <v>125</v>
      </c>
    </row>
    <row r="279" spans="1:10" ht="15.95" customHeight="1" x14ac:dyDescent="0.3">
      <c r="A279" s="60">
        <f t="shared" si="22"/>
        <v>891</v>
      </c>
      <c r="B279" s="9" t="s">
        <v>754</v>
      </c>
      <c r="C279" s="173">
        <v>3</v>
      </c>
      <c r="D279" s="60"/>
      <c r="E279" s="15" t="s">
        <v>123</v>
      </c>
      <c r="F279" s="15">
        <v>3</v>
      </c>
      <c r="G279" s="15">
        <v>1</v>
      </c>
      <c r="H279" s="60">
        <v>1</v>
      </c>
      <c r="I279" s="85"/>
    </row>
    <row r="280" spans="1:10" ht="15.95" customHeight="1" x14ac:dyDescent="0.3">
      <c r="A280" s="60">
        <f t="shared" si="22"/>
        <v>892</v>
      </c>
      <c r="B280" s="9" t="s">
        <v>755</v>
      </c>
      <c r="C280" s="173"/>
      <c r="D280" s="60"/>
      <c r="E280" s="15" t="s">
        <v>123</v>
      </c>
      <c r="F280" s="15">
        <v>3</v>
      </c>
      <c r="G280" s="15">
        <v>1</v>
      </c>
      <c r="H280" s="60">
        <v>1</v>
      </c>
      <c r="I280" s="85"/>
    </row>
    <row r="281" spans="1:10" ht="15.95" customHeight="1" x14ac:dyDescent="0.3">
      <c r="A281" s="60">
        <f t="shared" si="22"/>
        <v>893</v>
      </c>
      <c r="B281" s="9" t="s">
        <v>756</v>
      </c>
      <c r="C281" s="173"/>
      <c r="D281" s="60"/>
      <c r="E281" s="15" t="s">
        <v>123</v>
      </c>
      <c r="F281" s="15">
        <v>3</v>
      </c>
      <c r="G281" s="15">
        <v>1</v>
      </c>
      <c r="H281" s="60">
        <v>1</v>
      </c>
      <c r="I281" s="85"/>
      <c r="J281" s="10" t="s">
        <v>126</v>
      </c>
    </row>
    <row r="282" spans="1:10" ht="15.95" customHeight="1" x14ac:dyDescent="0.3">
      <c r="A282" s="60">
        <f t="shared" si="22"/>
        <v>894</v>
      </c>
      <c r="B282" s="9" t="s">
        <v>757</v>
      </c>
      <c r="C282" s="9">
        <v>4</v>
      </c>
      <c r="D282" s="60"/>
      <c r="E282" s="15" t="s">
        <v>123</v>
      </c>
      <c r="F282" s="15">
        <v>3</v>
      </c>
      <c r="G282" s="15">
        <v>1</v>
      </c>
      <c r="H282" s="60">
        <v>1</v>
      </c>
      <c r="I282" s="85"/>
    </row>
    <row r="283" spans="1:10" ht="15.95" customHeight="1" x14ac:dyDescent="0.3">
      <c r="A283" s="15">
        <f t="shared" si="22"/>
        <v>895</v>
      </c>
      <c r="B283" s="9" t="s">
        <v>758</v>
      </c>
      <c r="C283" s="173">
        <v>5</v>
      </c>
      <c r="D283" s="60"/>
      <c r="E283" s="15" t="s">
        <v>123</v>
      </c>
      <c r="F283" s="15">
        <v>3</v>
      </c>
      <c r="G283" s="15">
        <v>1</v>
      </c>
      <c r="H283" s="60">
        <v>1</v>
      </c>
      <c r="I283" s="85"/>
    </row>
    <row r="284" spans="1:10" ht="15.95" customHeight="1" x14ac:dyDescent="0.3">
      <c r="A284" s="15">
        <f t="shared" si="22"/>
        <v>896</v>
      </c>
      <c r="B284" s="9" t="s">
        <v>759</v>
      </c>
      <c r="C284" s="173"/>
      <c r="D284" s="60"/>
      <c r="E284" s="15" t="s">
        <v>123</v>
      </c>
      <c r="F284" s="15">
        <v>3</v>
      </c>
      <c r="G284" s="15">
        <v>1</v>
      </c>
      <c r="H284" s="60">
        <v>1</v>
      </c>
      <c r="I284" s="85"/>
      <c r="J284" s="10" t="s">
        <v>126</v>
      </c>
    </row>
    <row r="285" spans="1:10" ht="15.95" customHeight="1" x14ac:dyDescent="0.3">
      <c r="A285" s="15">
        <f t="shared" si="22"/>
        <v>897</v>
      </c>
      <c r="B285" s="9" t="s">
        <v>760</v>
      </c>
      <c r="C285" s="173"/>
      <c r="D285" s="60"/>
      <c r="E285" s="15" t="s">
        <v>123</v>
      </c>
      <c r="F285" s="15">
        <v>3</v>
      </c>
      <c r="G285" s="15">
        <v>1</v>
      </c>
      <c r="H285" s="60">
        <v>1</v>
      </c>
      <c r="I285" s="85"/>
    </row>
    <row r="286" spans="1:10" ht="15.95" customHeight="1" x14ac:dyDescent="0.3">
      <c r="A286" s="15">
        <f t="shared" si="22"/>
        <v>898</v>
      </c>
      <c r="B286" s="9" t="s">
        <v>761</v>
      </c>
      <c r="C286" s="173">
        <v>6</v>
      </c>
      <c r="D286" s="60"/>
      <c r="E286" s="15" t="s">
        <v>123</v>
      </c>
      <c r="F286" s="15">
        <v>3</v>
      </c>
      <c r="G286" s="15">
        <v>1</v>
      </c>
      <c r="H286" s="60">
        <v>1</v>
      </c>
      <c r="I286" s="85"/>
    </row>
    <row r="287" spans="1:10" ht="15.95" customHeight="1" x14ac:dyDescent="0.3">
      <c r="A287" s="15">
        <f t="shared" si="22"/>
        <v>899</v>
      </c>
      <c r="B287" s="9" t="s">
        <v>762</v>
      </c>
      <c r="C287" s="173"/>
      <c r="D287" s="60"/>
      <c r="E287" s="15" t="s">
        <v>123</v>
      </c>
      <c r="F287" s="15">
        <v>3</v>
      </c>
      <c r="G287" s="15">
        <v>1</v>
      </c>
      <c r="H287" s="60">
        <v>1</v>
      </c>
      <c r="I287" s="85"/>
      <c r="J287" s="10" t="s">
        <v>126</v>
      </c>
    </row>
    <row r="288" spans="1:10" ht="15.95" customHeight="1" x14ac:dyDescent="0.3">
      <c r="A288" s="15">
        <f t="shared" si="22"/>
        <v>900</v>
      </c>
      <c r="B288" s="9" t="s">
        <v>763</v>
      </c>
      <c r="C288" s="173"/>
      <c r="D288" s="60"/>
      <c r="E288" s="15" t="s">
        <v>123</v>
      </c>
      <c r="F288" s="15">
        <v>3</v>
      </c>
      <c r="G288" s="15">
        <v>1</v>
      </c>
      <c r="H288" s="60">
        <v>1</v>
      </c>
      <c r="I288" s="85"/>
    </row>
    <row r="289" spans="1:10" ht="15.95" customHeight="1" x14ac:dyDescent="0.3">
      <c r="A289" s="60">
        <f t="shared" si="22"/>
        <v>901</v>
      </c>
      <c r="B289" s="149" t="s">
        <v>764</v>
      </c>
      <c r="C289" s="184">
        <v>7</v>
      </c>
      <c r="D289" s="150"/>
      <c r="E289" s="150" t="s">
        <v>123</v>
      </c>
      <c r="F289" s="150">
        <v>3</v>
      </c>
      <c r="G289" s="150">
        <v>1</v>
      </c>
      <c r="H289" s="150">
        <v>1</v>
      </c>
      <c r="I289" s="91"/>
    </row>
    <row r="290" spans="1:10" ht="15.95" customHeight="1" x14ac:dyDescent="0.3">
      <c r="A290" s="60">
        <f>A289+(G289*H289)</f>
        <v>902</v>
      </c>
      <c r="B290" s="149" t="s">
        <v>765</v>
      </c>
      <c r="C290" s="184"/>
      <c r="D290" s="150"/>
      <c r="E290" s="150" t="s">
        <v>123</v>
      </c>
      <c r="F290" s="150">
        <v>3</v>
      </c>
      <c r="G290" s="150">
        <v>1</v>
      </c>
      <c r="H290" s="150">
        <v>1</v>
      </c>
      <c r="I290" s="91"/>
      <c r="J290" s="10" t="s">
        <v>126</v>
      </c>
    </row>
    <row r="291" spans="1:10" ht="15.95" customHeight="1" x14ac:dyDescent="0.3">
      <c r="A291" s="60">
        <f>A290+(G290*H290)</f>
        <v>903</v>
      </c>
      <c r="B291" s="149" t="s">
        <v>766</v>
      </c>
      <c r="C291" s="184"/>
      <c r="D291" s="150"/>
      <c r="E291" s="150" t="s">
        <v>123</v>
      </c>
      <c r="F291" s="150">
        <v>3</v>
      </c>
      <c r="G291" s="150">
        <v>1</v>
      </c>
      <c r="H291" s="150">
        <v>1</v>
      </c>
      <c r="I291" s="91"/>
    </row>
    <row r="292" spans="1:10" ht="15.95" customHeight="1" x14ac:dyDescent="0.3">
      <c r="A292" s="60">
        <f>A291+(G291*H291)</f>
        <v>904</v>
      </c>
      <c r="B292" s="149" t="s">
        <v>767</v>
      </c>
      <c r="C292" s="184">
        <v>8</v>
      </c>
      <c r="D292" s="150"/>
      <c r="E292" s="150" t="s">
        <v>123</v>
      </c>
      <c r="F292" s="150">
        <v>3</v>
      </c>
      <c r="G292" s="150">
        <v>1</v>
      </c>
      <c r="H292" s="150">
        <v>1</v>
      </c>
      <c r="I292" s="91"/>
    </row>
    <row r="293" spans="1:10" ht="15.95" customHeight="1" x14ac:dyDescent="0.3">
      <c r="A293" s="60">
        <f>A292+(G292*H292)</f>
        <v>905</v>
      </c>
      <c r="B293" s="149" t="s">
        <v>768</v>
      </c>
      <c r="C293" s="184"/>
      <c r="D293" s="150"/>
      <c r="E293" s="150" t="s">
        <v>123</v>
      </c>
      <c r="F293" s="150">
        <v>3</v>
      </c>
      <c r="G293" s="150">
        <v>1</v>
      </c>
      <c r="H293" s="150">
        <v>1</v>
      </c>
      <c r="I293" s="91"/>
      <c r="J293" s="10" t="s">
        <v>125</v>
      </c>
    </row>
    <row r="294" spans="1:10" ht="15.95" customHeight="1" x14ac:dyDescent="0.3">
      <c r="A294" s="60">
        <f>A293+(G293*H293)</f>
        <v>906</v>
      </c>
      <c r="B294" s="149" t="s">
        <v>769</v>
      </c>
      <c r="C294" s="184"/>
      <c r="D294" s="150"/>
      <c r="E294" s="150" t="s">
        <v>123</v>
      </c>
      <c r="F294" s="150">
        <v>3</v>
      </c>
      <c r="G294" s="150">
        <v>1</v>
      </c>
      <c r="H294" s="150">
        <v>1</v>
      </c>
      <c r="I294" s="91"/>
    </row>
    <row r="295" spans="1:10" ht="15.95" customHeight="1" x14ac:dyDescent="0.3">
      <c r="A295" s="60">
        <f t="shared" ref="A295:A317" si="23">A294+(G294*H294)</f>
        <v>907</v>
      </c>
      <c r="B295" s="149" t="s">
        <v>770</v>
      </c>
      <c r="C295" s="184">
        <v>9</v>
      </c>
      <c r="D295" s="150"/>
      <c r="E295" s="150" t="s">
        <v>123</v>
      </c>
      <c r="F295" s="150">
        <v>3</v>
      </c>
      <c r="G295" s="150">
        <v>1</v>
      </c>
      <c r="H295" s="150">
        <v>1</v>
      </c>
      <c r="I295" s="91"/>
    </row>
    <row r="296" spans="1:10" ht="15.95" customHeight="1" x14ac:dyDescent="0.3">
      <c r="A296" s="60">
        <f t="shared" si="23"/>
        <v>908</v>
      </c>
      <c r="B296" s="149" t="s">
        <v>771</v>
      </c>
      <c r="C296" s="184"/>
      <c r="D296" s="150"/>
      <c r="E296" s="150" t="s">
        <v>123</v>
      </c>
      <c r="F296" s="150">
        <v>3</v>
      </c>
      <c r="G296" s="150">
        <v>1</v>
      </c>
      <c r="H296" s="150">
        <v>1</v>
      </c>
      <c r="I296" s="91"/>
      <c r="J296" s="10" t="s">
        <v>125</v>
      </c>
    </row>
    <row r="297" spans="1:10" ht="15.95" customHeight="1" x14ac:dyDescent="0.3">
      <c r="A297" s="60">
        <f t="shared" si="23"/>
        <v>909</v>
      </c>
      <c r="B297" s="149" t="s">
        <v>772</v>
      </c>
      <c r="C297" s="184"/>
      <c r="D297" s="150"/>
      <c r="E297" s="150" t="s">
        <v>123</v>
      </c>
      <c r="F297" s="150">
        <v>3</v>
      </c>
      <c r="G297" s="150">
        <v>1</v>
      </c>
      <c r="H297" s="150">
        <v>1</v>
      </c>
      <c r="I297" s="91"/>
    </row>
    <row r="298" spans="1:10" ht="15.95" customHeight="1" x14ac:dyDescent="0.3">
      <c r="A298" s="60">
        <f t="shared" si="23"/>
        <v>910</v>
      </c>
      <c r="B298" s="9" t="s">
        <v>773</v>
      </c>
      <c r="C298" s="173"/>
      <c r="D298" s="60"/>
      <c r="E298" s="15" t="s">
        <v>123</v>
      </c>
      <c r="F298" s="15">
        <v>3</v>
      </c>
      <c r="G298" s="15">
        <v>1</v>
      </c>
      <c r="H298" s="60">
        <v>1</v>
      </c>
      <c r="I298" s="85"/>
    </row>
    <row r="299" spans="1:10" ht="15.95" customHeight="1" x14ac:dyDescent="0.3">
      <c r="A299" s="60">
        <f t="shared" si="23"/>
        <v>911</v>
      </c>
      <c r="B299" s="9" t="s">
        <v>774</v>
      </c>
      <c r="C299" s="173"/>
      <c r="D299" s="60"/>
      <c r="E299" s="15" t="s">
        <v>123</v>
      </c>
      <c r="F299" s="15">
        <v>3</v>
      </c>
      <c r="G299" s="15">
        <v>1</v>
      </c>
      <c r="H299" s="60">
        <v>1</v>
      </c>
      <c r="I299" s="85"/>
      <c r="J299" s="10" t="s">
        <v>127</v>
      </c>
    </row>
    <row r="300" spans="1:10" ht="15.95" customHeight="1" x14ac:dyDescent="0.3">
      <c r="A300" s="60">
        <f t="shared" si="23"/>
        <v>912</v>
      </c>
      <c r="B300" s="9" t="s">
        <v>775</v>
      </c>
      <c r="C300" s="173"/>
      <c r="D300" s="60"/>
      <c r="E300" s="15" t="s">
        <v>123</v>
      </c>
      <c r="F300" s="15">
        <v>3</v>
      </c>
      <c r="G300" s="15">
        <v>1</v>
      </c>
      <c r="H300" s="60">
        <v>1</v>
      </c>
      <c r="I300" s="85"/>
    </row>
    <row r="301" spans="1:10" ht="15.95" customHeight="1" x14ac:dyDescent="0.3">
      <c r="A301" s="60">
        <f t="shared" si="23"/>
        <v>913</v>
      </c>
      <c r="B301" s="9" t="s">
        <v>776</v>
      </c>
      <c r="C301" s="173"/>
      <c r="D301" s="60"/>
      <c r="E301" s="15" t="s">
        <v>123</v>
      </c>
      <c r="F301" s="15">
        <v>3</v>
      </c>
      <c r="G301" s="15">
        <v>1</v>
      </c>
      <c r="H301" s="60">
        <v>1</v>
      </c>
      <c r="I301" s="85"/>
    </row>
    <row r="302" spans="1:10" ht="15.95" customHeight="1" x14ac:dyDescent="0.3">
      <c r="A302" s="60">
        <f t="shared" si="23"/>
        <v>914</v>
      </c>
      <c r="B302" s="9" t="s">
        <v>777</v>
      </c>
      <c r="C302" s="173"/>
      <c r="D302" s="60"/>
      <c r="E302" s="15" t="s">
        <v>123</v>
      </c>
      <c r="F302" s="15">
        <v>3</v>
      </c>
      <c r="G302" s="15">
        <v>1</v>
      </c>
      <c r="H302" s="60">
        <v>1</v>
      </c>
      <c r="I302" s="85"/>
    </row>
    <row r="303" spans="1:10" ht="15.95" customHeight="1" x14ac:dyDescent="0.3">
      <c r="A303" s="60">
        <f t="shared" si="23"/>
        <v>915</v>
      </c>
      <c r="B303" s="9" t="s">
        <v>778</v>
      </c>
      <c r="C303" s="173"/>
      <c r="D303" s="60"/>
      <c r="E303" s="15" t="s">
        <v>123</v>
      </c>
      <c r="F303" s="15">
        <v>3</v>
      </c>
      <c r="G303" s="15">
        <v>1</v>
      </c>
      <c r="H303" s="60">
        <v>1</v>
      </c>
      <c r="I303" s="85"/>
    </row>
    <row r="304" spans="1:10" ht="15.95" customHeight="1" x14ac:dyDescent="0.3">
      <c r="A304" s="60">
        <f t="shared" si="23"/>
        <v>916</v>
      </c>
      <c r="B304" s="9" t="s">
        <v>779</v>
      </c>
      <c r="C304" s="173"/>
      <c r="D304" s="60"/>
      <c r="E304" s="15" t="s">
        <v>123</v>
      </c>
      <c r="F304" s="15">
        <v>3</v>
      </c>
      <c r="G304" s="15">
        <v>1</v>
      </c>
      <c r="H304" s="60">
        <v>1</v>
      </c>
      <c r="I304" s="85"/>
    </row>
    <row r="305" spans="1:9" ht="15.95" customHeight="1" x14ac:dyDescent="0.3">
      <c r="A305" s="60">
        <f t="shared" si="23"/>
        <v>917</v>
      </c>
      <c r="B305" s="9" t="s">
        <v>780</v>
      </c>
      <c r="C305" s="173"/>
      <c r="D305" s="60"/>
      <c r="E305" s="15" t="s">
        <v>123</v>
      </c>
      <c r="F305" s="15">
        <v>3</v>
      </c>
      <c r="G305" s="15">
        <v>1</v>
      </c>
      <c r="H305" s="60">
        <v>1</v>
      </c>
      <c r="I305" s="85"/>
    </row>
    <row r="306" spans="1:9" ht="15.95" customHeight="1" x14ac:dyDescent="0.3">
      <c r="A306" s="60">
        <f t="shared" si="23"/>
        <v>918</v>
      </c>
      <c r="B306" s="9" t="s">
        <v>781</v>
      </c>
      <c r="C306" s="173"/>
      <c r="D306" s="60"/>
      <c r="E306" s="15" t="s">
        <v>123</v>
      </c>
      <c r="F306" s="15">
        <v>3</v>
      </c>
      <c r="G306" s="15">
        <v>1</v>
      </c>
      <c r="H306" s="60">
        <v>1</v>
      </c>
      <c r="I306" s="85"/>
    </row>
    <row r="307" spans="1:9" ht="15.95" customHeight="1" x14ac:dyDescent="0.3">
      <c r="A307" s="60">
        <f t="shared" si="23"/>
        <v>919</v>
      </c>
      <c r="B307" s="9" t="s">
        <v>782</v>
      </c>
      <c r="C307" s="173"/>
      <c r="D307" s="60"/>
      <c r="E307" s="15" t="s">
        <v>123</v>
      </c>
      <c r="F307" s="15">
        <v>3</v>
      </c>
      <c r="G307" s="15">
        <v>1</v>
      </c>
      <c r="H307" s="60">
        <v>1</v>
      </c>
      <c r="I307" s="85"/>
    </row>
    <row r="308" spans="1:9" ht="15.95" customHeight="1" x14ac:dyDescent="0.3">
      <c r="A308" s="60">
        <f t="shared" si="23"/>
        <v>920</v>
      </c>
      <c r="B308" s="9" t="s">
        <v>783</v>
      </c>
      <c r="C308" s="173"/>
      <c r="D308" s="60"/>
      <c r="E308" s="15" t="s">
        <v>123</v>
      </c>
      <c r="F308" s="15">
        <v>3</v>
      </c>
      <c r="G308" s="15">
        <v>1</v>
      </c>
      <c r="H308" s="60">
        <v>1</v>
      </c>
      <c r="I308" s="85"/>
    </row>
    <row r="309" spans="1:9" ht="15.95" customHeight="1" x14ac:dyDescent="0.3">
      <c r="A309" s="60">
        <f t="shared" si="23"/>
        <v>921</v>
      </c>
      <c r="B309" s="9" t="s">
        <v>784</v>
      </c>
      <c r="C309" s="173"/>
      <c r="D309" s="60"/>
      <c r="E309" s="15" t="s">
        <v>123</v>
      </c>
      <c r="F309" s="15">
        <v>3</v>
      </c>
      <c r="G309" s="15">
        <v>1</v>
      </c>
      <c r="H309" s="60">
        <v>1</v>
      </c>
      <c r="I309" s="85"/>
    </row>
    <row r="310" spans="1:9" ht="15.95" customHeight="1" x14ac:dyDescent="0.3">
      <c r="A310" s="60">
        <f t="shared" si="23"/>
        <v>922</v>
      </c>
      <c r="B310" s="9" t="s">
        <v>785</v>
      </c>
      <c r="C310" s="173"/>
      <c r="D310" s="60"/>
      <c r="E310" s="15" t="s">
        <v>123</v>
      </c>
      <c r="F310" s="15">
        <v>3</v>
      </c>
      <c r="G310" s="15">
        <v>1</v>
      </c>
      <c r="H310" s="60">
        <v>1</v>
      </c>
      <c r="I310" s="85"/>
    </row>
    <row r="311" spans="1:9" ht="15.95" customHeight="1" x14ac:dyDescent="0.3">
      <c r="A311" s="60">
        <f t="shared" si="23"/>
        <v>923</v>
      </c>
      <c r="B311" s="9" t="s">
        <v>786</v>
      </c>
      <c r="C311" s="173"/>
      <c r="D311" s="60"/>
      <c r="E311" s="15" t="s">
        <v>123</v>
      </c>
      <c r="F311" s="15">
        <v>3</v>
      </c>
      <c r="G311" s="15">
        <v>1</v>
      </c>
      <c r="H311" s="60">
        <v>1</v>
      </c>
      <c r="I311" s="85"/>
    </row>
    <row r="312" spans="1:9" ht="15.95" customHeight="1" x14ac:dyDescent="0.3">
      <c r="A312" s="60">
        <f t="shared" si="23"/>
        <v>924</v>
      </c>
      <c r="B312" s="9" t="s">
        <v>787</v>
      </c>
      <c r="C312" s="173"/>
      <c r="D312" s="60"/>
      <c r="E312" s="15" t="s">
        <v>123</v>
      </c>
      <c r="F312" s="15">
        <v>3</v>
      </c>
      <c r="G312" s="15">
        <v>1</v>
      </c>
      <c r="H312" s="60">
        <v>1</v>
      </c>
      <c r="I312" s="85"/>
    </row>
    <row r="313" spans="1:9" ht="15.95" customHeight="1" x14ac:dyDescent="0.3">
      <c r="A313" s="60">
        <f t="shared" si="23"/>
        <v>925</v>
      </c>
      <c r="B313" s="9" t="s">
        <v>788</v>
      </c>
      <c r="C313" s="173"/>
      <c r="D313" s="60"/>
      <c r="E313" s="15" t="s">
        <v>123</v>
      </c>
      <c r="F313" s="15">
        <v>3</v>
      </c>
      <c r="G313" s="15">
        <v>1</v>
      </c>
      <c r="H313" s="60">
        <v>1</v>
      </c>
      <c r="I313" s="85"/>
    </row>
    <row r="314" spans="1:9" ht="15.95" customHeight="1" x14ac:dyDescent="0.3">
      <c r="A314" s="60">
        <f t="shared" si="23"/>
        <v>926</v>
      </c>
      <c r="B314" s="149" t="s">
        <v>789</v>
      </c>
      <c r="C314" s="184"/>
      <c r="D314" s="150"/>
      <c r="E314" s="150" t="s">
        <v>123</v>
      </c>
      <c r="F314" s="150">
        <v>3</v>
      </c>
      <c r="G314" s="150">
        <v>1</v>
      </c>
      <c r="H314" s="150">
        <v>1</v>
      </c>
      <c r="I314" s="91"/>
    </row>
    <row r="315" spans="1:9" ht="15.95" customHeight="1" x14ac:dyDescent="0.3">
      <c r="A315" s="60">
        <f t="shared" si="23"/>
        <v>927</v>
      </c>
      <c r="B315" s="149" t="s">
        <v>790</v>
      </c>
      <c r="C315" s="184"/>
      <c r="D315" s="150"/>
      <c r="E315" s="150" t="s">
        <v>123</v>
      </c>
      <c r="F315" s="150">
        <v>3</v>
      </c>
      <c r="G315" s="150">
        <v>1</v>
      </c>
      <c r="H315" s="150">
        <v>1</v>
      </c>
      <c r="I315" s="91"/>
    </row>
    <row r="316" spans="1:9" ht="15.95" customHeight="1" x14ac:dyDescent="0.3">
      <c r="A316" s="60">
        <f t="shared" si="23"/>
        <v>928</v>
      </c>
      <c r="B316" s="149" t="s">
        <v>791</v>
      </c>
      <c r="C316" s="184"/>
      <c r="D316" s="150"/>
      <c r="E316" s="150" t="s">
        <v>123</v>
      </c>
      <c r="F316" s="150">
        <v>3</v>
      </c>
      <c r="G316" s="150">
        <v>1</v>
      </c>
      <c r="H316" s="150">
        <v>1</v>
      </c>
      <c r="I316" s="91"/>
    </row>
    <row r="317" spans="1:9" ht="15.95" customHeight="1" x14ac:dyDescent="0.3">
      <c r="A317" s="60">
        <f t="shared" si="23"/>
        <v>929</v>
      </c>
      <c r="B317" s="149" t="s">
        <v>792</v>
      </c>
      <c r="C317" s="184"/>
      <c r="D317" s="150"/>
      <c r="E317" s="150" t="s">
        <v>123</v>
      </c>
      <c r="F317" s="150">
        <v>3</v>
      </c>
      <c r="G317" s="150">
        <v>1</v>
      </c>
      <c r="H317" s="150">
        <v>1</v>
      </c>
      <c r="I317" s="91"/>
    </row>
    <row r="318" spans="1:9" ht="15.95" customHeight="1" x14ac:dyDescent="0.3">
      <c r="A318" s="162" t="s">
        <v>143</v>
      </c>
      <c r="B318" s="162"/>
      <c r="C318" s="162"/>
      <c r="D318" s="162"/>
      <c r="E318" s="162"/>
      <c r="F318" s="162"/>
      <c r="G318" s="162"/>
      <c r="H318" s="162"/>
      <c r="I318" s="88"/>
    </row>
    <row r="319" spans="1:9" ht="15.95" customHeight="1" x14ac:dyDescent="0.3">
      <c r="A319" s="60">
        <f>A317+G317*H317</f>
        <v>930</v>
      </c>
      <c r="B319" s="9" t="s">
        <v>746</v>
      </c>
      <c r="C319" s="9"/>
      <c r="D319" s="60"/>
      <c r="E319" s="15" t="s">
        <v>91</v>
      </c>
      <c r="F319" s="15">
        <v>3</v>
      </c>
      <c r="G319" s="15">
        <f t="shared" ref="G319:G343" si="24">IF(OR(E319="U16", E319="S16"),1,IF(E319="TS",6,2))</f>
        <v>2</v>
      </c>
      <c r="H319" s="60">
        <v>1</v>
      </c>
      <c r="I319" s="85"/>
    </row>
    <row r="320" spans="1:9" ht="15.95" customHeight="1" x14ac:dyDescent="0.3">
      <c r="A320" s="60">
        <f t="shared" ref="A320:A366" si="25">A319+(G319*H319)</f>
        <v>932</v>
      </c>
      <c r="B320" s="9" t="s">
        <v>747</v>
      </c>
      <c r="C320" s="9"/>
      <c r="D320" s="60"/>
      <c r="E320" s="15" t="s">
        <v>91</v>
      </c>
      <c r="F320" s="15">
        <v>3</v>
      </c>
      <c r="G320" s="15">
        <f t="shared" si="24"/>
        <v>2</v>
      </c>
      <c r="H320" s="60">
        <v>1</v>
      </c>
      <c r="I320" s="85"/>
    </row>
    <row r="321" spans="1:9" ht="15.95" customHeight="1" x14ac:dyDescent="0.3">
      <c r="A321" s="60">
        <f t="shared" si="25"/>
        <v>934</v>
      </c>
      <c r="B321" s="9" t="s">
        <v>793</v>
      </c>
      <c r="C321" s="9"/>
      <c r="D321" s="60"/>
      <c r="E321" s="15" t="s">
        <v>123</v>
      </c>
      <c r="F321" s="15">
        <v>3</v>
      </c>
      <c r="G321" s="15">
        <f t="shared" si="24"/>
        <v>1</v>
      </c>
      <c r="H321" s="60">
        <v>1</v>
      </c>
      <c r="I321" s="85"/>
    </row>
    <row r="322" spans="1:9" ht="15.95" customHeight="1" x14ac:dyDescent="0.3">
      <c r="A322" s="60">
        <f t="shared" si="25"/>
        <v>935</v>
      </c>
      <c r="B322" s="9" t="s">
        <v>794</v>
      </c>
      <c r="C322" s="9"/>
      <c r="D322" s="60"/>
      <c r="E322" s="15" t="s">
        <v>123</v>
      </c>
      <c r="F322" s="15">
        <v>3</v>
      </c>
      <c r="G322" s="15">
        <f t="shared" si="24"/>
        <v>1</v>
      </c>
      <c r="H322" s="60">
        <v>1</v>
      </c>
      <c r="I322" s="85"/>
    </row>
    <row r="323" spans="1:9" ht="15.95" customHeight="1" x14ac:dyDescent="0.3">
      <c r="A323" s="60">
        <f t="shared" si="25"/>
        <v>936</v>
      </c>
      <c r="B323" s="9" t="s">
        <v>749</v>
      </c>
      <c r="C323" s="9">
        <v>0</v>
      </c>
      <c r="D323" s="60"/>
      <c r="E323" s="15" t="s">
        <v>123</v>
      </c>
      <c r="F323" s="15">
        <v>3</v>
      </c>
      <c r="G323" s="15">
        <f t="shared" si="24"/>
        <v>1</v>
      </c>
      <c r="H323" s="60">
        <v>1</v>
      </c>
      <c r="I323" s="85"/>
    </row>
    <row r="324" spans="1:9" ht="15.95" customHeight="1" x14ac:dyDescent="0.3">
      <c r="A324" s="60">
        <f t="shared" si="25"/>
        <v>937</v>
      </c>
      <c r="B324" s="9" t="s">
        <v>750</v>
      </c>
      <c r="C324" s="9">
        <v>1</v>
      </c>
      <c r="D324" s="60"/>
      <c r="E324" s="15" t="s">
        <v>123</v>
      </c>
      <c r="F324" s="15">
        <v>3</v>
      </c>
      <c r="G324" s="15">
        <f t="shared" si="24"/>
        <v>1</v>
      </c>
      <c r="H324" s="60">
        <v>1</v>
      </c>
      <c r="I324" s="85"/>
    </row>
    <row r="325" spans="1:9" ht="15.95" customHeight="1" x14ac:dyDescent="0.3">
      <c r="A325" s="60">
        <f t="shared" si="25"/>
        <v>938</v>
      </c>
      <c r="B325" s="9" t="s">
        <v>751</v>
      </c>
      <c r="C325" s="173">
        <v>2</v>
      </c>
      <c r="D325" s="60"/>
      <c r="E325" s="15" t="s">
        <v>123</v>
      </c>
      <c r="F325" s="15">
        <v>3</v>
      </c>
      <c r="G325" s="15">
        <f t="shared" si="24"/>
        <v>1</v>
      </c>
      <c r="H325" s="60">
        <v>1</v>
      </c>
      <c r="I325" s="85"/>
    </row>
    <row r="326" spans="1:9" ht="15.95" customHeight="1" x14ac:dyDescent="0.3">
      <c r="A326" s="60">
        <f t="shared" si="25"/>
        <v>939</v>
      </c>
      <c r="B326" s="9" t="s">
        <v>752</v>
      </c>
      <c r="C326" s="173"/>
      <c r="D326" s="60"/>
      <c r="E326" s="15" t="s">
        <v>123</v>
      </c>
      <c r="F326" s="15">
        <v>3</v>
      </c>
      <c r="G326" s="15">
        <f t="shared" si="24"/>
        <v>1</v>
      </c>
      <c r="H326" s="60">
        <v>1</v>
      </c>
      <c r="I326" s="85"/>
    </row>
    <row r="327" spans="1:9" ht="15.95" customHeight="1" x14ac:dyDescent="0.3">
      <c r="A327" s="60">
        <f t="shared" si="25"/>
        <v>940</v>
      </c>
      <c r="B327" s="9" t="s">
        <v>753</v>
      </c>
      <c r="C327" s="173"/>
      <c r="D327" s="60"/>
      <c r="E327" s="15" t="s">
        <v>123</v>
      </c>
      <c r="F327" s="15">
        <v>3</v>
      </c>
      <c r="G327" s="15">
        <f t="shared" si="24"/>
        <v>1</v>
      </c>
      <c r="H327" s="60">
        <v>1</v>
      </c>
      <c r="I327" s="85"/>
    </row>
    <row r="328" spans="1:9" ht="15.95" customHeight="1" x14ac:dyDescent="0.3">
      <c r="A328" s="60">
        <f t="shared" si="25"/>
        <v>941</v>
      </c>
      <c r="B328" s="9" t="s">
        <v>754</v>
      </c>
      <c r="C328" s="173">
        <v>3</v>
      </c>
      <c r="D328" s="60"/>
      <c r="E328" s="15" t="s">
        <v>123</v>
      </c>
      <c r="F328" s="15">
        <v>3</v>
      </c>
      <c r="G328" s="15">
        <f t="shared" si="24"/>
        <v>1</v>
      </c>
      <c r="H328" s="60">
        <v>1</v>
      </c>
      <c r="I328" s="85"/>
    </row>
    <row r="329" spans="1:9" ht="15.95" customHeight="1" x14ac:dyDescent="0.3">
      <c r="A329" s="60">
        <f t="shared" si="25"/>
        <v>942</v>
      </c>
      <c r="B329" s="9" t="s">
        <v>755</v>
      </c>
      <c r="C329" s="173"/>
      <c r="D329" s="60"/>
      <c r="E329" s="15" t="s">
        <v>123</v>
      </c>
      <c r="F329" s="15">
        <v>3</v>
      </c>
      <c r="G329" s="15">
        <f t="shared" si="24"/>
        <v>1</v>
      </c>
      <c r="H329" s="60">
        <v>1</v>
      </c>
      <c r="I329" s="85"/>
    </row>
    <row r="330" spans="1:9" ht="15.95" customHeight="1" x14ac:dyDescent="0.3">
      <c r="A330" s="60">
        <f t="shared" si="25"/>
        <v>943</v>
      </c>
      <c r="B330" s="9" t="s">
        <v>756</v>
      </c>
      <c r="C330" s="173"/>
      <c r="D330" s="60"/>
      <c r="E330" s="15" t="s">
        <v>123</v>
      </c>
      <c r="F330" s="15">
        <v>3</v>
      </c>
      <c r="G330" s="15">
        <f t="shared" si="24"/>
        <v>1</v>
      </c>
      <c r="H330" s="60">
        <v>1</v>
      </c>
      <c r="I330" s="85"/>
    </row>
    <row r="331" spans="1:9" ht="15.95" customHeight="1" x14ac:dyDescent="0.3">
      <c r="A331" s="60">
        <f t="shared" si="25"/>
        <v>944</v>
      </c>
      <c r="B331" s="9" t="s">
        <v>757</v>
      </c>
      <c r="C331" s="9">
        <v>4</v>
      </c>
      <c r="D331" s="60"/>
      <c r="E331" s="15" t="s">
        <v>123</v>
      </c>
      <c r="F331" s="15">
        <v>3</v>
      </c>
      <c r="G331" s="15">
        <f t="shared" si="24"/>
        <v>1</v>
      </c>
      <c r="H331" s="60">
        <v>1</v>
      </c>
      <c r="I331" s="85"/>
    </row>
    <row r="332" spans="1:9" ht="15.95" customHeight="1" x14ac:dyDescent="0.3">
      <c r="A332" s="60">
        <f t="shared" si="25"/>
        <v>945</v>
      </c>
      <c r="B332" s="9" t="s">
        <v>758</v>
      </c>
      <c r="C332" s="173">
        <v>5</v>
      </c>
      <c r="D332" s="60"/>
      <c r="E332" s="15" t="s">
        <v>123</v>
      </c>
      <c r="F332" s="15">
        <v>3</v>
      </c>
      <c r="G332" s="15">
        <f t="shared" si="24"/>
        <v>1</v>
      </c>
      <c r="H332" s="60">
        <v>1</v>
      </c>
      <c r="I332" s="85"/>
    </row>
    <row r="333" spans="1:9" ht="15.95" customHeight="1" x14ac:dyDescent="0.3">
      <c r="A333" s="60">
        <f t="shared" si="25"/>
        <v>946</v>
      </c>
      <c r="B333" s="9" t="s">
        <v>759</v>
      </c>
      <c r="C333" s="173"/>
      <c r="D333" s="60"/>
      <c r="E333" s="15" t="s">
        <v>123</v>
      </c>
      <c r="F333" s="15">
        <v>3</v>
      </c>
      <c r="G333" s="15">
        <f t="shared" si="24"/>
        <v>1</v>
      </c>
      <c r="H333" s="60">
        <v>1</v>
      </c>
      <c r="I333" s="85"/>
    </row>
    <row r="334" spans="1:9" ht="15.95" customHeight="1" x14ac:dyDescent="0.3">
      <c r="A334" s="60">
        <f t="shared" si="25"/>
        <v>947</v>
      </c>
      <c r="B334" s="9" t="s">
        <v>760</v>
      </c>
      <c r="C334" s="173"/>
      <c r="D334" s="60"/>
      <c r="E334" s="15" t="s">
        <v>123</v>
      </c>
      <c r="F334" s="15">
        <v>3</v>
      </c>
      <c r="G334" s="15">
        <f t="shared" si="24"/>
        <v>1</v>
      </c>
      <c r="H334" s="60">
        <v>1</v>
      </c>
      <c r="I334" s="85"/>
    </row>
    <row r="335" spans="1:9" ht="15.95" customHeight="1" x14ac:dyDescent="0.3">
      <c r="A335" s="60">
        <f t="shared" si="25"/>
        <v>948</v>
      </c>
      <c r="B335" s="9" t="s">
        <v>761</v>
      </c>
      <c r="C335" s="173">
        <v>6</v>
      </c>
      <c r="D335" s="60"/>
      <c r="E335" s="15" t="s">
        <v>123</v>
      </c>
      <c r="F335" s="15">
        <v>3</v>
      </c>
      <c r="G335" s="15">
        <f t="shared" si="24"/>
        <v>1</v>
      </c>
      <c r="H335" s="60">
        <v>1</v>
      </c>
      <c r="I335" s="85"/>
    </row>
    <row r="336" spans="1:9" ht="15.95" customHeight="1" x14ac:dyDescent="0.3">
      <c r="A336" s="60">
        <f t="shared" si="25"/>
        <v>949</v>
      </c>
      <c r="B336" s="9" t="s">
        <v>762</v>
      </c>
      <c r="C336" s="173"/>
      <c r="D336" s="60"/>
      <c r="E336" s="15" t="s">
        <v>123</v>
      </c>
      <c r="F336" s="15">
        <v>3</v>
      </c>
      <c r="G336" s="15">
        <f t="shared" si="24"/>
        <v>1</v>
      </c>
      <c r="H336" s="60">
        <v>1</v>
      </c>
      <c r="I336" s="85"/>
    </row>
    <row r="337" spans="1:9" ht="15.95" customHeight="1" x14ac:dyDescent="0.3">
      <c r="A337" s="60">
        <f t="shared" si="25"/>
        <v>950</v>
      </c>
      <c r="B337" s="9" t="s">
        <v>763</v>
      </c>
      <c r="C337" s="173"/>
      <c r="D337" s="60"/>
      <c r="E337" s="15" t="s">
        <v>123</v>
      </c>
      <c r="F337" s="15">
        <v>3</v>
      </c>
      <c r="G337" s="15">
        <f t="shared" si="24"/>
        <v>1</v>
      </c>
      <c r="H337" s="60">
        <v>1</v>
      </c>
      <c r="I337" s="85"/>
    </row>
    <row r="338" spans="1:9" ht="15.95" customHeight="1" x14ac:dyDescent="0.3">
      <c r="A338" s="60">
        <f t="shared" si="25"/>
        <v>951</v>
      </c>
      <c r="B338" s="149" t="s">
        <v>764</v>
      </c>
      <c r="C338" s="184">
        <v>7</v>
      </c>
      <c r="D338" s="150"/>
      <c r="E338" s="150" t="s">
        <v>123</v>
      </c>
      <c r="F338" s="150">
        <v>3</v>
      </c>
      <c r="G338" s="150">
        <f t="shared" si="24"/>
        <v>1</v>
      </c>
      <c r="H338" s="150">
        <v>1</v>
      </c>
      <c r="I338" s="91"/>
    </row>
    <row r="339" spans="1:9" ht="15.95" customHeight="1" x14ac:dyDescent="0.3">
      <c r="A339" s="60">
        <f t="shared" si="25"/>
        <v>952</v>
      </c>
      <c r="B339" s="149" t="s">
        <v>765</v>
      </c>
      <c r="C339" s="184"/>
      <c r="D339" s="150"/>
      <c r="E339" s="150" t="s">
        <v>123</v>
      </c>
      <c r="F339" s="150">
        <v>3</v>
      </c>
      <c r="G339" s="150">
        <f t="shared" si="24"/>
        <v>1</v>
      </c>
      <c r="H339" s="150">
        <v>1</v>
      </c>
      <c r="I339" s="91"/>
    </row>
    <row r="340" spans="1:9" ht="15.95" customHeight="1" x14ac:dyDescent="0.3">
      <c r="A340" s="60">
        <f t="shared" si="25"/>
        <v>953</v>
      </c>
      <c r="B340" s="149" t="s">
        <v>766</v>
      </c>
      <c r="C340" s="184"/>
      <c r="D340" s="150"/>
      <c r="E340" s="150" t="s">
        <v>123</v>
      </c>
      <c r="F340" s="150">
        <v>3</v>
      </c>
      <c r="G340" s="150">
        <f t="shared" si="24"/>
        <v>1</v>
      </c>
      <c r="H340" s="150">
        <v>1</v>
      </c>
      <c r="I340" s="91"/>
    </row>
    <row r="341" spans="1:9" ht="15.95" customHeight="1" x14ac:dyDescent="0.3">
      <c r="A341" s="60">
        <f t="shared" si="25"/>
        <v>954</v>
      </c>
      <c r="B341" s="149" t="s">
        <v>767</v>
      </c>
      <c r="C341" s="184">
        <v>8</v>
      </c>
      <c r="D341" s="150"/>
      <c r="E341" s="150" t="s">
        <v>123</v>
      </c>
      <c r="F341" s="150">
        <v>3</v>
      </c>
      <c r="G341" s="150">
        <f t="shared" si="24"/>
        <v>1</v>
      </c>
      <c r="H341" s="150">
        <v>1</v>
      </c>
      <c r="I341" s="91"/>
    </row>
    <row r="342" spans="1:9" ht="15.95" customHeight="1" x14ac:dyDescent="0.3">
      <c r="A342" s="60">
        <f t="shared" si="25"/>
        <v>955</v>
      </c>
      <c r="B342" s="149" t="s">
        <v>768</v>
      </c>
      <c r="C342" s="184"/>
      <c r="D342" s="150"/>
      <c r="E342" s="150" t="s">
        <v>123</v>
      </c>
      <c r="F342" s="150">
        <v>3</v>
      </c>
      <c r="G342" s="150">
        <f t="shared" si="24"/>
        <v>1</v>
      </c>
      <c r="H342" s="150">
        <v>1</v>
      </c>
      <c r="I342" s="91"/>
    </row>
    <row r="343" spans="1:9" ht="15.95" customHeight="1" x14ac:dyDescent="0.3">
      <c r="A343" s="60">
        <f t="shared" si="25"/>
        <v>956</v>
      </c>
      <c r="B343" s="149" t="s">
        <v>769</v>
      </c>
      <c r="C343" s="184"/>
      <c r="D343" s="150"/>
      <c r="E343" s="150" t="s">
        <v>123</v>
      </c>
      <c r="F343" s="150">
        <v>3</v>
      </c>
      <c r="G343" s="150">
        <f t="shared" si="24"/>
        <v>1</v>
      </c>
      <c r="H343" s="150">
        <v>1</v>
      </c>
      <c r="I343" s="91"/>
    </row>
    <row r="344" spans="1:9" ht="15.95" customHeight="1" x14ac:dyDescent="0.3">
      <c r="A344" s="60">
        <f t="shared" si="25"/>
        <v>957</v>
      </c>
      <c r="B344" s="149" t="s">
        <v>770</v>
      </c>
      <c r="C344" s="184">
        <v>9</v>
      </c>
      <c r="D344" s="150"/>
      <c r="E344" s="150" t="s">
        <v>123</v>
      </c>
      <c r="F344" s="150">
        <v>3</v>
      </c>
      <c r="G344" s="150">
        <f t="shared" ref="G344:G366" si="26">IF(OR(E344="U16", E344="S16"),1,IF(E344="TS",6,2))</f>
        <v>1</v>
      </c>
      <c r="H344" s="150">
        <v>1</v>
      </c>
      <c r="I344" s="91"/>
    </row>
    <row r="345" spans="1:9" ht="15.95" customHeight="1" x14ac:dyDescent="0.3">
      <c r="A345" s="60">
        <f t="shared" si="25"/>
        <v>958</v>
      </c>
      <c r="B345" s="149" t="s">
        <v>771</v>
      </c>
      <c r="C345" s="184"/>
      <c r="D345" s="150"/>
      <c r="E345" s="150" t="s">
        <v>123</v>
      </c>
      <c r="F345" s="150">
        <v>3</v>
      </c>
      <c r="G345" s="150">
        <f t="shared" si="26"/>
        <v>1</v>
      </c>
      <c r="H345" s="150">
        <v>1</v>
      </c>
      <c r="I345" s="91"/>
    </row>
    <row r="346" spans="1:9" ht="15.95" customHeight="1" x14ac:dyDescent="0.3">
      <c r="A346" s="60">
        <f t="shared" si="25"/>
        <v>959</v>
      </c>
      <c r="B346" s="149" t="s">
        <v>772</v>
      </c>
      <c r="C346" s="184"/>
      <c r="D346" s="150"/>
      <c r="E346" s="150" t="s">
        <v>123</v>
      </c>
      <c r="F346" s="150">
        <v>3</v>
      </c>
      <c r="G346" s="150">
        <f t="shared" si="26"/>
        <v>1</v>
      </c>
      <c r="H346" s="150">
        <v>1</v>
      </c>
      <c r="I346" s="91"/>
    </row>
    <row r="347" spans="1:9" ht="15.95" customHeight="1" x14ac:dyDescent="0.3">
      <c r="A347" s="60">
        <f t="shared" si="25"/>
        <v>960</v>
      </c>
      <c r="B347" s="9" t="s">
        <v>773</v>
      </c>
      <c r="C347" s="173"/>
      <c r="D347" s="60"/>
      <c r="E347" s="15" t="s">
        <v>123</v>
      </c>
      <c r="F347" s="15">
        <v>3</v>
      </c>
      <c r="G347" s="15">
        <f t="shared" si="26"/>
        <v>1</v>
      </c>
      <c r="H347" s="60">
        <v>1</v>
      </c>
      <c r="I347" s="85"/>
    </row>
    <row r="348" spans="1:9" ht="15.95" customHeight="1" x14ac:dyDescent="0.3">
      <c r="A348" s="60">
        <f t="shared" si="25"/>
        <v>961</v>
      </c>
      <c r="B348" s="9" t="s">
        <v>774</v>
      </c>
      <c r="C348" s="173"/>
      <c r="D348" s="60"/>
      <c r="E348" s="15" t="s">
        <v>123</v>
      </c>
      <c r="F348" s="15">
        <v>3</v>
      </c>
      <c r="G348" s="15">
        <f t="shared" si="26"/>
        <v>1</v>
      </c>
      <c r="H348" s="60">
        <v>1</v>
      </c>
      <c r="I348" s="85"/>
    </row>
    <row r="349" spans="1:9" ht="15.95" customHeight="1" x14ac:dyDescent="0.3">
      <c r="A349" s="60">
        <f t="shared" si="25"/>
        <v>962</v>
      </c>
      <c r="B349" s="9" t="s">
        <v>775</v>
      </c>
      <c r="C349" s="173"/>
      <c r="D349" s="60"/>
      <c r="E349" s="15" t="s">
        <v>123</v>
      </c>
      <c r="F349" s="15">
        <v>3</v>
      </c>
      <c r="G349" s="15">
        <f t="shared" si="26"/>
        <v>1</v>
      </c>
      <c r="H349" s="60">
        <v>1</v>
      </c>
      <c r="I349" s="85"/>
    </row>
    <row r="350" spans="1:9" ht="15.95" customHeight="1" x14ac:dyDescent="0.3">
      <c r="A350" s="60">
        <f t="shared" si="25"/>
        <v>963</v>
      </c>
      <c r="B350" s="9" t="s">
        <v>776</v>
      </c>
      <c r="C350" s="173"/>
      <c r="D350" s="60"/>
      <c r="E350" s="15" t="s">
        <v>123</v>
      </c>
      <c r="F350" s="15">
        <v>3</v>
      </c>
      <c r="G350" s="15">
        <f t="shared" si="26"/>
        <v>1</v>
      </c>
      <c r="H350" s="60">
        <v>1</v>
      </c>
      <c r="I350" s="85"/>
    </row>
    <row r="351" spans="1:9" ht="15.95" customHeight="1" x14ac:dyDescent="0.3">
      <c r="A351" s="60">
        <f t="shared" si="25"/>
        <v>964</v>
      </c>
      <c r="B351" s="9" t="s">
        <v>777</v>
      </c>
      <c r="C351" s="173"/>
      <c r="D351" s="60"/>
      <c r="E351" s="15" t="s">
        <v>123</v>
      </c>
      <c r="F351" s="15">
        <v>3</v>
      </c>
      <c r="G351" s="15">
        <f t="shared" si="26"/>
        <v>1</v>
      </c>
      <c r="H351" s="60">
        <v>1</v>
      </c>
      <c r="I351" s="85"/>
    </row>
    <row r="352" spans="1:9" ht="15.95" customHeight="1" x14ac:dyDescent="0.3">
      <c r="A352" s="60">
        <f t="shared" si="25"/>
        <v>965</v>
      </c>
      <c r="B352" s="9" t="s">
        <v>778</v>
      </c>
      <c r="C352" s="173"/>
      <c r="D352" s="60"/>
      <c r="E352" s="15" t="s">
        <v>123</v>
      </c>
      <c r="F352" s="15">
        <v>3</v>
      </c>
      <c r="G352" s="15">
        <f t="shared" si="26"/>
        <v>1</v>
      </c>
      <c r="H352" s="60">
        <v>1</v>
      </c>
      <c r="I352" s="85"/>
    </row>
    <row r="353" spans="1:9" ht="15.95" customHeight="1" x14ac:dyDescent="0.3">
      <c r="A353" s="60">
        <f t="shared" si="25"/>
        <v>966</v>
      </c>
      <c r="B353" s="9" t="s">
        <v>779</v>
      </c>
      <c r="C353" s="173"/>
      <c r="D353" s="60"/>
      <c r="E353" s="15" t="s">
        <v>123</v>
      </c>
      <c r="F353" s="15">
        <v>3</v>
      </c>
      <c r="G353" s="15">
        <f t="shared" si="26"/>
        <v>1</v>
      </c>
      <c r="H353" s="60">
        <v>1</v>
      </c>
      <c r="I353" s="85"/>
    </row>
    <row r="354" spans="1:9" ht="15.95" customHeight="1" x14ac:dyDescent="0.3">
      <c r="A354" s="60">
        <f t="shared" si="25"/>
        <v>967</v>
      </c>
      <c r="B354" s="9" t="s">
        <v>780</v>
      </c>
      <c r="C354" s="173"/>
      <c r="D354" s="60"/>
      <c r="E354" s="15" t="s">
        <v>123</v>
      </c>
      <c r="F354" s="15">
        <v>3</v>
      </c>
      <c r="G354" s="15">
        <f t="shared" si="26"/>
        <v>1</v>
      </c>
      <c r="H354" s="60">
        <v>1</v>
      </c>
      <c r="I354" s="85"/>
    </row>
    <row r="355" spans="1:9" ht="15.95" customHeight="1" x14ac:dyDescent="0.3">
      <c r="A355" s="60">
        <f t="shared" si="25"/>
        <v>968</v>
      </c>
      <c r="B355" s="9" t="s">
        <v>781</v>
      </c>
      <c r="C355" s="173"/>
      <c r="D355" s="60"/>
      <c r="E355" s="15" t="s">
        <v>123</v>
      </c>
      <c r="F355" s="15">
        <v>3</v>
      </c>
      <c r="G355" s="15">
        <f t="shared" si="26"/>
        <v>1</v>
      </c>
      <c r="H355" s="60">
        <v>1</v>
      </c>
      <c r="I355" s="85"/>
    </row>
    <row r="356" spans="1:9" ht="15.95" customHeight="1" x14ac:dyDescent="0.3">
      <c r="A356" s="60">
        <f t="shared" si="25"/>
        <v>969</v>
      </c>
      <c r="B356" s="9" t="s">
        <v>782</v>
      </c>
      <c r="C356" s="173"/>
      <c r="D356" s="60"/>
      <c r="E356" s="15" t="s">
        <v>123</v>
      </c>
      <c r="F356" s="15">
        <v>3</v>
      </c>
      <c r="G356" s="15">
        <f t="shared" si="26"/>
        <v>1</v>
      </c>
      <c r="H356" s="60">
        <v>1</v>
      </c>
      <c r="I356" s="85"/>
    </row>
    <row r="357" spans="1:9" ht="15.95" customHeight="1" x14ac:dyDescent="0.3">
      <c r="A357" s="60">
        <f t="shared" si="25"/>
        <v>970</v>
      </c>
      <c r="B357" s="9" t="s">
        <v>783</v>
      </c>
      <c r="C357" s="173"/>
      <c r="D357" s="60"/>
      <c r="E357" s="15" t="s">
        <v>123</v>
      </c>
      <c r="F357" s="15">
        <v>3</v>
      </c>
      <c r="G357" s="15">
        <f t="shared" si="26"/>
        <v>1</v>
      </c>
      <c r="H357" s="60">
        <v>1</v>
      </c>
      <c r="I357" s="85"/>
    </row>
    <row r="358" spans="1:9" ht="15.95" customHeight="1" x14ac:dyDescent="0.3">
      <c r="A358" s="60">
        <f t="shared" si="25"/>
        <v>971</v>
      </c>
      <c r="B358" s="9" t="s">
        <v>784</v>
      </c>
      <c r="C358" s="173"/>
      <c r="D358" s="60"/>
      <c r="E358" s="15" t="s">
        <v>123</v>
      </c>
      <c r="F358" s="15">
        <v>3</v>
      </c>
      <c r="G358" s="15">
        <f t="shared" si="26"/>
        <v>1</v>
      </c>
      <c r="H358" s="60">
        <v>1</v>
      </c>
      <c r="I358" s="85"/>
    </row>
    <row r="359" spans="1:9" ht="15.95" customHeight="1" x14ac:dyDescent="0.3">
      <c r="A359" s="60">
        <f t="shared" si="25"/>
        <v>972</v>
      </c>
      <c r="B359" s="9" t="s">
        <v>785</v>
      </c>
      <c r="C359" s="173"/>
      <c r="D359" s="60"/>
      <c r="E359" s="15" t="s">
        <v>123</v>
      </c>
      <c r="F359" s="15">
        <v>3</v>
      </c>
      <c r="G359" s="15">
        <f t="shared" si="26"/>
        <v>1</v>
      </c>
      <c r="H359" s="60">
        <v>1</v>
      </c>
      <c r="I359" s="85"/>
    </row>
    <row r="360" spans="1:9" ht="15.95" customHeight="1" x14ac:dyDescent="0.3">
      <c r="A360" s="60">
        <f t="shared" si="25"/>
        <v>973</v>
      </c>
      <c r="B360" s="9" t="s">
        <v>786</v>
      </c>
      <c r="C360" s="173"/>
      <c r="D360" s="60"/>
      <c r="E360" s="15" t="s">
        <v>123</v>
      </c>
      <c r="F360" s="15">
        <v>3</v>
      </c>
      <c r="G360" s="15">
        <f t="shared" si="26"/>
        <v>1</v>
      </c>
      <c r="H360" s="60">
        <v>1</v>
      </c>
      <c r="I360" s="85"/>
    </row>
    <row r="361" spans="1:9" ht="15.95" customHeight="1" x14ac:dyDescent="0.3">
      <c r="A361" s="60">
        <f t="shared" si="25"/>
        <v>974</v>
      </c>
      <c r="B361" s="9" t="s">
        <v>787</v>
      </c>
      <c r="C361" s="173"/>
      <c r="D361" s="60"/>
      <c r="E361" s="15" t="s">
        <v>123</v>
      </c>
      <c r="F361" s="15">
        <v>3</v>
      </c>
      <c r="G361" s="15">
        <f t="shared" si="26"/>
        <v>1</v>
      </c>
      <c r="H361" s="60">
        <v>1</v>
      </c>
      <c r="I361" s="85"/>
    </row>
    <row r="362" spans="1:9" ht="15.95" customHeight="1" x14ac:dyDescent="0.3">
      <c r="A362" s="60">
        <f t="shared" si="25"/>
        <v>975</v>
      </c>
      <c r="B362" s="9" t="s">
        <v>788</v>
      </c>
      <c r="C362" s="173"/>
      <c r="D362" s="60"/>
      <c r="E362" s="15" t="s">
        <v>123</v>
      </c>
      <c r="F362" s="15">
        <v>3</v>
      </c>
      <c r="G362" s="15">
        <f t="shared" si="26"/>
        <v>1</v>
      </c>
      <c r="H362" s="60">
        <v>1</v>
      </c>
      <c r="I362" s="85"/>
    </row>
    <row r="363" spans="1:9" ht="15.95" customHeight="1" x14ac:dyDescent="0.3">
      <c r="A363" s="60">
        <f t="shared" si="25"/>
        <v>976</v>
      </c>
      <c r="B363" s="149" t="s">
        <v>789</v>
      </c>
      <c r="C363" s="184"/>
      <c r="D363" s="150"/>
      <c r="E363" s="150" t="s">
        <v>123</v>
      </c>
      <c r="F363" s="150">
        <v>3</v>
      </c>
      <c r="G363" s="150">
        <f t="shared" si="26"/>
        <v>1</v>
      </c>
      <c r="H363" s="150">
        <v>1</v>
      </c>
      <c r="I363" s="91"/>
    </row>
    <row r="364" spans="1:9" ht="15.95" customHeight="1" x14ac:dyDescent="0.3">
      <c r="A364" s="60">
        <f t="shared" si="25"/>
        <v>977</v>
      </c>
      <c r="B364" s="149" t="s">
        <v>790</v>
      </c>
      <c r="C364" s="184"/>
      <c r="D364" s="150"/>
      <c r="E364" s="150" t="s">
        <v>123</v>
      </c>
      <c r="F364" s="150">
        <v>3</v>
      </c>
      <c r="G364" s="150">
        <f t="shared" si="26"/>
        <v>1</v>
      </c>
      <c r="H364" s="150">
        <v>1</v>
      </c>
      <c r="I364" s="91"/>
    </row>
    <row r="365" spans="1:9" ht="15.95" customHeight="1" x14ac:dyDescent="0.3">
      <c r="A365" s="60">
        <f t="shared" si="25"/>
        <v>978</v>
      </c>
      <c r="B365" s="149" t="s">
        <v>791</v>
      </c>
      <c r="C365" s="184"/>
      <c r="D365" s="150"/>
      <c r="E365" s="150" t="s">
        <v>123</v>
      </c>
      <c r="F365" s="150">
        <v>3</v>
      </c>
      <c r="G365" s="150">
        <f t="shared" si="26"/>
        <v>1</v>
      </c>
      <c r="H365" s="150">
        <v>1</v>
      </c>
      <c r="I365" s="91"/>
    </row>
    <row r="366" spans="1:9" ht="15.95" customHeight="1" x14ac:dyDescent="0.3">
      <c r="A366" s="60">
        <f t="shared" si="25"/>
        <v>979</v>
      </c>
      <c r="B366" s="149" t="s">
        <v>792</v>
      </c>
      <c r="C366" s="184"/>
      <c r="D366" s="150"/>
      <c r="E366" s="150" t="s">
        <v>123</v>
      </c>
      <c r="F366" s="150">
        <v>3</v>
      </c>
      <c r="G366" s="150">
        <f t="shared" si="26"/>
        <v>1</v>
      </c>
      <c r="H366" s="150">
        <v>1</v>
      </c>
      <c r="I366" s="91"/>
    </row>
    <row r="367" spans="1:9" ht="15.95" customHeight="1" x14ac:dyDescent="0.3">
      <c r="A367" s="162" t="s">
        <v>103</v>
      </c>
      <c r="B367" s="162"/>
      <c r="C367" s="162"/>
      <c r="D367" s="162"/>
      <c r="E367" s="162"/>
      <c r="F367" s="162"/>
      <c r="G367" s="162"/>
      <c r="H367" s="162"/>
      <c r="I367" s="88"/>
    </row>
    <row r="368" spans="1:9" ht="15.95" customHeight="1" x14ac:dyDescent="0.3">
      <c r="A368" s="60">
        <f>A366+G366*H366</f>
        <v>980</v>
      </c>
      <c r="B368" s="9" t="s">
        <v>94</v>
      </c>
      <c r="C368" s="9"/>
      <c r="D368" s="60"/>
      <c r="E368" s="15" t="s">
        <v>114</v>
      </c>
      <c r="F368" s="15">
        <v>3</v>
      </c>
      <c r="G368" s="15">
        <f t="shared" ref="G368:G377" si="27">IF(OR(E368="U16", E368="S16"),1,IF(E368="TS",6,2))</f>
        <v>1</v>
      </c>
      <c r="H368" s="60">
        <v>64</v>
      </c>
      <c r="I368" s="85"/>
    </row>
    <row r="369" spans="1:10" ht="15.95" customHeight="1" x14ac:dyDescent="0.3">
      <c r="A369" s="60">
        <f t="shared" ref="A369:A377" si="28">A368+(G368*H368)</f>
        <v>1044</v>
      </c>
      <c r="B369" s="9" t="s">
        <v>95</v>
      </c>
      <c r="C369" s="9"/>
      <c r="D369" s="60"/>
      <c r="E369" s="15" t="s">
        <v>114</v>
      </c>
      <c r="F369" s="15">
        <v>3</v>
      </c>
      <c r="G369" s="15">
        <f t="shared" si="27"/>
        <v>1</v>
      </c>
      <c r="H369" s="60">
        <v>64</v>
      </c>
      <c r="I369" s="85"/>
    </row>
    <row r="370" spans="1:10" ht="15.95" customHeight="1" x14ac:dyDescent="0.3">
      <c r="A370" s="60">
        <f t="shared" si="28"/>
        <v>1108</v>
      </c>
      <c r="B370" s="9" t="s">
        <v>96</v>
      </c>
      <c r="C370" s="9"/>
      <c r="D370" s="60"/>
      <c r="E370" s="15" t="s">
        <v>114</v>
      </c>
      <c r="F370" s="15">
        <v>3</v>
      </c>
      <c r="G370" s="15">
        <f t="shared" si="27"/>
        <v>1</v>
      </c>
      <c r="H370" s="60">
        <v>64</v>
      </c>
      <c r="I370" s="85"/>
    </row>
    <row r="371" spans="1:10" ht="15.95" customHeight="1" x14ac:dyDescent="0.3">
      <c r="A371" s="60">
        <f t="shared" si="28"/>
        <v>1172</v>
      </c>
      <c r="B371" s="9" t="s">
        <v>97</v>
      </c>
      <c r="C371" s="9"/>
      <c r="D371" s="60"/>
      <c r="E371" s="15" t="s">
        <v>114</v>
      </c>
      <c r="F371" s="15">
        <v>3</v>
      </c>
      <c r="G371" s="15">
        <f t="shared" si="27"/>
        <v>1</v>
      </c>
      <c r="H371" s="60">
        <v>64</v>
      </c>
      <c r="I371" s="85"/>
    </row>
    <row r="372" spans="1:10" ht="15.95" customHeight="1" x14ac:dyDescent="0.3">
      <c r="A372" s="60">
        <f t="shared" si="28"/>
        <v>1236</v>
      </c>
      <c r="B372" s="9" t="s">
        <v>98</v>
      </c>
      <c r="C372" s="9"/>
      <c r="D372" s="60"/>
      <c r="E372" s="15" t="s">
        <v>114</v>
      </c>
      <c r="F372" s="15">
        <v>3</v>
      </c>
      <c r="G372" s="15">
        <f t="shared" si="27"/>
        <v>1</v>
      </c>
      <c r="H372" s="60">
        <v>64</v>
      </c>
      <c r="I372" s="85"/>
    </row>
    <row r="373" spans="1:10" ht="15.95" customHeight="1" x14ac:dyDescent="0.3">
      <c r="A373" s="60">
        <f t="shared" si="28"/>
        <v>1300</v>
      </c>
      <c r="B373" s="9" t="s">
        <v>99</v>
      </c>
      <c r="C373" s="9"/>
      <c r="D373" s="60"/>
      <c r="E373" s="15" t="s">
        <v>114</v>
      </c>
      <c r="F373" s="15">
        <v>3</v>
      </c>
      <c r="G373" s="15">
        <f t="shared" si="27"/>
        <v>1</v>
      </c>
      <c r="H373" s="60">
        <v>64</v>
      </c>
      <c r="I373" s="85"/>
    </row>
    <row r="374" spans="1:10" ht="15.95" customHeight="1" x14ac:dyDescent="0.3">
      <c r="A374" s="60">
        <f t="shared" si="28"/>
        <v>1364</v>
      </c>
      <c r="B374" s="9" t="s">
        <v>100</v>
      </c>
      <c r="C374" s="9"/>
      <c r="D374" s="60"/>
      <c r="E374" s="15" t="s">
        <v>114</v>
      </c>
      <c r="F374" s="15">
        <v>3</v>
      </c>
      <c r="G374" s="15">
        <f t="shared" si="27"/>
        <v>1</v>
      </c>
      <c r="H374" s="60">
        <v>64</v>
      </c>
      <c r="I374" s="85"/>
    </row>
    <row r="375" spans="1:10" ht="15.95" customHeight="1" x14ac:dyDescent="0.3">
      <c r="A375" s="60">
        <f t="shared" si="28"/>
        <v>1428</v>
      </c>
      <c r="B375" s="9" t="s">
        <v>101</v>
      </c>
      <c r="C375" s="9"/>
      <c r="D375" s="60"/>
      <c r="E375" s="15" t="s">
        <v>114</v>
      </c>
      <c r="F375" s="15">
        <v>3</v>
      </c>
      <c r="G375" s="15">
        <f t="shared" si="27"/>
        <v>1</v>
      </c>
      <c r="H375" s="60">
        <v>64</v>
      </c>
      <c r="I375" s="85"/>
    </row>
    <row r="376" spans="1:10" ht="15.95" customHeight="1" x14ac:dyDescent="0.3">
      <c r="A376" s="60">
        <f t="shared" si="28"/>
        <v>1492</v>
      </c>
      <c r="B376" s="9" t="s">
        <v>102</v>
      </c>
      <c r="C376" s="9"/>
      <c r="D376" s="60"/>
      <c r="E376" s="15" t="s">
        <v>114</v>
      </c>
      <c r="F376" s="15">
        <v>3</v>
      </c>
      <c r="G376" s="15">
        <f t="shared" si="27"/>
        <v>1</v>
      </c>
      <c r="H376" s="60">
        <v>64</v>
      </c>
      <c r="I376" s="85"/>
    </row>
    <row r="377" spans="1:10" ht="15.95" customHeight="1" x14ac:dyDescent="0.3">
      <c r="A377" s="60">
        <f t="shared" si="28"/>
        <v>1556</v>
      </c>
      <c r="B377" s="9" t="s">
        <v>104</v>
      </c>
      <c r="C377" s="9"/>
      <c r="D377" s="60"/>
      <c r="E377" s="15" t="s">
        <v>114</v>
      </c>
      <c r="F377" s="15">
        <v>3</v>
      </c>
      <c r="G377" s="15">
        <f t="shared" si="27"/>
        <v>1</v>
      </c>
      <c r="H377" s="60">
        <v>24</v>
      </c>
      <c r="I377" s="85"/>
    </row>
    <row r="378" spans="1:10" ht="15.95" customHeight="1" x14ac:dyDescent="0.3">
      <c r="A378" s="162" t="s">
        <v>128</v>
      </c>
      <c r="B378" s="162"/>
      <c r="C378" s="162"/>
      <c r="D378" s="162"/>
      <c r="E378" s="162"/>
      <c r="F378" s="162"/>
      <c r="G378" s="162"/>
      <c r="H378" s="162"/>
      <c r="I378" s="88"/>
      <c r="J378" s="10" t="s">
        <v>1185</v>
      </c>
    </row>
    <row r="379" spans="1:10" ht="15.95" customHeight="1" x14ac:dyDescent="0.3">
      <c r="A379" s="128">
        <f>A377+(G377*H377)</f>
        <v>1580</v>
      </c>
      <c r="B379" s="149" t="s">
        <v>94</v>
      </c>
      <c r="C379" s="149"/>
      <c r="D379" s="150"/>
      <c r="E379" s="150" t="s">
        <v>114</v>
      </c>
      <c r="F379" s="150">
        <v>3</v>
      </c>
      <c r="G379" s="150">
        <f t="shared" ref="G379:G388" si="29">IF(OR(E379="U16", E379="S16"),1,IF(E379="TS",6,2))</f>
        <v>1</v>
      </c>
      <c r="H379" s="150">
        <v>64</v>
      </c>
      <c r="I379" s="85"/>
    </row>
    <row r="380" spans="1:10" ht="15.95" customHeight="1" x14ac:dyDescent="0.3">
      <c r="A380" s="128">
        <f t="shared" ref="A380:A388" si="30">A379+(G379*H379)</f>
        <v>1644</v>
      </c>
      <c r="B380" s="149" t="s">
        <v>95</v>
      </c>
      <c r="C380" s="149"/>
      <c r="D380" s="150"/>
      <c r="E380" s="150" t="s">
        <v>114</v>
      </c>
      <c r="F380" s="150">
        <v>3</v>
      </c>
      <c r="G380" s="150">
        <f t="shared" si="29"/>
        <v>1</v>
      </c>
      <c r="H380" s="150">
        <v>64</v>
      </c>
      <c r="I380" s="85"/>
    </row>
    <row r="381" spans="1:10" ht="15.95" customHeight="1" x14ac:dyDescent="0.3">
      <c r="A381" s="128">
        <f t="shared" si="30"/>
        <v>1708</v>
      </c>
      <c r="B381" s="149" t="s">
        <v>96</v>
      </c>
      <c r="C381" s="149"/>
      <c r="D381" s="150"/>
      <c r="E381" s="150" t="s">
        <v>114</v>
      </c>
      <c r="F381" s="150">
        <v>3</v>
      </c>
      <c r="G381" s="150">
        <f t="shared" si="29"/>
        <v>1</v>
      </c>
      <c r="H381" s="150">
        <v>64</v>
      </c>
      <c r="I381" s="85"/>
    </row>
    <row r="382" spans="1:10" ht="15.95" customHeight="1" x14ac:dyDescent="0.3">
      <c r="A382" s="128">
        <f t="shared" si="30"/>
        <v>1772</v>
      </c>
      <c r="B382" s="149" t="s">
        <v>97</v>
      </c>
      <c r="C382" s="149"/>
      <c r="D382" s="150"/>
      <c r="E382" s="150" t="s">
        <v>114</v>
      </c>
      <c r="F382" s="150">
        <v>3</v>
      </c>
      <c r="G382" s="150">
        <f t="shared" si="29"/>
        <v>1</v>
      </c>
      <c r="H382" s="150">
        <v>64</v>
      </c>
      <c r="I382" s="85"/>
    </row>
    <row r="383" spans="1:10" ht="15.95" customHeight="1" x14ac:dyDescent="0.3">
      <c r="A383" s="128">
        <f t="shared" si="30"/>
        <v>1836</v>
      </c>
      <c r="B383" s="149" t="s">
        <v>98</v>
      </c>
      <c r="C383" s="149"/>
      <c r="D383" s="150"/>
      <c r="E383" s="150" t="s">
        <v>114</v>
      </c>
      <c r="F383" s="150">
        <v>3</v>
      </c>
      <c r="G383" s="150">
        <f t="shared" si="29"/>
        <v>1</v>
      </c>
      <c r="H383" s="150">
        <v>64</v>
      </c>
      <c r="I383" s="85"/>
    </row>
    <row r="384" spans="1:10" ht="15.95" customHeight="1" x14ac:dyDescent="0.3">
      <c r="A384" s="128">
        <f t="shared" si="30"/>
        <v>1900</v>
      </c>
      <c r="B384" s="149" t="s">
        <v>99</v>
      </c>
      <c r="C384" s="149"/>
      <c r="D384" s="150"/>
      <c r="E384" s="150" t="s">
        <v>114</v>
      </c>
      <c r="F384" s="150">
        <v>3</v>
      </c>
      <c r="G384" s="150">
        <f t="shared" si="29"/>
        <v>1</v>
      </c>
      <c r="H384" s="150">
        <v>64</v>
      </c>
      <c r="I384" s="85"/>
    </row>
    <row r="385" spans="1:10" ht="15.95" customHeight="1" x14ac:dyDescent="0.3">
      <c r="A385" s="128">
        <f t="shared" si="30"/>
        <v>1964</v>
      </c>
      <c r="B385" s="149" t="s">
        <v>100</v>
      </c>
      <c r="C385" s="149"/>
      <c r="D385" s="150"/>
      <c r="E385" s="150" t="s">
        <v>114</v>
      </c>
      <c r="F385" s="150">
        <v>3</v>
      </c>
      <c r="G385" s="150">
        <f t="shared" si="29"/>
        <v>1</v>
      </c>
      <c r="H385" s="150">
        <v>64</v>
      </c>
      <c r="I385" s="85"/>
    </row>
    <row r="386" spans="1:10" ht="15.95" customHeight="1" x14ac:dyDescent="0.3">
      <c r="A386" s="128">
        <f t="shared" si="30"/>
        <v>2028</v>
      </c>
      <c r="B386" s="149" t="s">
        <v>101</v>
      </c>
      <c r="C386" s="149"/>
      <c r="D386" s="150"/>
      <c r="E386" s="150" t="s">
        <v>114</v>
      </c>
      <c r="F386" s="150">
        <v>3</v>
      </c>
      <c r="G386" s="150">
        <f t="shared" si="29"/>
        <v>1</v>
      </c>
      <c r="H386" s="150">
        <v>64</v>
      </c>
      <c r="I386" s="85"/>
    </row>
    <row r="387" spans="1:10" ht="15.95" customHeight="1" x14ac:dyDescent="0.3">
      <c r="A387" s="128">
        <f t="shared" si="30"/>
        <v>2092</v>
      </c>
      <c r="B387" s="149" t="s">
        <v>102</v>
      </c>
      <c r="C387" s="149"/>
      <c r="D387" s="150"/>
      <c r="E387" s="150" t="s">
        <v>114</v>
      </c>
      <c r="F387" s="150">
        <v>3</v>
      </c>
      <c r="G387" s="150">
        <f t="shared" si="29"/>
        <v>1</v>
      </c>
      <c r="H387" s="150">
        <v>64</v>
      </c>
      <c r="I387" s="85"/>
    </row>
    <row r="388" spans="1:10" ht="15.95" customHeight="1" x14ac:dyDescent="0.3">
      <c r="A388" s="128">
        <f t="shared" si="30"/>
        <v>2156</v>
      </c>
      <c r="B388" s="149"/>
      <c r="C388" s="149"/>
      <c r="D388" s="150"/>
      <c r="E388" s="150" t="s">
        <v>114</v>
      </c>
      <c r="F388" s="150">
        <v>3</v>
      </c>
      <c r="G388" s="150">
        <f t="shared" si="29"/>
        <v>1</v>
      </c>
      <c r="H388" s="150">
        <v>24</v>
      </c>
      <c r="I388" s="85"/>
      <c r="J388" s="69"/>
    </row>
    <row r="389" spans="1:10" ht="15.95" customHeight="1" x14ac:dyDescent="0.3">
      <c r="A389" s="162" t="s">
        <v>116</v>
      </c>
      <c r="B389" s="162"/>
      <c r="C389" s="162"/>
      <c r="D389" s="162"/>
      <c r="E389" s="162"/>
      <c r="F389" s="162"/>
      <c r="G389" s="162"/>
      <c r="H389" s="162"/>
      <c r="I389" s="88"/>
    </row>
    <row r="390" spans="1:10" ht="15.95" customHeight="1" x14ac:dyDescent="0.3">
      <c r="A390" s="68">
        <f>A388+(G388*H388)</f>
        <v>2180</v>
      </c>
      <c r="B390" s="9" t="s">
        <v>399</v>
      </c>
      <c r="C390" s="9"/>
      <c r="D390" s="60"/>
      <c r="E390" s="15" t="s">
        <v>123</v>
      </c>
      <c r="F390" s="15">
        <v>3</v>
      </c>
      <c r="G390" s="15">
        <f t="shared" ref="G390:G399" si="31">IF(OR(E390="U16", E390="S16"),1,IF(E390="TS",6,2))</f>
        <v>1</v>
      </c>
      <c r="H390" s="60">
        <v>1</v>
      </c>
      <c r="I390" s="85"/>
    </row>
    <row r="391" spans="1:10" ht="15.95" customHeight="1" x14ac:dyDescent="0.3">
      <c r="A391" s="60">
        <f t="shared" ref="A391:A441" si="32">A390+(G390*H390)</f>
        <v>2181</v>
      </c>
      <c r="B391" s="9" t="s">
        <v>400</v>
      </c>
      <c r="C391" s="9"/>
      <c r="D391" s="60"/>
      <c r="E391" s="15" t="s">
        <v>123</v>
      </c>
      <c r="F391" s="15">
        <v>3</v>
      </c>
      <c r="G391" s="15">
        <f t="shared" si="31"/>
        <v>1</v>
      </c>
      <c r="H391" s="60">
        <v>1</v>
      </c>
      <c r="I391" s="85"/>
    </row>
    <row r="392" spans="1:10" ht="15.95" customHeight="1" x14ac:dyDescent="0.3">
      <c r="A392" s="60">
        <f t="shared" si="32"/>
        <v>2182</v>
      </c>
      <c r="B392" s="9" t="s">
        <v>117</v>
      </c>
      <c r="C392" s="9"/>
      <c r="D392" s="60"/>
      <c r="E392" s="15" t="s">
        <v>92</v>
      </c>
      <c r="F392" s="15">
        <v>3</v>
      </c>
      <c r="G392" s="15">
        <f t="shared" si="31"/>
        <v>2</v>
      </c>
      <c r="H392" s="60">
        <v>1</v>
      </c>
      <c r="I392" s="85"/>
    </row>
    <row r="393" spans="1:10" ht="15.95" customHeight="1" x14ac:dyDescent="0.3">
      <c r="A393" s="60">
        <f t="shared" si="32"/>
        <v>2184</v>
      </c>
      <c r="B393" s="185" t="s">
        <v>121</v>
      </c>
      <c r="C393" s="144" t="s">
        <v>1117</v>
      </c>
      <c r="D393" s="143"/>
      <c r="E393" s="143" t="s">
        <v>436</v>
      </c>
      <c r="F393" s="143">
        <v>3</v>
      </c>
      <c r="G393" s="143">
        <v>2</v>
      </c>
      <c r="H393" s="143">
        <v>1</v>
      </c>
      <c r="I393" s="85"/>
    </row>
    <row r="394" spans="1:10" ht="15.95" customHeight="1" x14ac:dyDescent="0.3">
      <c r="A394" s="101">
        <f t="shared" si="32"/>
        <v>2186</v>
      </c>
      <c r="B394" s="186"/>
      <c r="C394" s="144" t="s">
        <v>1116</v>
      </c>
      <c r="D394" s="143"/>
      <c r="E394" s="143" t="s">
        <v>258</v>
      </c>
      <c r="F394" s="143">
        <v>3</v>
      </c>
      <c r="G394" s="143">
        <v>2</v>
      </c>
      <c r="H394" s="143">
        <v>1</v>
      </c>
      <c r="I394" s="85"/>
      <c r="J394" s="102"/>
    </row>
    <row r="395" spans="1:10" ht="15.95" customHeight="1" x14ac:dyDescent="0.3">
      <c r="A395" s="101">
        <f t="shared" si="32"/>
        <v>2188</v>
      </c>
      <c r="B395" s="186"/>
      <c r="C395" s="144" t="s">
        <v>1118</v>
      </c>
      <c r="D395" s="143"/>
      <c r="E395" s="143" t="s">
        <v>436</v>
      </c>
      <c r="F395" s="143">
        <v>3</v>
      </c>
      <c r="G395" s="143">
        <v>2</v>
      </c>
      <c r="H395" s="143">
        <v>1</v>
      </c>
      <c r="I395" s="85"/>
      <c r="J395" s="102"/>
    </row>
    <row r="396" spans="1:10" ht="15.95" customHeight="1" x14ac:dyDescent="0.3">
      <c r="A396" s="101">
        <f t="shared" si="32"/>
        <v>2190</v>
      </c>
      <c r="B396" s="187"/>
      <c r="C396" s="144" t="s">
        <v>1119</v>
      </c>
      <c r="D396" s="143"/>
      <c r="E396" s="143" t="s">
        <v>258</v>
      </c>
      <c r="F396" s="143">
        <v>3</v>
      </c>
      <c r="G396" s="143">
        <v>2</v>
      </c>
      <c r="H396" s="143">
        <v>1</v>
      </c>
      <c r="I396" s="85"/>
      <c r="J396" s="102"/>
    </row>
    <row r="397" spans="1:10" ht="15.95" customHeight="1" x14ac:dyDescent="0.3">
      <c r="A397" s="101">
        <f t="shared" si="32"/>
        <v>2192</v>
      </c>
      <c r="B397" s="9" t="s">
        <v>197</v>
      </c>
      <c r="C397" s="9"/>
      <c r="D397" s="60"/>
      <c r="E397" s="15" t="s">
        <v>58</v>
      </c>
      <c r="F397" s="15">
        <v>3</v>
      </c>
      <c r="G397" s="15">
        <f t="shared" si="31"/>
        <v>2</v>
      </c>
      <c r="H397" s="60">
        <v>4</v>
      </c>
      <c r="I397" s="85"/>
    </row>
    <row r="398" spans="1:10" ht="15.95" customHeight="1" x14ac:dyDescent="0.3">
      <c r="A398" s="60">
        <f t="shared" si="32"/>
        <v>2200</v>
      </c>
      <c r="B398" s="9" t="s">
        <v>154</v>
      </c>
      <c r="C398" s="9"/>
      <c r="D398" s="60"/>
      <c r="E398" s="15" t="s">
        <v>59</v>
      </c>
      <c r="F398" s="15">
        <v>3</v>
      </c>
      <c r="G398" s="15">
        <f t="shared" si="31"/>
        <v>2</v>
      </c>
      <c r="H398" s="60">
        <v>4</v>
      </c>
      <c r="I398" s="85"/>
    </row>
    <row r="399" spans="1:10" ht="15.95" customHeight="1" x14ac:dyDescent="0.3">
      <c r="A399" s="60">
        <f t="shared" si="32"/>
        <v>2208</v>
      </c>
      <c r="B399" s="9" t="s">
        <v>155</v>
      </c>
      <c r="C399" s="9"/>
      <c r="D399" s="60"/>
      <c r="E399" s="15" t="s">
        <v>59</v>
      </c>
      <c r="F399" s="15">
        <v>3</v>
      </c>
      <c r="G399" s="15">
        <f t="shared" si="31"/>
        <v>2</v>
      </c>
      <c r="H399" s="60">
        <v>4</v>
      </c>
      <c r="I399" s="85"/>
    </row>
    <row r="400" spans="1:10" ht="15.95" customHeight="1" x14ac:dyDescent="0.3">
      <c r="A400" s="60">
        <f t="shared" si="32"/>
        <v>2216</v>
      </c>
      <c r="B400" s="9" t="s">
        <v>156</v>
      </c>
      <c r="C400" s="9"/>
      <c r="D400" s="60"/>
      <c r="E400" s="15" t="s">
        <v>59</v>
      </c>
      <c r="F400" s="15">
        <v>3</v>
      </c>
      <c r="G400" s="15">
        <f t="shared" ref="G400:G410" si="33">IF(OR(E400="U16", E400="S16"),1,IF(E400="TS",6,2))</f>
        <v>2</v>
      </c>
      <c r="H400" s="60">
        <v>4</v>
      </c>
      <c r="I400" s="85"/>
      <c r="J400" s="10" t="s">
        <v>124</v>
      </c>
    </row>
    <row r="401" spans="1:9" ht="15.95" customHeight="1" x14ac:dyDescent="0.3">
      <c r="A401" s="60">
        <f t="shared" si="32"/>
        <v>2224</v>
      </c>
      <c r="B401" s="9" t="s">
        <v>157</v>
      </c>
      <c r="C401" s="9"/>
      <c r="D401" s="60"/>
      <c r="E401" s="15" t="s">
        <v>59</v>
      </c>
      <c r="F401" s="15">
        <v>3</v>
      </c>
      <c r="G401" s="15">
        <f t="shared" si="33"/>
        <v>2</v>
      </c>
      <c r="H401" s="60">
        <v>4</v>
      </c>
      <c r="I401" s="85"/>
    </row>
    <row r="402" spans="1:9" ht="15.95" customHeight="1" x14ac:dyDescent="0.3">
      <c r="A402" s="60">
        <f t="shared" si="32"/>
        <v>2232</v>
      </c>
      <c r="B402" s="9" t="s">
        <v>158</v>
      </c>
      <c r="C402" s="9"/>
      <c r="D402" s="60"/>
      <c r="E402" s="15" t="s">
        <v>59</v>
      </c>
      <c r="F402" s="15">
        <v>3</v>
      </c>
      <c r="G402" s="15">
        <f t="shared" si="33"/>
        <v>2</v>
      </c>
      <c r="H402" s="60">
        <v>4</v>
      </c>
      <c r="I402" s="85"/>
    </row>
    <row r="403" spans="1:9" ht="15.95" customHeight="1" x14ac:dyDescent="0.3">
      <c r="A403" s="60">
        <f t="shared" si="32"/>
        <v>2240</v>
      </c>
      <c r="B403" s="9" t="s">
        <v>159</v>
      </c>
      <c r="C403" s="9"/>
      <c r="D403" s="60"/>
      <c r="E403" s="15" t="s">
        <v>59</v>
      </c>
      <c r="F403" s="15">
        <v>3</v>
      </c>
      <c r="G403" s="15">
        <f t="shared" si="33"/>
        <v>2</v>
      </c>
      <c r="H403" s="60">
        <v>4</v>
      </c>
      <c r="I403" s="85"/>
    </row>
    <row r="404" spans="1:9" ht="15.95" customHeight="1" x14ac:dyDescent="0.3">
      <c r="A404" s="60">
        <f t="shared" si="32"/>
        <v>2248</v>
      </c>
      <c r="B404" s="9" t="s">
        <v>160</v>
      </c>
      <c r="C404" s="9"/>
      <c r="D404" s="60"/>
      <c r="E404" s="15" t="s">
        <v>59</v>
      </c>
      <c r="F404" s="15">
        <v>3</v>
      </c>
      <c r="G404" s="15">
        <f t="shared" si="33"/>
        <v>2</v>
      </c>
      <c r="H404" s="60">
        <v>4</v>
      </c>
      <c r="I404" s="85"/>
    </row>
    <row r="405" spans="1:9" ht="15.95" customHeight="1" x14ac:dyDescent="0.3">
      <c r="A405" s="60">
        <f t="shared" si="32"/>
        <v>2256</v>
      </c>
      <c r="B405" s="9" t="s">
        <v>161</v>
      </c>
      <c r="C405" s="9"/>
      <c r="D405" s="60"/>
      <c r="E405" s="15" t="s">
        <v>59</v>
      </c>
      <c r="F405" s="15">
        <v>3</v>
      </c>
      <c r="G405" s="15">
        <f t="shared" si="33"/>
        <v>2</v>
      </c>
      <c r="H405" s="60">
        <v>4</v>
      </c>
      <c r="I405" s="85"/>
    </row>
    <row r="406" spans="1:9" ht="15.95" customHeight="1" x14ac:dyDescent="0.3">
      <c r="A406" s="60">
        <f t="shared" si="32"/>
        <v>2264</v>
      </c>
      <c r="B406" s="9" t="s">
        <v>118</v>
      </c>
      <c r="C406" s="9"/>
      <c r="D406" s="60"/>
      <c r="E406" s="15" t="s">
        <v>59</v>
      </c>
      <c r="F406" s="15">
        <v>3</v>
      </c>
      <c r="G406" s="15">
        <f t="shared" si="33"/>
        <v>2</v>
      </c>
      <c r="H406" s="60">
        <v>4</v>
      </c>
      <c r="I406" s="85"/>
    </row>
    <row r="407" spans="1:9" ht="15.95" customHeight="1" x14ac:dyDescent="0.3">
      <c r="A407" s="60">
        <f t="shared" si="32"/>
        <v>2272</v>
      </c>
      <c r="B407" s="9" t="s">
        <v>119</v>
      </c>
      <c r="C407" s="9"/>
      <c r="D407" s="60"/>
      <c r="E407" s="15" t="s">
        <v>59</v>
      </c>
      <c r="F407" s="15">
        <v>3</v>
      </c>
      <c r="G407" s="15">
        <f t="shared" si="33"/>
        <v>2</v>
      </c>
      <c r="H407" s="60">
        <v>4</v>
      </c>
      <c r="I407" s="85"/>
    </row>
    <row r="408" spans="1:9" ht="15.95" customHeight="1" x14ac:dyDescent="0.3">
      <c r="A408" s="60">
        <f t="shared" si="32"/>
        <v>2280</v>
      </c>
      <c r="B408" s="9" t="s">
        <v>120</v>
      </c>
      <c r="C408" s="9"/>
      <c r="D408" s="60"/>
      <c r="E408" s="15" t="s">
        <v>59</v>
      </c>
      <c r="F408" s="15">
        <v>3</v>
      </c>
      <c r="G408" s="15">
        <f t="shared" si="33"/>
        <v>2</v>
      </c>
      <c r="H408" s="60">
        <v>4</v>
      </c>
      <c r="I408" s="85"/>
    </row>
    <row r="409" spans="1:9" ht="15.95" customHeight="1" x14ac:dyDescent="0.3">
      <c r="A409" s="60">
        <f t="shared" si="32"/>
        <v>2288</v>
      </c>
      <c r="B409" s="9" t="s">
        <v>149</v>
      </c>
      <c r="C409" s="9"/>
      <c r="D409" s="60"/>
      <c r="E409" s="15" t="s">
        <v>59</v>
      </c>
      <c r="F409" s="15">
        <v>3</v>
      </c>
      <c r="G409" s="15">
        <f t="shared" si="33"/>
        <v>2</v>
      </c>
      <c r="H409" s="60">
        <v>4</v>
      </c>
      <c r="I409" s="85"/>
    </row>
    <row r="410" spans="1:9" ht="15.95" customHeight="1" x14ac:dyDescent="0.3">
      <c r="A410" s="60">
        <f t="shared" si="32"/>
        <v>2296</v>
      </c>
      <c r="B410" s="9" t="s">
        <v>131</v>
      </c>
      <c r="C410" s="9"/>
      <c r="D410" s="60"/>
      <c r="E410" s="15" t="s">
        <v>59</v>
      </c>
      <c r="F410" s="15">
        <v>3</v>
      </c>
      <c r="G410" s="15">
        <f t="shared" si="33"/>
        <v>2</v>
      </c>
      <c r="H410" s="60">
        <v>4</v>
      </c>
      <c r="I410" s="85"/>
    </row>
    <row r="411" spans="1:9" ht="15.95" customHeight="1" x14ac:dyDescent="0.3">
      <c r="A411" s="60">
        <f t="shared" si="32"/>
        <v>2304</v>
      </c>
      <c r="B411" s="9" t="s">
        <v>122</v>
      </c>
      <c r="C411" s="9"/>
      <c r="D411" s="60"/>
      <c r="E411" s="15" t="s">
        <v>59</v>
      </c>
      <c r="F411" s="15">
        <v>3</v>
      </c>
      <c r="G411" s="15">
        <f t="shared" ref="G411:G421" si="34">IF(OR(E411="U16", E411="S16"),1,IF(E411="TS",6,2))</f>
        <v>2</v>
      </c>
      <c r="H411" s="60">
        <v>4</v>
      </c>
      <c r="I411" s="85"/>
    </row>
    <row r="412" spans="1:9" ht="15.95" customHeight="1" x14ac:dyDescent="0.3">
      <c r="A412" s="60">
        <f t="shared" si="32"/>
        <v>2312</v>
      </c>
      <c r="B412" s="9" t="s">
        <v>130</v>
      </c>
      <c r="C412" s="9"/>
      <c r="D412" s="60"/>
      <c r="E412" s="15" t="s">
        <v>59</v>
      </c>
      <c r="F412" s="15">
        <v>3</v>
      </c>
      <c r="G412" s="15">
        <f t="shared" si="34"/>
        <v>2</v>
      </c>
      <c r="H412" s="60">
        <v>4</v>
      </c>
      <c r="I412" s="85"/>
    </row>
    <row r="413" spans="1:9" ht="15.95" customHeight="1" x14ac:dyDescent="0.3">
      <c r="A413" s="60">
        <f t="shared" si="32"/>
        <v>2320</v>
      </c>
      <c r="B413" s="9" t="s">
        <v>60</v>
      </c>
      <c r="C413" s="9"/>
      <c r="D413" s="60"/>
      <c r="E413" s="15" t="s">
        <v>59</v>
      </c>
      <c r="F413" s="15">
        <v>3</v>
      </c>
      <c r="G413" s="15">
        <f t="shared" si="34"/>
        <v>2</v>
      </c>
      <c r="H413" s="60">
        <v>4</v>
      </c>
      <c r="I413" s="85"/>
    </row>
    <row r="414" spans="1:9" ht="15.95" customHeight="1" x14ac:dyDescent="0.3">
      <c r="A414" s="60">
        <f t="shared" si="32"/>
        <v>2328</v>
      </c>
      <c r="B414" s="9" t="s">
        <v>3</v>
      </c>
      <c r="C414" s="9"/>
      <c r="D414" s="60"/>
      <c r="E414" s="15" t="s">
        <v>58</v>
      </c>
      <c r="F414" s="15">
        <v>3</v>
      </c>
      <c r="G414" s="15">
        <f t="shared" si="34"/>
        <v>2</v>
      </c>
      <c r="H414" s="60">
        <v>4</v>
      </c>
      <c r="I414" s="85"/>
    </row>
    <row r="415" spans="1:9" ht="15.95" customHeight="1" x14ac:dyDescent="0.3">
      <c r="A415" s="60">
        <f t="shared" si="32"/>
        <v>2336</v>
      </c>
      <c r="B415" s="9" t="s">
        <v>4</v>
      </c>
      <c r="C415" s="9"/>
      <c r="D415" s="60"/>
      <c r="E415" s="15" t="s">
        <v>59</v>
      </c>
      <c r="F415" s="15">
        <v>3</v>
      </c>
      <c r="G415" s="15">
        <f>IF(OR(E415="U16", E415="S16"),1,IF(E415="TS",6,2))</f>
        <v>2</v>
      </c>
      <c r="H415" s="60">
        <v>4</v>
      </c>
      <c r="I415" s="85"/>
    </row>
    <row r="416" spans="1:9" ht="15.95" customHeight="1" x14ac:dyDescent="0.3">
      <c r="A416" s="60">
        <f t="shared" si="32"/>
        <v>2344</v>
      </c>
      <c r="B416" s="9" t="s">
        <v>61</v>
      </c>
      <c r="C416" s="9"/>
      <c r="D416" s="60"/>
      <c r="E416" s="15" t="s">
        <v>59</v>
      </c>
      <c r="F416" s="15">
        <v>3</v>
      </c>
      <c r="G416" s="15">
        <f>IF(OR(E416="U16", E416="S16"),1,IF(E416="TS",6,2))</f>
        <v>2</v>
      </c>
      <c r="H416" s="60">
        <v>4</v>
      </c>
      <c r="I416" s="85"/>
    </row>
    <row r="417" spans="1:9" ht="15.95" customHeight="1" x14ac:dyDescent="0.3">
      <c r="A417" s="60">
        <f t="shared" si="32"/>
        <v>2352</v>
      </c>
      <c r="B417" s="9" t="s">
        <v>62</v>
      </c>
      <c r="C417" s="9"/>
      <c r="D417" s="60"/>
      <c r="E417" s="15" t="s">
        <v>59</v>
      </c>
      <c r="F417" s="15">
        <v>3</v>
      </c>
      <c r="G417" s="15">
        <f>IF(OR(E417="U16", E417="S16"),1,IF(E417="TS",6,2))</f>
        <v>2</v>
      </c>
      <c r="H417" s="60">
        <v>4</v>
      </c>
      <c r="I417" s="85"/>
    </row>
    <row r="418" spans="1:9" ht="15.95" customHeight="1" x14ac:dyDescent="0.3">
      <c r="A418" s="60">
        <f t="shared" si="32"/>
        <v>2360</v>
      </c>
      <c r="B418" s="9" t="s">
        <v>63</v>
      </c>
      <c r="C418" s="9"/>
      <c r="D418" s="60"/>
      <c r="E418" s="15" t="s">
        <v>59</v>
      </c>
      <c r="F418" s="15">
        <v>3</v>
      </c>
      <c r="G418" s="15">
        <f>IF(OR(E418="U16", E418="S16"),1,IF(E418="TS",6,2))</f>
        <v>2</v>
      </c>
      <c r="H418" s="60">
        <v>4</v>
      </c>
      <c r="I418" s="85"/>
    </row>
    <row r="419" spans="1:9" ht="15.95" customHeight="1" x14ac:dyDescent="0.3">
      <c r="A419" s="60">
        <f t="shared" si="32"/>
        <v>2368</v>
      </c>
      <c r="B419" s="9" t="s">
        <v>64</v>
      </c>
      <c r="C419" s="9"/>
      <c r="D419" s="60"/>
      <c r="E419" s="15" t="s">
        <v>59</v>
      </c>
      <c r="F419" s="15">
        <v>3</v>
      </c>
      <c r="G419" s="15">
        <f t="shared" si="34"/>
        <v>2</v>
      </c>
      <c r="H419" s="60">
        <v>4</v>
      </c>
      <c r="I419" s="85"/>
    </row>
    <row r="420" spans="1:9" ht="15.95" customHeight="1" x14ac:dyDescent="0.3">
      <c r="A420" s="60">
        <f t="shared" si="32"/>
        <v>2376</v>
      </c>
      <c r="B420" s="9" t="s">
        <v>65</v>
      </c>
      <c r="C420" s="9"/>
      <c r="D420" s="60"/>
      <c r="E420" s="15" t="s">
        <v>59</v>
      </c>
      <c r="F420" s="15">
        <v>3</v>
      </c>
      <c r="G420" s="15">
        <f t="shared" si="34"/>
        <v>2</v>
      </c>
      <c r="H420" s="60">
        <v>4</v>
      </c>
      <c r="I420" s="85"/>
    </row>
    <row r="421" spans="1:9" ht="15.95" customHeight="1" x14ac:dyDescent="0.3">
      <c r="A421" s="60">
        <f t="shared" si="32"/>
        <v>2384</v>
      </c>
      <c r="B421" s="9" t="s">
        <v>66</v>
      </c>
      <c r="C421" s="9"/>
      <c r="D421" s="60"/>
      <c r="E421" s="15" t="s">
        <v>59</v>
      </c>
      <c r="F421" s="15">
        <v>3</v>
      </c>
      <c r="G421" s="15">
        <f t="shared" si="34"/>
        <v>2</v>
      </c>
      <c r="H421" s="60">
        <v>4</v>
      </c>
      <c r="I421" s="85"/>
    </row>
    <row r="422" spans="1:9" ht="15.95" customHeight="1" x14ac:dyDescent="0.3">
      <c r="A422" s="60">
        <f t="shared" si="32"/>
        <v>2392</v>
      </c>
      <c r="B422" s="9" t="s">
        <v>6</v>
      </c>
      <c r="C422" s="9"/>
      <c r="D422" s="60"/>
      <c r="E422" s="15" t="s">
        <v>59</v>
      </c>
      <c r="F422" s="15">
        <v>3</v>
      </c>
      <c r="G422" s="15">
        <f t="shared" ref="G422:G439" si="35">IF(OR(E422="U16", E422="S16"),1,IF(E422="TS",6,2))</f>
        <v>2</v>
      </c>
      <c r="H422" s="60">
        <v>4</v>
      </c>
      <c r="I422" s="85"/>
    </row>
    <row r="423" spans="1:9" ht="15.95" customHeight="1" x14ac:dyDescent="0.3">
      <c r="A423" s="60">
        <f t="shared" si="32"/>
        <v>2400</v>
      </c>
      <c r="B423" s="9" t="s">
        <v>7</v>
      </c>
      <c r="C423" s="9"/>
      <c r="D423" s="60"/>
      <c r="E423" s="15" t="s">
        <v>59</v>
      </c>
      <c r="F423" s="15">
        <v>3</v>
      </c>
      <c r="G423" s="15">
        <f t="shared" si="35"/>
        <v>2</v>
      </c>
      <c r="H423" s="60">
        <v>4</v>
      </c>
      <c r="I423" s="85"/>
    </row>
    <row r="424" spans="1:9" ht="15.95" customHeight="1" x14ac:dyDescent="0.3">
      <c r="A424" s="60">
        <f t="shared" si="32"/>
        <v>2408</v>
      </c>
      <c r="B424" s="9" t="s">
        <v>67</v>
      </c>
      <c r="C424" s="9"/>
      <c r="D424" s="60"/>
      <c r="E424" s="15" t="s">
        <v>59</v>
      </c>
      <c r="F424" s="15">
        <v>3</v>
      </c>
      <c r="G424" s="15">
        <f t="shared" si="35"/>
        <v>2</v>
      </c>
      <c r="H424" s="60">
        <v>4</v>
      </c>
      <c r="I424" s="85"/>
    </row>
    <row r="425" spans="1:9" ht="15.95" customHeight="1" x14ac:dyDescent="0.3">
      <c r="A425" s="60">
        <f t="shared" si="32"/>
        <v>2416</v>
      </c>
      <c r="B425" s="9" t="s">
        <v>135</v>
      </c>
      <c r="C425" s="9"/>
      <c r="D425" s="60"/>
      <c r="E425" s="15" t="s">
        <v>59</v>
      </c>
      <c r="F425" s="15">
        <v>3</v>
      </c>
      <c r="G425" s="15">
        <f t="shared" si="35"/>
        <v>2</v>
      </c>
      <c r="H425" s="60">
        <v>4</v>
      </c>
      <c r="I425" s="85"/>
    </row>
    <row r="426" spans="1:9" ht="15.95" customHeight="1" x14ac:dyDescent="0.3">
      <c r="A426" s="60">
        <f t="shared" si="32"/>
        <v>2424</v>
      </c>
      <c r="B426" s="9" t="s">
        <v>136</v>
      </c>
      <c r="C426" s="9"/>
      <c r="D426" s="60"/>
      <c r="E426" s="15" t="s">
        <v>59</v>
      </c>
      <c r="F426" s="15">
        <v>3</v>
      </c>
      <c r="G426" s="15">
        <f t="shared" si="35"/>
        <v>2</v>
      </c>
      <c r="H426" s="60">
        <v>4</v>
      </c>
      <c r="I426" s="85"/>
    </row>
    <row r="427" spans="1:9" ht="15.95" customHeight="1" x14ac:dyDescent="0.3">
      <c r="A427" s="60">
        <f t="shared" si="32"/>
        <v>2432</v>
      </c>
      <c r="B427" s="9" t="s">
        <v>137</v>
      </c>
      <c r="C427" s="9"/>
      <c r="D427" s="60"/>
      <c r="E427" s="15" t="s">
        <v>59</v>
      </c>
      <c r="F427" s="15">
        <v>3</v>
      </c>
      <c r="G427" s="15">
        <f t="shared" si="35"/>
        <v>2</v>
      </c>
      <c r="H427" s="60">
        <v>4</v>
      </c>
      <c r="I427" s="85"/>
    </row>
    <row r="428" spans="1:9" ht="15.95" customHeight="1" x14ac:dyDescent="0.3">
      <c r="A428" s="60">
        <f t="shared" si="32"/>
        <v>2440</v>
      </c>
      <c r="B428" s="9" t="s">
        <v>81</v>
      </c>
      <c r="C428" s="9"/>
      <c r="D428" s="60"/>
      <c r="E428" s="15" t="s">
        <v>59</v>
      </c>
      <c r="F428" s="15">
        <v>3</v>
      </c>
      <c r="G428" s="15">
        <f t="shared" si="35"/>
        <v>2</v>
      </c>
      <c r="H428" s="60">
        <v>4</v>
      </c>
      <c r="I428" s="85"/>
    </row>
    <row r="429" spans="1:9" ht="15.95" customHeight="1" x14ac:dyDescent="0.3">
      <c r="A429" s="60">
        <f t="shared" si="32"/>
        <v>2448</v>
      </c>
      <c r="B429" s="9" t="s">
        <v>236</v>
      </c>
      <c r="C429" s="9"/>
      <c r="D429" s="60"/>
      <c r="E429" s="15" t="s">
        <v>59</v>
      </c>
      <c r="F429" s="15">
        <v>3</v>
      </c>
      <c r="G429" s="15">
        <f t="shared" si="35"/>
        <v>2</v>
      </c>
      <c r="H429" s="60">
        <v>4</v>
      </c>
      <c r="I429" s="85"/>
    </row>
    <row r="430" spans="1:9" ht="15.95" customHeight="1" x14ac:dyDescent="0.3">
      <c r="A430" s="60">
        <f t="shared" si="32"/>
        <v>2456</v>
      </c>
      <c r="B430" s="9" t="s">
        <v>237</v>
      </c>
      <c r="C430" s="9"/>
      <c r="D430" s="60"/>
      <c r="E430" s="15" t="s">
        <v>59</v>
      </c>
      <c r="F430" s="15">
        <v>3</v>
      </c>
      <c r="G430" s="15">
        <f t="shared" si="35"/>
        <v>2</v>
      </c>
      <c r="H430" s="60">
        <v>4</v>
      </c>
      <c r="I430" s="85"/>
    </row>
    <row r="431" spans="1:9" ht="15.95" customHeight="1" x14ac:dyDescent="0.3">
      <c r="A431" s="60">
        <f t="shared" si="32"/>
        <v>2464</v>
      </c>
      <c r="B431" s="9" t="s">
        <v>238</v>
      </c>
      <c r="C431" s="9"/>
      <c r="D431" s="60"/>
      <c r="E431" s="15" t="s">
        <v>59</v>
      </c>
      <c r="F431" s="15">
        <v>3</v>
      </c>
      <c r="G431" s="15">
        <f t="shared" si="35"/>
        <v>2</v>
      </c>
      <c r="H431" s="60">
        <v>4</v>
      </c>
      <c r="I431" s="85"/>
    </row>
    <row r="432" spans="1:9" ht="15.95" customHeight="1" x14ac:dyDescent="0.3">
      <c r="A432" s="60">
        <f t="shared" si="32"/>
        <v>2472</v>
      </c>
      <c r="B432" s="9" t="s">
        <v>239</v>
      </c>
      <c r="C432" s="9"/>
      <c r="D432" s="60"/>
      <c r="E432" s="15" t="s">
        <v>59</v>
      </c>
      <c r="F432" s="15">
        <v>3</v>
      </c>
      <c r="G432" s="15">
        <f t="shared" si="35"/>
        <v>2</v>
      </c>
      <c r="H432" s="60">
        <v>4</v>
      </c>
      <c r="I432" s="85"/>
    </row>
    <row r="433" spans="1:9" ht="15.95" customHeight="1" x14ac:dyDescent="0.3">
      <c r="A433" s="60">
        <f t="shared" si="32"/>
        <v>2480</v>
      </c>
      <c r="B433" s="9" t="s">
        <v>240</v>
      </c>
      <c r="C433" s="9"/>
      <c r="D433" s="60"/>
      <c r="E433" s="15" t="s">
        <v>59</v>
      </c>
      <c r="F433" s="15">
        <v>3</v>
      </c>
      <c r="G433" s="15">
        <f t="shared" si="35"/>
        <v>2</v>
      </c>
      <c r="H433" s="60">
        <v>4</v>
      </c>
      <c r="I433" s="85"/>
    </row>
    <row r="434" spans="1:9" ht="15.95" customHeight="1" x14ac:dyDescent="0.3">
      <c r="A434" s="60">
        <f t="shared" si="32"/>
        <v>2488</v>
      </c>
      <c r="B434" s="9" t="s">
        <v>241</v>
      </c>
      <c r="C434" s="9"/>
      <c r="D434" s="60"/>
      <c r="E434" s="15" t="s">
        <v>59</v>
      </c>
      <c r="F434" s="15">
        <v>3</v>
      </c>
      <c r="G434" s="15">
        <f t="shared" si="35"/>
        <v>2</v>
      </c>
      <c r="H434" s="60">
        <v>4</v>
      </c>
      <c r="I434" s="85"/>
    </row>
    <row r="435" spans="1:9" ht="15.95" customHeight="1" x14ac:dyDescent="0.3">
      <c r="A435" s="60">
        <f t="shared" si="32"/>
        <v>2496</v>
      </c>
      <c r="B435" s="9" t="s">
        <v>242</v>
      </c>
      <c r="C435" s="9"/>
      <c r="D435" s="60"/>
      <c r="E435" s="15" t="s">
        <v>59</v>
      </c>
      <c r="F435" s="15">
        <v>3</v>
      </c>
      <c r="G435" s="15">
        <f t="shared" si="35"/>
        <v>2</v>
      </c>
      <c r="H435" s="60">
        <v>4</v>
      </c>
      <c r="I435" s="85"/>
    </row>
    <row r="436" spans="1:9" ht="15.95" customHeight="1" x14ac:dyDescent="0.3">
      <c r="A436" s="60">
        <f t="shared" si="32"/>
        <v>2504</v>
      </c>
      <c r="B436" s="9" t="s">
        <v>25</v>
      </c>
      <c r="C436" s="9"/>
      <c r="D436" s="60"/>
      <c r="E436" s="15" t="s">
        <v>59</v>
      </c>
      <c r="F436" s="15">
        <v>3</v>
      </c>
      <c r="G436" s="15">
        <f t="shared" si="35"/>
        <v>2</v>
      </c>
      <c r="H436" s="60">
        <v>4</v>
      </c>
      <c r="I436" s="85"/>
    </row>
    <row r="437" spans="1:9" ht="15.95" customHeight="1" x14ac:dyDescent="0.3">
      <c r="A437" s="60">
        <f t="shared" si="32"/>
        <v>2512</v>
      </c>
      <c r="B437" s="9" t="s">
        <v>26</v>
      </c>
      <c r="C437" s="9"/>
      <c r="D437" s="60"/>
      <c r="E437" s="15" t="s">
        <v>59</v>
      </c>
      <c r="F437" s="15">
        <v>3</v>
      </c>
      <c r="G437" s="15">
        <f>IF(OR(E437="U16", E437="S16"),1,IF(E437="TS",6,2))</f>
        <v>2</v>
      </c>
      <c r="H437" s="60">
        <v>4</v>
      </c>
      <c r="I437" s="85"/>
    </row>
    <row r="438" spans="1:9" ht="15.95" customHeight="1" x14ac:dyDescent="0.3">
      <c r="A438" s="60">
        <f t="shared" si="32"/>
        <v>2520</v>
      </c>
      <c r="B438" s="9" t="s">
        <v>401</v>
      </c>
      <c r="C438" s="9"/>
      <c r="D438" s="60"/>
      <c r="E438" s="15" t="s">
        <v>258</v>
      </c>
      <c r="F438" s="15">
        <v>3</v>
      </c>
      <c r="G438" s="15">
        <f>IF(OR(E438="U16", E438="S16"),1,IF(E438="TS",6,2))</f>
        <v>2</v>
      </c>
      <c r="H438" s="60">
        <v>1</v>
      </c>
      <c r="I438" s="85"/>
    </row>
    <row r="439" spans="1:9" ht="15.95" customHeight="1" x14ac:dyDescent="0.3">
      <c r="A439" s="60">
        <f t="shared" si="32"/>
        <v>2522</v>
      </c>
      <c r="B439" s="9" t="s">
        <v>195</v>
      </c>
      <c r="C439" s="9"/>
      <c r="D439" s="60"/>
      <c r="E439" s="15" t="s">
        <v>123</v>
      </c>
      <c r="F439" s="15">
        <v>3</v>
      </c>
      <c r="G439" s="15">
        <f t="shared" si="35"/>
        <v>1</v>
      </c>
      <c r="H439" s="60">
        <v>1</v>
      </c>
      <c r="I439" s="85"/>
    </row>
    <row r="440" spans="1:9" ht="15.95" customHeight="1" x14ac:dyDescent="0.3">
      <c r="A440" s="60">
        <f t="shared" si="32"/>
        <v>2523</v>
      </c>
      <c r="B440" s="9" t="s">
        <v>397</v>
      </c>
      <c r="C440" s="9"/>
      <c r="D440" s="60"/>
      <c r="E440" s="15" t="s">
        <v>123</v>
      </c>
      <c r="F440" s="15">
        <v>3</v>
      </c>
      <c r="G440" s="15">
        <f>IF(OR(E440="U16", E440="S16"),1,IF(E440="TS",6,2))</f>
        <v>1</v>
      </c>
      <c r="H440" s="60">
        <v>1</v>
      </c>
      <c r="I440" s="85"/>
    </row>
    <row r="441" spans="1:9" ht="15.95" customHeight="1" x14ac:dyDescent="0.3">
      <c r="A441" s="60">
        <f t="shared" si="32"/>
        <v>2524</v>
      </c>
      <c r="B441" s="9"/>
      <c r="C441" s="9"/>
      <c r="D441" s="60"/>
      <c r="E441" s="15" t="s">
        <v>123</v>
      </c>
      <c r="F441" s="15">
        <v>3</v>
      </c>
      <c r="G441" s="15">
        <f>IF(OR(E441="U16", E441="S16"),1,IF(E441="TS",6,2))</f>
        <v>1</v>
      </c>
      <c r="H441" s="60">
        <v>6</v>
      </c>
      <c r="I441" s="85"/>
    </row>
    <row r="442" spans="1:9" ht="15.95" customHeight="1" x14ac:dyDescent="0.3">
      <c r="A442" s="162" t="s">
        <v>437</v>
      </c>
      <c r="B442" s="162"/>
      <c r="C442" s="162"/>
      <c r="D442" s="162"/>
      <c r="E442" s="162"/>
      <c r="F442" s="162"/>
      <c r="G442" s="162"/>
      <c r="H442" s="162"/>
      <c r="I442" s="88"/>
    </row>
    <row r="443" spans="1:9" ht="15.95" customHeight="1" x14ac:dyDescent="0.3">
      <c r="A443" s="60">
        <f>A441+(G441*H441)</f>
        <v>2530</v>
      </c>
      <c r="B443" s="9" t="s">
        <v>399</v>
      </c>
      <c r="C443" s="9"/>
      <c r="D443" s="60"/>
      <c r="E443" s="15" t="s">
        <v>123</v>
      </c>
      <c r="F443" s="15">
        <v>3</v>
      </c>
      <c r="G443" s="15">
        <f t="shared" ref="G443:G450" si="36">IF(OR(E443="U16", E443="S16"),1,IF(E443="TS",6,2))</f>
        <v>1</v>
      </c>
      <c r="H443" s="60">
        <v>1</v>
      </c>
      <c r="I443" s="85"/>
    </row>
    <row r="444" spans="1:9" ht="15.95" customHeight="1" x14ac:dyDescent="0.3">
      <c r="A444" s="60">
        <f t="shared" ref="A444:A484" si="37">A443+(G443*H443)</f>
        <v>2531</v>
      </c>
      <c r="B444" s="9" t="s">
        <v>400</v>
      </c>
      <c r="C444" s="9"/>
      <c r="D444" s="60"/>
      <c r="E444" s="15" t="s">
        <v>123</v>
      </c>
      <c r="F444" s="15">
        <v>3</v>
      </c>
      <c r="G444" s="15">
        <f t="shared" si="36"/>
        <v>1</v>
      </c>
      <c r="H444" s="60">
        <v>1</v>
      </c>
      <c r="I444" s="85"/>
    </row>
    <row r="445" spans="1:9" ht="15.95" customHeight="1" thickBot="1" x14ac:dyDescent="0.35">
      <c r="A445" s="61">
        <f t="shared" si="37"/>
        <v>2532</v>
      </c>
      <c r="B445" s="25" t="s">
        <v>795</v>
      </c>
      <c r="C445" s="110"/>
      <c r="D445" s="61"/>
      <c r="E445" s="17" t="s">
        <v>258</v>
      </c>
      <c r="F445" s="17">
        <v>3</v>
      </c>
      <c r="G445" s="17">
        <f t="shared" si="36"/>
        <v>2</v>
      </c>
      <c r="H445" s="61">
        <v>1</v>
      </c>
      <c r="I445" s="85"/>
    </row>
    <row r="446" spans="1:9" ht="15.95" customHeight="1" x14ac:dyDescent="0.3">
      <c r="A446" s="34">
        <f t="shared" si="37"/>
        <v>2534</v>
      </c>
      <c r="B446" s="188" t="s">
        <v>796</v>
      </c>
      <c r="C446" s="120" t="s">
        <v>797</v>
      </c>
      <c r="D446" s="35"/>
      <c r="E446" s="35" t="s">
        <v>123</v>
      </c>
      <c r="F446" s="35">
        <v>3</v>
      </c>
      <c r="G446" s="35">
        <f t="shared" si="36"/>
        <v>1</v>
      </c>
      <c r="H446" s="36">
        <v>1</v>
      </c>
      <c r="I446" s="92"/>
    </row>
    <row r="447" spans="1:9" ht="15.95" customHeight="1" x14ac:dyDescent="0.3">
      <c r="A447" s="63">
        <f t="shared" si="37"/>
        <v>2535</v>
      </c>
      <c r="B447" s="189"/>
      <c r="C447" s="121" t="s">
        <v>798</v>
      </c>
      <c r="D447" s="64"/>
      <c r="E447" s="64" t="s">
        <v>123</v>
      </c>
      <c r="F447" s="64">
        <v>3</v>
      </c>
      <c r="G447" s="64">
        <f t="shared" si="36"/>
        <v>1</v>
      </c>
      <c r="H447" s="65">
        <v>1</v>
      </c>
      <c r="I447" s="92"/>
    </row>
    <row r="448" spans="1:9" ht="15.95" customHeight="1" x14ac:dyDescent="0.3">
      <c r="A448" s="63">
        <f t="shared" si="37"/>
        <v>2536</v>
      </c>
      <c r="B448" s="189"/>
      <c r="C448" s="121" t="s">
        <v>799</v>
      </c>
      <c r="D448" s="64"/>
      <c r="E448" s="64" t="s">
        <v>58</v>
      </c>
      <c r="F448" s="64">
        <v>3</v>
      </c>
      <c r="G448" s="64">
        <f t="shared" si="36"/>
        <v>2</v>
      </c>
      <c r="H448" s="65">
        <v>1</v>
      </c>
      <c r="I448" s="92"/>
    </row>
    <row r="449" spans="1:9" ht="15.95" customHeight="1" x14ac:dyDescent="0.3">
      <c r="A449" s="63">
        <f t="shared" si="37"/>
        <v>2538</v>
      </c>
      <c r="B449" s="189"/>
      <c r="C449" s="121" t="s">
        <v>800</v>
      </c>
      <c r="D449" s="64"/>
      <c r="E449" s="64" t="s">
        <v>123</v>
      </c>
      <c r="F449" s="64">
        <v>3</v>
      </c>
      <c r="G449" s="64">
        <f t="shared" si="36"/>
        <v>1</v>
      </c>
      <c r="H449" s="65">
        <v>1</v>
      </c>
      <c r="I449" s="92"/>
    </row>
    <row r="450" spans="1:9" ht="15.95" customHeight="1" thickBot="1" x14ac:dyDescent="0.35">
      <c r="A450" s="37">
        <f t="shared" si="37"/>
        <v>2539</v>
      </c>
      <c r="B450" s="190"/>
      <c r="C450" s="122" t="s">
        <v>801</v>
      </c>
      <c r="D450" s="38"/>
      <c r="E450" s="38" t="s">
        <v>123</v>
      </c>
      <c r="F450" s="38">
        <v>3</v>
      </c>
      <c r="G450" s="38">
        <f t="shared" si="36"/>
        <v>1</v>
      </c>
      <c r="H450" s="39">
        <v>1</v>
      </c>
      <c r="I450" s="92"/>
    </row>
    <row r="451" spans="1:9" ht="15.95" customHeight="1" x14ac:dyDescent="0.3">
      <c r="A451" s="62">
        <f t="shared" si="37"/>
        <v>2540</v>
      </c>
      <c r="B451" s="30" t="s">
        <v>802</v>
      </c>
      <c r="C451" s="111"/>
      <c r="D451" s="62"/>
      <c r="E451" s="32" t="s">
        <v>123</v>
      </c>
      <c r="F451" s="32">
        <v>3</v>
      </c>
      <c r="G451" s="32">
        <f t="shared" ref="G451:G482" si="38">IF(OR(E451="U16", E451="S16"),1,IF(E451="TS",6,2))</f>
        <v>1</v>
      </c>
      <c r="H451" s="62">
        <v>6</v>
      </c>
      <c r="I451" s="85"/>
    </row>
    <row r="452" spans="1:9" ht="15.95" customHeight="1" x14ac:dyDescent="0.3">
      <c r="A452" s="60">
        <f t="shared" si="37"/>
        <v>2546</v>
      </c>
      <c r="B452" s="9" t="s">
        <v>803</v>
      </c>
      <c r="C452" s="9"/>
      <c r="D452" s="60"/>
      <c r="E452" s="15" t="s">
        <v>123</v>
      </c>
      <c r="F452" s="15">
        <v>3</v>
      </c>
      <c r="G452" s="15">
        <f t="shared" si="38"/>
        <v>1</v>
      </c>
      <c r="H452" s="60">
        <v>6</v>
      </c>
      <c r="I452" s="85"/>
    </row>
    <row r="453" spans="1:9" ht="15.95" customHeight="1" x14ac:dyDescent="0.3">
      <c r="A453" s="60">
        <f t="shared" si="37"/>
        <v>2552</v>
      </c>
      <c r="B453" s="9" t="s">
        <v>804</v>
      </c>
      <c r="C453" s="9"/>
      <c r="D453" s="60"/>
      <c r="E453" s="15" t="s">
        <v>123</v>
      </c>
      <c r="F453" s="15">
        <v>3</v>
      </c>
      <c r="G453" s="15">
        <f t="shared" si="38"/>
        <v>1</v>
      </c>
      <c r="H453" s="60">
        <v>6</v>
      </c>
      <c r="I453" s="85"/>
    </row>
    <row r="454" spans="1:9" ht="15.95" customHeight="1" x14ac:dyDescent="0.3">
      <c r="A454" s="60">
        <f t="shared" si="37"/>
        <v>2558</v>
      </c>
      <c r="B454" s="9" t="s">
        <v>805</v>
      </c>
      <c r="C454" s="9"/>
      <c r="D454" s="60"/>
      <c r="E454" s="15" t="s">
        <v>123</v>
      </c>
      <c r="F454" s="15">
        <v>3</v>
      </c>
      <c r="G454" s="15">
        <f t="shared" si="38"/>
        <v>1</v>
      </c>
      <c r="H454" s="60">
        <v>6</v>
      </c>
      <c r="I454" s="85"/>
    </row>
    <row r="455" spans="1:9" ht="15.95" customHeight="1" x14ac:dyDescent="0.3">
      <c r="A455" s="60">
        <f t="shared" si="37"/>
        <v>2564</v>
      </c>
      <c r="B455" s="9" t="s">
        <v>806</v>
      </c>
      <c r="C455" s="9"/>
      <c r="D455" s="60"/>
      <c r="E455" s="15" t="s">
        <v>123</v>
      </c>
      <c r="F455" s="15">
        <v>3</v>
      </c>
      <c r="G455" s="15">
        <f t="shared" si="38"/>
        <v>1</v>
      </c>
      <c r="H455" s="60">
        <v>6</v>
      </c>
      <c r="I455" s="85"/>
    </row>
    <row r="456" spans="1:9" ht="15.95" customHeight="1" x14ac:dyDescent="0.3">
      <c r="A456" s="60">
        <f t="shared" si="37"/>
        <v>2570</v>
      </c>
      <c r="B456" s="9" t="s">
        <v>807</v>
      </c>
      <c r="C456" s="9"/>
      <c r="D456" s="60"/>
      <c r="E456" s="15" t="s">
        <v>123</v>
      </c>
      <c r="F456" s="15">
        <v>3</v>
      </c>
      <c r="G456" s="15">
        <f t="shared" si="38"/>
        <v>1</v>
      </c>
      <c r="H456" s="60">
        <v>6</v>
      </c>
      <c r="I456" s="85"/>
    </row>
    <row r="457" spans="1:9" ht="15.95" customHeight="1" x14ac:dyDescent="0.3">
      <c r="A457" s="60">
        <f t="shared" si="37"/>
        <v>2576</v>
      </c>
      <c r="B457" s="9" t="s">
        <v>808</v>
      </c>
      <c r="C457" s="9"/>
      <c r="D457" s="60"/>
      <c r="E457" s="15" t="s">
        <v>123</v>
      </c>
      <c r="F457" s="15">
        <v>3</v>
      </c>
      <c r="G457" s="15">
        <f t="shared" si="38"/>
        <v>1</v>
      </c>
      <c r="H457" s="60">
        <v>6</v>
      </c>
      <c r="I457" s="85"/>
    </row>
    <row r="458" spans="1:9" ht="15.95" customHeight="1" x14ac:dyDescent="0.3">
      <c r="A458" s="60">
        <f t="shared" si="37"/>
        <v>2582</v>
      </c>
      <c r="B458" s="9" t="s">
        <v>809</v>
      </c>
      <c r="C458" s="9"/>
      <c r="D458" s="60"/>
      <c r="E458" s="15" t="s">
        <v>123</v>
      </c>
      <c r="F458" s="15">
        <v>3</v>
      </c>
      <c r="G458" s="15">
        <f t="shared" si="38"/>
        <v>1</v>
      </c>
      <c r="H458" s="60">
        <v>6</v>
      </c>
      <c r="I458" s="85"/>
    </row>
    <row r="459" spans="1:9" ht="15.95" customHeight="1" x14ac:dyDescent="0.3">
      <c r="A459" s="60">
        <f t="shared" si="37"/>
        <v>2588</v>
      </c>
      <c r="B459" s="9" t="s">
        <v>810</v>
      </c>
      <c r="C459" s="9"/>
      <c r="D459" s="60"/>
      <c r="E459" s="15" t="s">
        <v>123</v>
      </c>
      <c r="F459" s="15">
        <v>3</v>
      </c>
      <c r="G459" s="15">
        <f t="shared" si="38"/>
        <v>1</v>
      </c>
      <c r="H459" s="60">
        <v>6</v>
      </c>
      <c r="I459" s="85"/>
    </row>
    <row r="460" spans="1:9" ht="15.95" customHeight="1" x14ac:dyDescent="0.3">
      <c r="A460" s="60">
        <f t="shared" si="37"/>
        <v>2594</v>
      </c>
      <c r="B460" s="9" t="s">
        <v>811</v>
      </c>
      <c r="C460" s="9"/>
      <c r="D460" s="60"/>
      <c r="E460" s="15" t="s">
        <v>123</v>
      </c>
      <c r="F460" s="15">
        <v>3</v>
      </c>
      <c r="G460" s="15">
        <f t="shared" si="38"/>
        <v>1</v>
      </c>
      <c r="H460" s="60">
        <v>6</v>
      </c>
      <c r="I460" s="85"/>
    </row>
    <row r="461" spans="1:9" ht="15.95" customHeight="1" x14ac:dyDescent="0.3">
      <c r="A461" s="60">
        <f t="shared" si="37"/>
        <v>2600</v>
      </c>
      <c r="B461" s="9" t="s">
        <v>812</v>
      </c>
      <c r="C461" s="9"/>
      <c r="D461" s="60"/>
      <c r="E461" s="15" t="s">
        <v>123</v>
      </c>
      <c r="F461" s="15">
        <v>3</v>
      </c>
      <c r="G461" s="15">
        <f t="shared" si="38"/>
        <v>1</v>
      </c>
      <c r="H461" s="60">
        <v>6</v>
      </c>
      <c r="I461" s="85"/>
    </row>
    <row r="462" spans="1:9" ht="15.95" customHeight="1" x14ac:dyDescent="0.3">
      <c r="A462" s="60">
        <f t="shared" si="37"/>
        <v>2606</v>
      </c>
      <c r="B462" s="9" t="s">
        <v>813</v>
      </c>
      <c r="C462" s="9"/>
      <c r="D462" s="60"/>
      <c r="E462" s="15" t="s">
        <v>123</v>
      </c>
      <c r="F462" s="15">
        <v>3</v>
      </c>
      <c r="G462" s="15">
        <f t="shared" si="38"/>
        <v>1</v>
      </c>
      <c r="H462" s="60">
        <v>6</v>
      </c>
      <c r="I462" s="85"/>
    </row>
    <row r="463" spans="1:9" ht="15.95" customHeight="1" x14ac:dyDescent="0.3">
      <c r="A463" s="60">
        <f t="shared" si="37"/>
        <v>2612</v>
      </c>
      <c r="B463" s="9" t="s">
        <v>814</v>
      </c>
      <c r="C463" s="9"/>
      <c r="D463" s="60"/>
      <c r="E463" s="15" t="s">
        <v>123</v>
      </c>
      <c r="F463" s="15">
        <v>3</v>
      </c>
      <c r="G463" s="15">
        <f t="shared" si="38"/>
        <v>1</v>
      </c>
      <c r="H463" s="60">
        <v>6</v>
      </c>
      <c r="I463" s="85"/>
    </row>
    <row r="464" spans="1:9" ht="15.95" customHeight="1" x14ac:dyDescent="0.3">
      <c r="A464" s="60">
        <f t="shared" si="37"/>
        <v>2618</v>
      </c>
      <c r="B464" s="9" t="s">
        <v>815</v>
      </c>
      <c r="C464" s="9"/>
      <c r="D464" s="60"/>
      <c r="E464" s="15" t="s">
        <v>123</v>
      </c>
      <c r="F464" s="15">
        <v>3</v>
      </c>
      <c r="G464" s="15">
        <f t="shared" si="38"/>
        <v>1</v>
      </c>
      <c r="H464" s="60">
        <v>6</v>
      </c>
      <c r="I464" s="85"/>
    </row>
    <row r="465" spans="1:9" ht="15.95" customHeight="1" x14ac:dyDescent="0.3">
      <c r="A465" s="60">
        <f t="shared" si="37"/>
        <v>2624</v>
      </c>
      <c r="B465" s="9" t="s">
        <v>816</v>
      </c>
      <c r="C465" s="9"/>
      <c r="D465" s="60"/>
      <c r="E465" s="15" t="s">
        <v>123</v>
      </c>
      <c r="F465" s="15">
        <v>3</v>
      </c>
      <c r="G465" s="15">
        <f t="shared" si="38"/>
        <v>1</v>
      </c>
      <c r="H465" s="60">
        <v>6</v>
      </c>
      <c r="I465" s="85"/>
    </row>
    <row r="466" spans="1:9" ht="15.95" customHeight="1" x14ac:dyDescent="0.3">
      <c r="A466" s="60">
        <f t="shared" si="37"/>
        <v>2630</v>
      </c>
      <c r="B466" s="9" t="s">
        <v>817</v>
      </c>
      <c r="C466" s="9"/>
      <c r="D466" s="60"/>
      <c r="E466" s="15" t="s">
        <v>123</v>
      </c>
      <c r="F466" s="15">
        <v>3</v>
      </c>
      <c r="G466" s="15">
        <f t="shared" si="38"/>
        <v>1</v>
      </c>
      <c r="H466" s="60">
        <v>6</v>
      </c>
      <c r="I466" s="85"/>
    </row>
    <row r="467" spans="1:9" ht="15.95" customHeight="1" x14ac:dyDescent="0.3">
      <c r="A467" s="60">
        <f t="shared" si="37"/>
        <v>2636</v>
      </c>
      <c r="B467" s="9" t="s">
        <v>818</v>
      </c>
      <c r="C467" s="9"/>
      <c r="D467" s="60"/>
      <c r="E467" s="15" t="s">
        <v>123</v>
      </c>
      <c r="F467" s="15">
        <v>3</v>
      </c>
      <c r="G467" s="15">
        <f t="shared" si="38"/>
        <v>1</v>
      </c>
      <c r="H467" s="60">
        <v>6</v>
      </c>
      <c r="I467" s="85"/>
    </row>
    <row r="468" spans="1:9" ht="15.95" customHeight="1" x14ac:dyDescent="0.3">
      <c r="A468" s="60">
        <f t="shared" si="37"/>
        <v>2642</v>
      </c>
      <c r="B468" s="9" t="s">
        <v>819</v>
      </c>
      <c r="C468" s="9"/>
      <c r="D468" s="60"/>
      <c r="E468" s="15" t="s">
        <v>123</v>
      </c>
      <c r="F468" s="15">
        <v>3</v>
      </c>
      <c r="G468" s="15">
        <f t="shared" si="38"/>
        <v>1</v>
      </c>
      <c r="H468" s="60">
        <v>6</v>
      </c>
      <c r="I468" s="85"/>
    </row>
    <row r="469" spans="1:9" ht="15.95" customHeight="1" x14ac:dyDescent="0.3">
      <c r="A469" s="60">
        <f t="shared" si="37"/>
        <v>2648</v>
      </c>
      <c r="B469" s="9" t="s">
        <v>820</v>
      </c>
      <c r="C469" s="9"/>
      <c r="D469" s="60"/>
      <c r="E469" s="15" t="s">
        <v>123</v>
      </c>
      <c r="F469" s="15">
        <v>3</v>
      </c>
      <c r="G469" s="15">
        <f t="shared" si="38"/>
        <v>1</v>
      </c>
      <c r="H469" s="60">
        <v>6</v>
      </c>
      <c r="I469" s="85"/>
    </row>
    <row r="470" spans="1:9" ht="15.95" customHeight="1" x14ac:dyDescent="0.3">
      <c r="A470" s="60">
        <f t="shared" si="37"/>
        <v>2654</v>
      </c>
      <c r="B470" s="9" t="s">
        <v>821</v>
      </c>
      <c r="C470" s="9"/>
      <c r="D470" s="60"/>
      <c r="E470" s="15" t="s">
        <v>123</v>
      </c>
      <c r="F470" s="15">
        <v>3</v>
      </c>
      <c r="G470" s="15">
        <f t="shared" si="38"/>
        <v>1</v>
      </c>
      <c r="H470" s="60">
        <v>6</v>
      </c>
      <c r="I470" s="85"/>
    </row>
    <row r="471" spans="1:9" ht="15.95" customHeight="1" x14ac:dyDescent="0.3">
      <c r="A471" s="60">
        <f t="shared" si="37"/>
        <v>2660</v>
      </c>
      <c r="B471" s="9" t="s">
        <v>822</v>
      </c>
      <c r="C471" s="9"/>
      <c r="D471" s="60"/>
      <c r="E471" s="15" t="s">
        <v>123</v>
      </c>
      <c r="F471" s="15">
        <v>3</v>
      </c>
      <c r="G471" s="15">
        <f t="shared" si="38"/>
        <v>1</v>
      </c>
      <c r="H471" s="60">
        <v>6</v>
      </c>
      <c r="I471" s="85"/>
    </row>
    <row r="472" spans="1:9" ht="15.95" customHeight="1" x14ac:dyDescent="0.3">
      <c r="A472" s="60">
        <f t="shared" si="37"/>
        <v>2666</v>
      </c>
      <c r="B472" s="9" t="s">
        <v>823</v>
      </c>
      <c r="C472" s="9"/>
      <c r="D472" s="60"/>
      <c r="E472" s="15" t="s">
        <v>123</v>
      </c>
      <c r="F472" s="15">
        <v>3</v>
      </c>
      <c r="G472" s="15">
        <f t="shared" si="38"/>
        <v>1</v>
      </c>
      <c r="H472" s="60">
        <v>6</v>
      </c>
      <c r="I472" s="85"/>
    </row>
    <row r="473" spans="1:9" ht="15.95" customHeight="1" x14ac:dyDescent="0.3">
      <c r="A473" s="60">
        <f t="shared" si="37"/>
        <v>2672</v>
      </c>
      <c r="B473" s="9" t="s">
        <v>824</v>
      </c>
      <c r="C473" s="9"/>
      <c r="D473" s="60"/>
      <c r="E473" s="15" t="s">
        <v>123</v>
      </c>
      <c r="F473" s="15">
        <v>3</v>
      </c>
      <c r="G473" s="15">
        <f t="shared" si="38"/>
        <v>1</v>
      </c>
      <c r="H473" s="60">
        <v>6</v>
      </c>
      <c r="I473" s="85"/>
    </row>
    <row r="474" spans="1:9" ht="15.95" customHeight="1" x14ac:dyDescent="0.3">
      <c r="A474" s="60">
        <f t="shared" si="37"/>
        <v>2678</v>
      </c>
      <c r="B474" s="9" t="s">
        <v>825</v>
      </c>
      <c r="C474" s="9"/>
      <c r="D474" s="60"/>
      <c r="E474" s="15" t="s">
        <v>123</v>
      </c>
      <c r="F474" s="15">
        <v>3</v>
      </c>
      <c r="G474" s="15">
        <f t="shared" si="38"/>
        <v>1</v>
      </c>
      <c r="H474" s="60">
        <v>6</v>
      </c>
      <c r="I474" s="85"/>
    </row>
    <row r="475" spans="1:9" ht="15.95" customHeight="1" x14ac:dyDescent="0.3">
      <c r="A475" s="60">
        <f t="shared" si="37"/>
        <v>2684</v>
      </c>
      <c r="B475" s="9" t="s">
        <v>826</v>
      </c>
      <c r="C475" s="9"/>
      <c r="D475" s="60"/>
      <c r="E475" s="15" t="s">
        <v>123</v>
      </c>
      <c r="F475" s="15">
        <v>3</v>
      </c>
      <c r="G475" s="15">
        <f t="shared" si="38"/>
        <v>1</v>
      </c>
      <c r="H475" s="60">
        <v>6</v>
      </c>
      <c r="I475" s="85"/>
    </row>
    <row r="476" spans="1:9" ht="15.95" customHeight="1" x14ac:dyDescent="0.3">
      <c r="A476" s="60">
        <f t="shared" si="37"/>
        <v>2690</v>
      </c>
      <c r="B476" s="9" t="s">
        <v>827</v>
      </c>
      <c r="C476" s="9"/>
      <c r="D476" s="60"/>
      <c r="E476" s="15" t="s">
        <v>123</v>
      </c>
      <c r="F476" s="15">
        <v>3</v>
      </c>
      <c r="G476" s="15">
        <f t="shared" si="38"/>
        <v>1</v>
      </c>
      <c r="H476" s="60">
        <v>6</v>
      </c>
      <c r="I476" s="85"/>
    </row>
    <row r="477" spans="1:9" ht="15.95" customHeight="1" x14ac:dyDescent="0.3">
      <c r="A477" s="60">
        <f t="shared" si="37"/>
        <v>2696</v>
      </c>
      <c r="B477" s="9" t="s">
        <v>828</v>
      </c>
      <c r="C477" s="9"/>
      <c r="D477" s="60"/>
      <c r="E477" s="15" t="s">
        <v>123</v>
      </c>
      <c r="F477" s="15">
        <v>3</v>
      </c>
      <c r="G477" s="15">
        <f t="shared" si="38"/>
        <v>1</v>
      </c>
      <c r="H477" s="60">
        <v>6</v>
      </c>
      <c r="I477" s="85"/>
    </row>
    <row r="478" spans="1:9" ht="15.95" customHeight="1" x14ac:dyDescent="0.3">
      <c r="A478" s="60">
        <f t="shared" si="37"/>
        <v>2702</v>
      </c>
      <c r="B478" s="9" t="s">
        <v>829</v>
      </c>
      <c r="C478" s="9"/>
      <c r="D478" s="60"/>
      <c r="E478" s="15" t="s">
        <v>123</v>
      </c>
      <c r="F478" s="15">
        <v>3</v>
      </c>
      <c r="G478" s="15">
        <f t="shared" si="38"/>
        <v>1</v>
      </c>
      <c r="H478" s="60">
        <v>6</v>
      </c>
      <c r="I478" s="85"/>
    </row>
    <row r="479" spans="1:9" ht="15.95" customHeight="1" x14ac:dyDescent="0.3">
      <c r="A479" s="60">
        <f t="shared" si="37"/>
        <v>2708</v>
      </c>
      <c r="B479" s="9" t="s">
        <v>830</v>
      </c>
      <c r="C479" s="9"/>
      <c r="D479" s="60"/>
      <c r="E479" s="15" t="s">
        <v>123</v>
      </c>
      <c r="F479" s="15">
        <v>3</v>
      </c>
      <c r="G479" s="15">
        <f t="shared" si="38"/>
        <v>1</v>
      </c>
      <c r="H479" s="60">
        <v>6</v>
      </c>
      <c r="I479" s="85"/>
    </row>
    <row r="480" spans="1:9" ht="15.95" customHeight="1" x14ac:dyDescent="0.3">
      <c r="A480" s="60">
        <f t="shared" si="37"/>
        <v>2714</v>
      </c>
      <c r="B480" s="9" t="s">
        <v>831</v>
      </c>
      <c r="C480" s="9"/>
      <c r="D480" s="60"/>
      <c r="E480" s="15" t="s">
        <v>123</v>
      </c>
      <c r="F480" s="15">
        <v>3</v>
      </c>
      <c r="G480" s="15">
        <f t="shared" si="38"/>
        <v>1</v>
      </c>
      <c r="H480" s="60">
        <v>6</v>
      </c>
      <c r="I480" s="85"/>
    </row>
    <row r="481" spans="1:10" ht="15.95" customHeight="1" x14ac:dyDescent="0.3">
      <c r="A481" s="60">
        <f t="shared" si="37"/>
        <v>2720</v>
      </c>
      <c r="B481" s="9" t="s">
        <v>832</v>
      </c>
      <c r="C481" s="9"/>
      <c r="D481" s="60"/>
      <c r="E481" s="15" t="s">
        <v>123</v>
      </c>
      <c r="F481" s="15">
        <v>3</v>
      </c>
      <c r="G481" s="15">
        <f t="shared" si="38"/>
        <v>1</v>
      </c>
      <c r="H481" s="60">
        <v>6</v>
      </c>
      <c r="I481" s="85"/>
    </row>
    <row r="482" spans="1:10" ht="15.95" customHeight="1" x14ac:dyDescent="0.3">
      <c r="A482" s="60">
        <f t="shared" si="37"/>
        <v>2726</v>
      </c>
      <c r="B482" s="9" t="s">
        <v>833</v>
      </c>
      <c r="C482" s="9"/>
      <c r="D482" s="60"/>
      <c r="E482" s="15" t="s">
        <v>208</v>
      </c>
      <c r="F482" s="15">
        <v>3</v>
      </c>
      <c r="G482" s="15">
        <f t="shared" si="38"/>
        <v>2</v>
      </c>
      <c r="H482" s="60">
        <v>1</v>
      </c>
      <c r="I482" s="85"/>
    </row>
    <row r="483" spans="1:10" ht="15.95" customHeight="1" x14ac:dyDescent="0.3">
      <c r="A483" s="60">
        <f t="shared" si="37"/>
        <v>2728</v>
      </c>
      <c r="B483" s="9" t="s">
        <v>1042</v>
      </c>
      <c r="C483" s="9" t="s">
        <v>1043</v>
      </c>
      <c r="D483" s="60"/>
      <c r="E483" s="15" t="s">
        <v>123</v>
      </c>
      <c r="F483" s="15">
        <v>3</v>
      </c>
      <c r="G483" s="15">
        <f>IF(OR(E483="U16", E483="S16"),1,IF(E483="TS",6,2))</f>
        <v>1</v>
      </c>
      <c r="H483" s="60">
        <v>1</v>
      </c>
      <c r="I483" s="85"/>
    </row>
    <row r="484" spans="1:10" ht="15.95" customHeight="1" x14ac:dyDescent="0.3">
      <c r="A484" s="60">
        <f t="shared" si="37"/>
        <v>2729</v>
      </c>
      <c r="B484" s="9"/>
      <c r="C484" s="9"/>
      <c r="D484" s="60"/>
      <c r="E484" s="15" t="s">
        <v>123</v>
      </c>
      <c r="F484" s="15">
        <v>3</v>
      </c>
      <c r="G484" s="15">
        <f>IF(OR(E484="U16", E484="S16"),1,IF(E484="TS",6,2))</f>
        <v>1</v>
      </c>
      <c r="H484" s="60">
        <v>1</v>
      </c>
      <c r="I484" s="85"/>
    </row>
    <row r="485" spans="1:10" ht="15.95" customHeight="1" x14ac:dyDescent="0.3">
      <c r="A485" s="162" t="s">
        <v>438</v>
      </c>
      <c r="B485" s="162"/>
      <c r="C485" s="162"/>
      <c r="D485" s="162"/>
      <c r="E485" s="162"/>
      <c r="F485" s="162"/>
      <c r="G485" s="162"/>
      <c r="H485" s="162"/>
      <c r="I485" s="88"/>
    </row>
    <row r="486" spans="1:10" ht="15.95" customHeight="1" x14ac:dyDescent="0.3">
      <c r="A486" s="60">
        <f>A484+(G484*H484)</f>
        <v>2730</v>
      </c>
      <c r="B486" s="9" t="s">
        <v>268</v>
      </c>
      <c r="C486" s="9" t="s">
        <v>834</v>
      </c>
      <c r="D486" s="60"/>
      <c r="E486" s="15" t="s">
        <v>123</v>
      </c>
      <c r="F486" s="15">
        <v>3</v>
      </c>
      <c r="G486" s="15">
        <f t="shared" ref="G486:G494" si="39">IF(OR(E486="U16", E486="S16"),1,IF(E486="TS",6,2))</f>
        <v>1</v>
      </c>
      <c r="H486" s="60">
        <v>1</v>
      </c>
      <c r="I486" s="85"/>
    </row>
    <row r="487" spans="1:10" ht="15.95" customHeight="1" x14ac:dyDescent="0.3">
      <c r="A487" s="60">
        <f t="shared" ref="A487:A526" si="40">A486+(G486*H486)</f>
        <v>2731</v>
      </c>
      <c r="B487" s="9" t="s">
        <v>269</v>
      </c>
      <c r="C487" s="9" t="s">
        <v>834</v>
      </c>
      <c r="D487" s="60"/>
      <c r="E487" s="15" t="s">
        <v>123</v>
      </c>
      <c r="F487" s="15">
        <v>3</v>
      </c>
      <c r="G487" s="15">
        <f t="shared" si="39"/>
        <v>1</v>
      </c>
      <c r="H487" s="60">
        <v>1</v>
      </c>
      <c r="I487" s="85"/>
    </row>
    <row r="488" spans="1:10" ht="15.95" customHeight="1" x14ac:dyDescent="0.3">
      <c r="A488" s="60">
        <f t="shared" si="40"/>
        <v>2732</v>
      </c>
      <c r="B488" s="9" t="s">
        <v>270</v>
      </c>
      <c r="C488" s="9" t="s">
        <v>835</v>
      </c>
      <c r="D488" s="60"/>
      <c r="E488" s="15" t="s">
        <v>123</v>
      </c>
      <c r="F488" s="15">
        <v>3</v>
      </c>
      <c r="G488" s="15">
        <f t="shared" si="39"/>
        <v>1</v>
      </c>
      <c r="H488" s="60">
        <v>1</v>
      </c>
      <c r="I488" s="85"/>
    </row>
    <row r="489" spans="1:10" ht="15.95" customHeight="1" x14ac:dyDescent="0.3">
      <c r="A489" s="60">
        <f t="shared" si="40"/>
        <v>2733</v>
      </c>
      <c r="B489" s="9" t="s">
        <v>1099</v>
      </c>
      <c r="C489" s="9"/>
      <c r="D489" s="60"/>
      <c r="E489" s="15" t="s">
        <v>123</v>
      </c>
      <c r="F489" s="15">
        <v>3</v>
      </c>
      <c r="G489" s="15">
        <f t="shared" si="39"/>
        <v>1</v>
      </c>
      <c r="H489" s="60">
        <v>1</v>
      </c>
      <c r="I489" s="85"/>
    </row>
    <row r="490" spans="1:10" ht="15.95" customHeight="1" x14ac:dyDescent="0.3">
      <c r="A490" s="64">
        <f>A489+(G489*H489)</f>
        <v>2734</v>
      </c>
      <c r="B490" s="191" t="s">
        <v>836</v>
      </c>
      <c r="C490" s="121" t="s">
        <v>837</v>
      </c>
      <c r="D490" s="64"/>
      <c r="E490" s="64" t="s">
        <v>91</v>
      </c>
      <c r="F490" s="64">
        <v>3</v>
      </c>
      <c r="G490" s="64">
        <f t="shared" si="39"/>
        <v>2</v>
      </c>
      <c r="H490" s="64">
        <v>1</v>
      </c>
      <c r="I490" s="92"/>
      <c r="J490" s="10" t="s">
        <v>529</v>
      </c>
    </row>
    <row r="491" spans="1:10" ht="15.95" customHeight="1" x14ac:dyDescent="0.3">
      <c r="A491" s="64">
        <f>A490+(G490*H490)</f>
        <v>2736</v>
      </c>
      <c r="B491" s="191"/>
      <c r="C491" s="121" t="s">
        <v>838</v>
      </c>
      <c r="D491" s="64"/>
      <c r="E491" s="64" t="s">
        <v>123</v>
      </c>
      <c r="F491" s="64">
        <v>3</v>
      </c>
      <c r="G491" s="64">
        <v>1</v>
      </c>
      <c r="H491" s="64">
        <v>1</v>
      </c>
      <c r="I491" s="92"/>
    </row>
    <row r="492" spans="1:10" ht="15.95" customHeight="1" x14ac:dyDescent="0.3">
      <c r="A492" s="64">
        <f>A491+(G491*H491)</f>
        <v>2737</v>
      </c>
      <c r="B492" s="191"/>
      <c r="C492" s="121" t="s">
        <v>839</v>
      </c>
      <c r="D492" s="64"/>
      <c r="E492" s="64" t="s">
        <v>123</v>
      </c>
      <c r="F492" s="64">
        <v>3</v>
      </c>
      <c r="G492" s="64">
        <f t="shared" si="39"/>
        <v>1</v>
      </c>
      <c r="H492" s="64">
        <v>1</v>
      </c>
      <c r="I492" s="92"/>
    </row>
    <row r="493" spans="1:10" ht="15.95" customHeight="1" x14ac:dyDescent="0.3">
      <c r="A493" s="64">
        <f>A492+(G492*H492)</f>
        <v>2738</v>
      </c>
      <c r="B493" s="191"/>
      <c r="C493" s="121" t="s">
        <v>840</v>
      </c>
      <c r="D493" s="64"/>
      <c r="E493" s="64" t="s">
        <v>436</v>
      </c>
      <c r="F493" s="64">
        <v>3</v>
      </c>
      <c r="G493" s="64">
        <f>IF(OR(E493="U16", E493="S16"),1,IF(E493="TS",6,2))</f>
        <v>2</v>
      </c>
      <c r="H493" s="64">
        <v>1</v>
      </c>
      <c r="I493" s="92"/>
    </row>
    <row r="494" spans="1:10" ht="15.95" customHeight="1" x14ac:dyDescent="0.3">
      <c r="A494" s="64">
        <f>A493+(G493*H493)</f>
        <v>2740</v>
      </c>
      <c r="B494" s="191"/>
      <c r="C494" s="121" t="s">
        <v>841</v>
      </c>
      <c r="D494" s="64"/>
      <c r="E494" s="64" t="s">
        <v>436</v>
      </c>
      <c r="F494" s="64">
        <v>3</v>
      </c>
      <c r="G494" s="64">
        <f t="shared" si="39"/>
        <v>2</v>
      </c>
      <c r="H494" s="64">
        <v>1</v>
      </c>
      <c r="I494" s="92"/>
    </row>
    <row r="495" spans="1:10" ht="15.95" customHeight="1" x14ac:dyDescent="0.3">
      <c r="A495" s="60">
        <f t="shared" si="40"/>
        <v>2742</v>
      </c>
      <c r="B495" s="9" t="s">
        <v>842</v>
      </c>
      <c r="C495" s="9"/>
      <c r="D495" s="60"/>
      <c r="E495" s="15" t="s">
        <v>123</v>
      </c>
      <c r="F495" s="15">
        <v>3</v>
      </c>
      <c r="G495" s="15">
        <f t="shared" ref="G495:G525" si="41">IF(OR(E495="U16", E495="S16"),1,IF(E495="TS",6,2))</f>
        <v>1</v>
      </c>
      <c r="H495" s="60">
        <v>8</v>
      </c>
      <c r="I495" s="85"/>
    </row>
    <row r="496" spans="1:10" ht="15.95" customHeight="1" x14ac:dyDescent="0.3">
      <c r="A496" s="60">
        <f t="shared" si="40"/>
        <v>2750</v>
      </c>
      <c r="B496" s="9" t="s">
        <v>843</v>
      </c>
      <c r="C496" s="9"/>
      <c r="D496" s="60"/>
      <c r="E496" s="15" t="s">
        <v>123</v>
      </c>
      <c r="F496" s="15">
        <v>3</v>
      </c>
      <c r="G496" s="15">
        <f t="shared" si="41"/>
        <v>1</v>
      </c>
      <c r="H496" s="60">
        <v>8</v>
      </c>
      <c r="I496" s="85"/>
    </row>
    <row r="497" spans="1:9" ht="15.95" customHeight="1" x14ac:dyDescent="0.3">
      <c r="A497" s="60">
        <f t="shared" si="40"/>
        <v>2758</v>
      </c>
      <c r="B497" s="9" t="s">
        <v>844</v>
      </c>
      <c r="C497" s="9"/>
      <c r="D497" s="60"/>
      <c r="E497" s="15" t="s">
        <v>123</v>
      </c>
      <c r="F497" s="15">
        <v>3</v>
      </c>
      <c r="G497" s="15">
        <f t="shared" si="41"/>
        <v>1</v>
      </c>
      <c r="H497" s="60">
        <v>8</v>
      </c>
      <c r="I497" s="85"/>
    </row>
    <row r="498" spans="1:9" ht="15.95" customHeight="1" x14ac:dyDescent="0.3">
      <c r="A498" s="60">
        <f t="shared" si="40"/>
        <v>2766</v>
      </c>
      <c r="B498" s="9" t="s">
        <v>845</v>
      </c>
      <c r="C498" s="9"/>
      <c r="D498" s="60"/>
      <c r="E498" s="15" t="s">
        <v>123</v>
      </c>
      <c r="F498" s="15">
        <v>3</v>
      </c>
      <c r="G498" s="15">
        <f t="shared" si="41"/>
        <v>1</v>
      </c>
      <c r="H498" s="60">
        <v>8</v>
      </c>
      <c r="I498" s="85"/>
    </row>
    <row r="499" spans="1:9" ht="15.95" customHeight="1" x14ac:dyDescent="0.3">
      <c r="A499" s="60">
        <f t="shared" si="40"/>
        <v>2774</v>
      </c>
      <c r="B499" s="9" t="s">
        <v>846</v>
      </c>
      <c r="C499" s="9"/>
      <c r="D499" s="60"/>
      <c r="E499" s="15" t="s">
        <v>123</v>
      </c>
      <c r="F499" s="15">
        <v>3</v>
      </c>
      <c r="G499" s="15">
        <f t="shared" si="41"/>
        <v>1</v>
      </c>
      <c r="H499" s="60">
        <v>8</v>
      </c>
      <c r="I499" s="85"/>
    </row>
    <row r="500" spans="1:9" ht="15.95" customHeight="1" x14ac:dyDescent="0.3">
      <c r="A500" s="60">
        <f t="shared" si="40"/>
        <v>2782</v>
      </c>
      <c r="B500" s="9" t="s">
        <v>847</v>
      </c>
      <c r="C500" s="9"/>
      <c r="D500" s="60"/>
      <c r="E500" s="15" t="s">
        <v>123</v>
      </c>
      <c r="F500" s="15">
        <v>3</v>
      </c>
      <c r="G500" s="15">
        <f t="shared" si="41"/>
        <v>1</v>
      </c>
      <c r="H500" s="60">
        <v>8</v>
      </c>
      <c r="I500" s="85"/>
    </row>
    <row r="501" spans="1:9" ht="15.95" customHeight="1" x14ac:dyDescent="0.3">
      <c r="A501" s="60">
        <f t="shared" si="40"/>
        <v>2790</v>
      </c>
      <c r="B501" s="9" t="s">
        <v>848</v>
      </c>
      <c r="C501" s="9"/>
      <c r="D501" s="60"/>
      <c r="E501" s="15" t="s">
        <v>123</v>
      </c>
      <c r="F501" s="15">
        <v>3</v>
      </c>
      <c r="G501" s="15">
        <f t="shared" si="41"/>
        <v>1</v>
      </c>
      <c r="H501" s="60">
        <v>8</v>
      </c>
      <c r="I501" s="85"/>
    </row>
    <row r="502" spans="1:9" ht="15.95" customHeight="1" x14ac:dyDescent="0.3">
      <c r="A502" s="60">
        <f t="shared" si="40"/>
        <v>2798</v>
      </c>
      <c r="B502" s="9" t="s">
        <v>849</v>
      </c>
      <c r="C502" s="9"/>
      <c r="D502" s="60"/>
      <c r="E502" s="15" t="s">
        <v>123</v>
      </c>
      <c r="F502" s="15">
        <v>3</v>
      </c>
      <c r="G502" s="15">
        <f t="shared" si="41"/>
        <v>1</v>
      </c>
      <c r="H502" s="60">
        <v>8</v>
      </c>
      <c r="I502" s="85"/>
    </row>
    <row r="503" spans="1:9" ht="15.95" customHeight="1" x14ac:dyDescent="0.3">
      <c r="A503" s="60">
        <f t="shared" si="40"/>
        <v>2806</v>
      </c>
      <c r="B503" s="9" t="s">
        <v>850</v>
      </c>
      <c r="C503" s="9"/>
      <c r="D503" s="60"/>
      <c r="E503" s="15" t="s">
        <v>123</v>
      </c>
      <c r="F503" s="15">
        <v>3</v>
      </c>
      <c r="G503" s="15">
        <f t="shared" si="41"/>
        <v>1</v>
      </c>
      <c r="H503" s="60">
        <v>8</v>
      </c>
      <c r="I503" s="85"/>
    </row>
    <row r="504" spans="1:9" ht="15.95" customHeight="1" x14ac:dyDescent="0.3">
      <c r="A504" s="60">
        <f t="shared" si="40"/>
        <v>2814</v>
      </c>
      <c r="B504" s="9" t="s">
        <v>851</v>
      </c>
      <c r="C504" s="9"/>
      <c r="D504" s="60"/>
      <c r="E504" s="15" t="s">
        <v>123</v>
      </c>
      <c r="F504" s="15">
        <v>3</v>
      </c>
      <c r="G504" s="15">
        <f t="shared" si="41"/>
        <v>1</v>
      </c>
      <c r="H504" s="60">
        <v>8</v>
      </c>
      <c r="I504" s="85"/>
    </row>
    <row r="505" spans="1:9" ht="15.95" customHeight="1" x14ac:dyDescent="0.3">
      <c r="A505" s="60">
        <f t="shared" si="40"/>
        <v>2822</v>
      </c>
      <c r="B505" s="9" t="s">
        <v>852</v>
      </c>
      <c r="C505" s="9"/>
      <c r="D505" s="60"/>
      <c r="E505" s="15" t="s">
        <v>123</v>
      </c>
      <c r="F505" s="15">
        <v>3</v>
      </c>
      <c r="G505" s="15">
        <f t="shared" si="41"/>
        <v>1</v>
      </c>
      <c r="H505" s="60">
        <v>8</v>
      </c>
      <c r="I505" s="85"/>
    </row>
    <row r="506" spans="1:9" ht="15.95" customHeight="1" x14ac:dyDescent="0.3">
      <c r="A506" s="60">
        <f t="shared" si="40"/>
        <v>2830</v>
      </c>
      <c r="B506" s="9" t="s">
        <v>853</v>
      </c>
      <c r="C506" s="9"/>
      <c r="D506" s="60"/>
      <c r="E506" s="15" t="s">
        <v>123</v>
      </c>
      <c r="F506" s="15">
        <v>3</v>
      </c>
      <c r="G506" s="15">
        <f t="shared" si="41"/>
        <v>1</v>
      </c>
      <c r="H506" s="60">
        <v>8</v>
      </c>
      <c r="I506" s="85"/>
    </row>
    <row r="507" spans="1:9" ht="15.95" customHeight="1" x14ac:dyDescent="0.3">
      <c r="A507" s="60">
        <f t="shared" si="40"/>
        <v>2838</v>
      </c>
      <c r="B507" s="9" t="s">
        <v>854</v>
      </c>
      <c r="C507" s="9"/>
      <c r="D507" s="60"/>
      <c r="E507" s="15" t="s">
        <v>123</v>
      </c>
      <c r="F507" s="15">
        <v>3</v>
      </c>
      <c r="G507" s="15">
        <f t="shared" si="41"/>
        <v>1</v>
      </c>
      <c r="H507" s="60">
        <v>8</v>
      </c>
      <c r="I507" s="85"/>
    </row>
    <row r="508" spans="1:9" ht="15.95" customHeight="1" x14ac:dyDescent="0.3">
      <c r="A508" s="60">
        <f t="shared" si="40"/>
        <v>2846</v>
      </c>
      <c r="B508" s="9" t="s">
        <v>855</v>
      </c>
      <c r="C508" s="9"/>
      <c r="D508" s="60"/>
      <c r="E508" s="15" t="s">
        <v>123</v>
      </c>
      <c r="F508" s="15">
        <v>3</v>
      </c>
      <c r="G508" s="15">
        <f t="shared" si="41"/>
        <v>1</v>
      </c>
      <c r="H508" s="60">
        <v>8</v>
      </c>
      <c r="I508" s="85"/>
    </row>
    <row r="509" spans="1:9" ht="15.95" customHeight="1" x14ac:dyDescent="0.3">
      <c r="A509" s="60">
        <f t="shared" si="40"/>
        <v>2854</v>
      </c>
      <c r="B509" s="9" t="s">
        <v>856</v>
      </c>
      <c r="C509" s="9"/>
      <c r="D509" s="60"/>
      <c r="E509" s="15" t="s">
        <v>123</v>
      </c>
      <c r="F509" s="15">
        <v>3</v>
      </c>
      <c r="G509" s="15">
        <f t="shared" si="41"/>
        <v>1</v>
      </c>
      <c r="H509" s="60">
        <v>8</v>
      </c>
      <c r="I509" s="85"/>
    </row>
    <row r="510" spans="1:9" ht="15.95" customHeight="1" x14ac:dyDescent="0.3">
      <c r="A510" s="60">
        <f t="shared" si="40"/>
        <v>2862</v>
      </c>
      <c r="B510" s="9" t="s">
        <v>857</v>
      </c>
      <c r="C510" s="9"/>
      <c r="D510" s="60"/>
      <c r="E510" s="15" t="s">
        <v>123</v>
      </c>
      <c r="F510" s="15">
        <v>3</v>
      </c>
      <c r="G510" s="15">
        <f t="shared" si="41"/>
        <v>1</v>
      </c>
      <c r="H510" s="60">
        <v>8</v>
      </c>
      <c r="I510" s="85"/>
    </row>
    <row r="511" spans="1:9" ht="15.95" customHeight="1" x14ac:dyDescent="0.3">
      <c r="A511" s="60">
        <f t="shared" si="40"/>
        <v>2870</v>
      </c>
      <c r="B511" s="9" t="s">
        <v>858</v>
      </c>
      <c r="C511" s="9"/>
      <c r="D511" s="60"/>
      <c r="E511" s="15" t="s">
        <v>123</v>
      </c>
      <c r="F511" s="15">
        <v>3</v>
      </c>
      <c r="G511" s="15">
        <f t="shared" si="41"/>
        <v>1</v>
      </c>
      <c r="H511" s="60">
        <v>8</v>
      </c>
      <c r="I511" s="85"/>
    </row>
    <row r="512" spans="1:9" ht="15.95" customHeight="1" x14ac:dyDescent="0.3">
      <c r="A512" s="60">
        <f t="shared" si="40"/>
        <v>2878</v>
      </c>
      <c r="B512" s="9" t="s">
        <v>859</v>
      </c>
      <c r="C512" s="9"/>
      <c r="D512" s="60"/>
      <c r="E512" s="15" t="s">
        <v>123</v>
      </c>
      <c r="F512" s="15">
        <v>3</v>
      </c>
      <c r="G512" s="15">
        <f t="shared" si="41"/>
        <v>1</v>
      </c>
      <c r="H512" s="60">
        <v>8</v>
      </c>
      <c r="I512" s="85"/>
    </row>
    <row r="513" spans="1:9" ht="15.95" customHeight="1" x14ac:dyDescent="0.3">
      <c r="A513" s="60">
        <f t="shared" si="40"/>
        <v>2886</v>
      </c>
      <c r="B513" s="9" t="s">
        <v>860</v>
      </c>
      <c r="C513" s="9"/>
      <c r="D513" s="60"/>
      <c r="E513" s="15" t="s">
        <v>123</v>
      </c>
      <c r="F513" s="15">
        <v>3</v>
      </c>
      <c r="G513" s="15">
        <f t="shared" si="41"/>
        <v>1</v>
      </c>
      <c r="H513" s="60">
        <v>8</v>
      </c>
      <c r="I513" s="85"/>
    </row>
    <row r="514" spans="1:9" ht="15.95" customHeight="1" x14ac:dyDescent="0.3">
      <c r="A514" s="60">
        <f t="shared" si="40"/>
        <v>2894</v>
      </c>
      <c r="B514" s="9" t="s">
        <v>861</v>
      </c>
      <c r="C514" s="9"/>
      <c r="D514" s="60"/>
      <c r="E514" s="15" t="s">
        <v>123</v>
      </c>
      <c r="F514" s="15">
        <v>3</v>
      </c>
      <c r="G514" s="15">
        <f t="shared" si="41"/>
        <v>1</v>
      </c>
      <c r="H514" s="60">
        <v>8</v>
      </c>
      <c r="I514" s="85"/>
    </row>
    <row r="515" spans="1:9" ht="15.95" customHeight="1" x14ac:dyDescent="0.3">
      <c r="A515" s="60">
        <f t="shared" si="40"/>
        <v>2902</v>
      </c>
      <c r="B515" s="9" t="s">
        <v>862</v>
      </c>
      <c r="C515" s="9"/>
      <c r="D515" s="60"/>
      <c r="E515" s="15" t="s">
        <v>123</v>
      </c>
      <c r="F515" s="15">
        <v>3</v>
      </c>
      <c r="G515" s="15">
        <f t="shared" si="41"/>
        <v>1</v>
      </c>
      <c r="H515" s="60">
        <v>8</v>
      </c>
      <c r="I515" s="85"/>
    </row>
    <row r="516" spans="1:9" ht="15.95" customHeight="1" x14ac:dyDescent="0.3">
      <c r="A516" s="60">
        <f t="shared" si="40"/>
        <v>2910</v>
      </c>
      <c r="B516" s="9" t="s">
        <v>863</v>
      </c>
      <c r="C516" s="9"/>
      <c r="D516" s="60"/>
      <c r="E516" s="15" t="s">
        <v>123</v>
      </c>
      <c r="F516" s="15">
        <v>3</v>
      </c>
      <c r="G516" s="15">
        <f t="shared" si="41"/>
        <v>1</v>
      </c>
      <c r="H516" s="60">
        <v>8</v>
      </c>
      <c r="I516" s="85"/>
    </row>
    <row r="517" spans="1:9" ht="15.95" customHeight="1" x14ac:dyDescent="0.3">
      <c r="A517" s="60">
        <f t="shared" si="40"/>
        <v>2918</v>
      </c>
      <c r="B517" s="9" t="s">
        <v>864</v>
      </c>
      <c r="C517" s="9"/>
      <c r="D517" s="60"/>
      <c r="E517" s="15" t="s">
        <v>123</v>
      </c>
      <c r="F517" s="15">
        <v>3</v>
      </c>
      <c r="G517" s="15">
        <f t="shared" si="41"/>
        <v>1</v>
      </c>
      <c r="H517" s="60">
        <v>8</v>
      </c>
      <c r="I517" s="85"/>
    </row>
    <row r="518" spans="1:9" ht="15.95" customHeight="1" x14ac:dyDescent="0.3">
      <c r="A518" s="60">
        <f t="shared" si="40"/>
        <v>2926</v>
      </c>
      <c r="B518" s="9" t="s">
        <v>865</v>
      </c>
      <c r="C518" s="9"/>
      <c r="D518" s="60"/>
      <c r="E518" s="15" t="s">
        <v>123</v>
      </c>
      <c r="F518" s="15">
        <v>3</v>
      </c>
      <c r="G518" s="15">
        <f t="shared" si="41"/>
        <v>1</v>
      </c>
      <c r="H518" s="60">
        <v>8</v>
      </c>
      <c r="I518" s="85"/>
    </row>
    <row r="519" spans="1:9" ht="15.95" customHeight="1" x14ac:dyDescent="0.3">
      <c r="A519" s="60">
        <f t="shared" si="40"/>
        <v>2934</v>
      </c>
      <c r="B519" s="9" t="s">
        <v>866</v>
      </c>
      <c r="C519" s="9"/>
      <c r="D519" s="60"/>
      <c r="E519" s="15" t="s">
        <v>123</v>
      </c>
      <c r="F519" s="15">
        <v>3</v>
      </c>
      <c r="G519" s="15">
        <f t="shared" si="41"/>
        <v>1</v>
      </c>
      <c r="H519" s="60">
        <v>8</v>
      </c>
      <c r="I519" s="85"/>
    </row>
    <row r="520" spans="1:9" ht="15.95" customHeight="1" x14ac:dyDescent="0.3">
      <c r="A520" s="60">
        <f t="shared" si="40"/>
        <v>2942</v>
      </c>
      <c r="B520" s="9" t="s">
        <v>867</v>
      </c>
      <c r="C520" s="9"/>
      <c r="D520" s="60"/>
      <c r="E520" s="15" t="s">
        <v>123</v>
      </c>
      <c r="F520" s="15">
        <v>3</v>
      </c>
      <c r="G520" s="15">
        <f t="shared" si="41"/>
        <v>1</v>
      </c>
      <c r="H520" s="60">
        <v>8</v>
      </c>
      <c r="I520" s="85"/>
    </row>
    <row r="521" spans="1:9" ht="15.95" customHeight="1" x14ac:dyDescent="0.3">
      <c r="A521" s="60">
        <f t="shared" si="40"/>
        <v>2950</v>
      </c>
      <c r="B521" s="9" t="s">
        <v>868</v>
      </c>
      <c r="C521" s="9"/>
      <c r="D521" s="60"/>
      <c r="E521" s="15" t="s">
        <v>123</v>
      </c>
      <c r="F521" s="15">
        <v>3</v>
      </c>
      <c r="G521" s="15">
        <f t="shared" si="41"/>
        <v>1</v>
      </c>
      <c r="H521" s="60">
        <v>8</v>
      </c>
      <c r="I521" s="85"/>
    </row>
    <row r="522" spans="1:9" ht="15.95" customHeight="1" x14ac:dyDescent="0.3">
      <c r="A522" s="60">
        <f t="shared" si="40"/>
        <v>2958</v>
      </c>
      <c r="B522" s="9" t="s">
        <v>869</v>
      </c>
      <c r="C522" s="9"/>
      <c r="D522" s="60"/>
      <c r="E522" s="15" t="s">
        <v>123</v>
      </c>
      <c r="F522" s="15">
        <v>3</v>
      </c>
      <c r="G522" s="15">
        <f t="shared" si="41"/>
        <v>1</v>
      </c>
      <c r="H522" s="60">
        <v>8</v>
      </c>
      <c r="I522" s="85"/>
    </row>
    <row r="523" spans="1:9" ht="15.95" customHeight="1" x14ac:dyDescent="0.3">
      <c r="A523" s="60">
        <f t="shared" si="40"/>
        <v>2966</v>
      </c>
      <c r="B523" s="9" t="s">
        <v>870</v>
      </c>
      <c r="C523" s="9"/>
      <c r="D523" s="60"/>
      <c r="E523" s="15" t="s">
        <v>123</v>
      </c>
      <c r="F523" s="15">
        <v>3</v>
      </c>
      <c r="G523" s="15">
        <f t="shared" si="41"/>
        <v>1</v>
      </c>
      <c r="H523" s="60">
        <v>8</v>
      </c>
      <c r="I523" s="85"/>
    </row>
    <row r="524" spans="1:9" ht="15.95" customHeight="1" x14ac:dyDescent="0.3">
      <c r="A524" s="60">
        <f t="shared" si="40"/>
        <v>2974</v>
      </c>
      <c r="B524" s="9" t="s">
        <v>871</v>
      </c>
      <c r="C524" s="9"/>
      <c r="D524" s="60"/>
      <c r="E524" s="15" t="s">
        <v>123</v>
      </c>
      <c r="F524" s="15">
        <v>3</v>
      </c>
      <c r="G524" s="15">
        <f t="shared" si="41"/>
        <v>1</v>
      </c>
      <c r="H524" s="60">
        <v>8</v>
      </c>
      <c r="I524" s="85"/>
    </row>
    <row r="525" spans="1:9" ht="15.95" customHeight="1" x14ac:dyDescent="0.3">
      <c r="A525" s="60">
        <f t="shared" si="40"/>
        <v>2982</v>
      </c>
      <c r="B525" s="9" t="s">
        <v>872</v>
      </c>
      <c r="C525" s="9"/>
      <c r="D525" s="60"/>
      <c r="E525" s="15" t="s">
        <v>123</v>
      </c>
      <c r="F525" s="15">
        <v>3</v>
      </c>
      <c r="G525" s="15">
        <f t="shared" si="41"/>
        <v>1</v>
      </c>
      <c r="H525" s="60">
        <v>8</v>
      </c>
      <c r="I525" s="85"/>
    </row>
    <row r="526" spans="1:9" ht="15.95" customHeight="1" x14ac:dyDescent="0.3">
      <c r="A526" s="60">
        <f t="shared" si="40"/>
        <v>2990</v>
      </c>
      <c r="B526" s="9"/>
      <c r="C526" s="9"/>
      <c r="D526" s="60"/>
      <c r="E526" s="15" t="s">
        <v>123</v>
      </c>
      <c r="F526" s="15">
        <v>3</v>
      </c>
      <c r="G526" s="15">
        <f>IF(OR(E526="U16", E526="S16"),1,IF(E526="TS",6,2))</f>
        <v>1</v>
      </c>
      <c r="H526" s="60">
        <v>40</v>
      </c>
      <c r="I526" s="85"/>
    </row>
    <row r="527" spans="1:9" ht="15.95" customHeight="1" x14ac:dyDescent="0.3">
      <c r="A527" s="162" t="s">
        <v>545</v>
      </c>
      <c r="B527" s="162"/>
      <c r="C527" s="162"/>
      <c r="D527" s="162"/>
      <c r="E527" s="162"/>
      <c r="F527" s="162"/>
      <c r="G527" s="162"/>
      <c r="H527" s="162"/>
      <c r="I527" s="88"/>
    </row>
    <row r="528" spans="1:9" ht="15.95" customHeight="1" x14ac:dyDescent="0.3">
      <c r="A528" s="15">
        <f>A526+(G526*H526)</f>
        <v>3030</v>
      </c>
      <c r="B528" s="9" t="s">
        <v>268</v>
      </c>
      <c r="C528" s="9" t="s">
        <v>834</v>
      </c>
      <c r="D528" s="60"/>
      <c r="E528" s="15" t="s">
        <v>123</v>
      </c>
      <c r="F528" s="15">
        <v>3</v>
      </c>
      <c r="G528" s="15">
        <f>IF(OR(E528="U16", E528="S16"),1,IF(E528="TS",6,2))</f>
        <v>1</v>
      </c>
      <c r="H528" s="60">
        <v>1</v>
      </c>
      <c r="I528" s="85"/>
    </row>
    <row r="529" spans="1:9" ht="15.95" customHeight="1" x14ac:dyDescent="0.3">
      <c r="A529" s="15">
        <f>A528+(G528*H528)</f>
        <v>3031</v>
      </c>
      <c r="B529" s="9" t="s">
        <v>269</v>
      </c>
      <c r="C529" s="9" t="s">
        <v>834</v>
      </c>
      <c r="D529" s="60"/>
      <c r="E529" s="15" t="s">
        <v>123</v>
      </c>
      <c r="F529" s="15">
        <v>3</v>
      </c>
      <c r="G529" s="15">
        <f>IF(OR(E529="U16", E529="S16"),1,IF(E529="TS",6,2))</f>
        <v>1</v>
      </c>
      <c r="H529" s="60">
        <v>1</v>
      </c>
      <c r="I529" s="85"/>
    </row>
    <row r="530" spans="1:9" ht="15.95" customHeight="1" x14ac:dyDescent="0.3">
      <c r="A530" s="15">
        <f>A529+(G529*H529)</f>
        <v>3032</v>
      </c>
      <c r="B530" s="9" t="s">
        <v>270</v>
      </c>
      <c r="C530" s="9" t="s">
        <v>834</v>
      </c>
      <c r="D530" s="60"/>
      <c r="E530" s="15" t="s">
        <v>123</v>
      </c>
      <c r="F530" s="15">
        <v>3</v>
      </c>
      <c r="G530" s="15">
        <f>IF(OR(E530="U16", E530="S16"),1,IF(E530="TS",6,2))</f>
        <v>1</v>
      </c>
      <c r="H530" s="60">
        <v>1</v>
      </c>
      <c r="I530" s="85"/>
    </row>
    <row r="531" spans="1:9" ht="15.95" customHeight="1" x14ac:dyDescent="0.3">
      <c r="A531" s="15">
        <f>A530+(G530*H530)</f>
        <v>3033</v>
      </c>
      <c r="B531" s="9" t="s">
        <v>1099</v>
      </c>
      <c r="C531" s="9"/>
      <c r="D531" s="60"/>
      <c r="E531" s="15" t="s">
        <v>123</v>
      </c>
      <c r="F531" s="15">
        <v>3</v>
      </c>
      <c r="G531" s="15">
        <f>IF(OR(E531="U16", E531="S16"),1,IF(E531="TS",6,2))</f>
        <v>1</v>
      </c>
      <c r="H531" s="60">
        <v>1</v>
      </c>
      <c r="I531" s="85"/>
    </row>
    <row r="532" spans="1:9" ht="15.95" customHeight="1" x14ac:dyDescent="0.3">
      <c r="A532" s="162" t="s">
        <v>381</v>
      </c>
      <c r="B532" s="162"/>
      <c r="C532" s="162"/>
      <c r="D532" s="162"/>
      <c r="E532" s="162"/>
      <c r="F532" s="162"/>
      <c r="G532" s="162"/>
      <c r="H532" s="162"/>
      <c r="I532" s="88"/>
    </row>
    <row r="533" spans="1:9" ht="15.95" customHeight="1" x14ac:dyDescent="0.3">
      <c r="A533" s="64">
        <f>A531+(G531*H531)</f>
        <v>3034</v>
      </c>
      <c r="B533" s="31" t="s">
        <v>267</v>
      </c>
      <c r="C533" s="121"/>
      <c r="D533" s="64"/>
      <c r="E533" s="64" t="s">
        <v>91</v>
      </c>
      <c r="F533" s="64">
        <v>3</v>
      </c>
      <c r="G533" s="64">
        <f t="shared" ref="G533:G540" si="42">IF(OR(E533="U16", E533="S16"),1,IF(E533="TS",6,2))</f>
        <v>2</v>
      </c>
      <c r="H533" s="64">
        <v>1</v>
      </c>
      <c r="I533" s="92"/>
    </row>
    <row r="534" spans="1:9" ht="15.95" customHeight="1" x14ac:dyDescent="0.3">
      <c r="A534" s="64">
        <f t="shared" ref="A534:A572" si="43">A533+(G533*H533)</f>
        <v>3036</v>
      </c>
      <c r="B534" s="31" t="s">
        <v>441</v>
      </c>
      <c r="C534" s="121"/>
      <c r="D534" s="64"/>
      <c r="E534" s="64" t="s">
        <v>123</v>
      </c>
      <c r="F534" s="64">
        <v>3</v>
      </c>
      <c r="G534" s="64">
        <f t="shared" si="42"/>
        <v>1</v>
      </c>
      <c r="H534" s="64">
        <v>1</v>
      </c>
      <c r="I534" s="92"/>
    </row>
    <row r="535" spans="1:9" ht="15.95" customHeight="1" x14ac:dyDescent="0.3">
      <c r="A535" s="64">
        <f t="shared" si="43"/>
        <v>3037</v>
      </c>
      <c r="B535" s="31" t="s">
        <v>442</v>
      </c>
      <c r="C535" s="121"/>
      <c r="D535" s="64"/>
      <c r="E535" s="64" t="s">
        <v>123</v>
      </c>
      <c r="F535" s="64">
        <v>3</v>
      </c>
      <c r="G535" s="64">
        <f t="shared" si="42"/>
        <v>1</v>
      </c>
      <c r="H535" s="64">
        <v>1</v>
      </c>
      <c r="I535" s="92"/>
    </row>
    <row r="536" spans="1:9" ht="108" x14ac:dyDescent="0.3">
      <c r="A536" s="64">
        <f t="shared" si="43"/>
        <v>3038</v>
      </c>
      <c r="B536" s="31" t="s">
        <v>593</v>
      </c>
      <c r="C536" s="121" t="s">
        <v>953</v>
      </c>
      <c r="D536" s="31"/>
      <c r="E536" s="64" t="s">
        <v>123</v>
      </c>
      <c r="F536" s="64">
        <v>3</v>
      </c>
      <c r="G536" s="64">
        <f t="shared" si="42"/>
        <v>1</v>
      </c>
      <c r="H536" s="64">
        <v>1</v>
      </c>
      <c r="I536" s="92"/>
    </row>
    <row r="537" spans="1:9" ht="15.95" customHeight="1" x14ac:dyDescent="0.3">
      <c r="A537" s="64">
        <f t="shared" si="43"/>
        <v>3039</v>
      </c>
      <c r="B537" s="31" t="s">
        <v>439</v>
      </c>
      <c r="C537" s="121"/>
      <c r="D537" s="64"/>
      <c r="E537" s="64" t="s">
        <v>123</v>
      </c>
      <c r="F537" s="64">
        <v>3</v>
      </c>
      <c r="G537" s="64">
        <f t="shared" si="42"/>
        <v>1</v>
      </c>
      <c r="H537" s="64">
        <v>1</v>
      </c>
      <c r="I537" s="92"/>
    </row>
    <row r="538" spans="1:9" ht="15.95" customHeight="1" x14ac:dyDescent="0.3">
      <c r="A538" s="64">
        <f t="shared" si="43"/>
        <v>3040</v>
      </c>
      <c r="B538" s="31" t="s">
        <v>440</v>
      </c>
      <c r="C538" s="121"/>
      <c r="D538" s="64"/>
      <c r="E538" s="64" t="s">
        <v>436</v>
      </c>
      <c r="F538" s="64">
        <v>3</v>
      </c>
      <c r="G538" s="64">
        <f t="shared" si="42"/>
        <v>2</v>
      </c>
      <c r="H538" s="64">
        <v>1</v>
      </c>
      <c r="I538" s="92"/>
    </row>
    <row r="539" spans="1:9" ht="15.95" customHeight="1" x14ac:dyDescent="0.3">
      <c r="A539" s="64">
        <f t="shared" si="43"/>
        <v>3042</v>
      </c>
      <c r="B539" s="31" t="s">
        <v>271</v>
      </c>
      <c r="C539" s="121"/>
      <c r="D539" s="64"/>
      <c r="E539" s="64" t="s">
        <v>436</v>
      </c>
      <c r="F539" s="64">
        <v>3</v>
      </c>
      <c r="G539" s="64">
        <f t="shared" si="42"/>
        <v>2</v>
      </c>
      <c r="H539" s="64">
        <v>1</v>
      </c>
      <c r="I539" s="92"/>
    </row>
    <row r="540" spans="1:9" ht="15.95" customHeight="1" x14ac:dyDescent="0.3">
      <c r="A540" s="64">
        <f t="shared" si="43"/>
        <v>3044</v>
      </c>
      <c r="B540" s="31" t="s">
        <v>272</v>
      </c>
      <c r="C540" s="121"/>
      <c r="D540" s="64"/>
      <c r="E540" s="64" t="s">
        <v>436</v>
      </c>
      <c r="F540" s="64">
        <v>3</v>
      </c>
      <c r="G540" s="64">
        <f t="shared" si="42"/>
        <v>2</v>
      </c>
      <c r="H540" s="64">
        <v>1</v>
      </c>
      <c r="I540" s="92"/>
    </row>
    <row r="541" spans="1:9" ht="15.75" customHeight="1" x14ac:dyDescent="0.3">
      <c r="A541" s="60">
        <f t="shared" si="43"/>
        <v>3046</v>
      </c>
      <c r="B541" s="9" t="s">
        <v>273</v>
      </c>
      <c r="C541" s="9"/>
      <c r="D541" s="67"/>
      <c r="E541" s="67" t="s">
        <v>123</v>
      </c>
      <c r="F541" s="67">
        <v>3</v>
      </c>
      <c r="G541" s="15">
        <f t="shared" ref="G541:G570" si="44">IF(OR(E541="U16", E541="S16"),1,IF(E541="TS",6,2))</f>
        <v>1</v>
      </c>
      <c r="H541" s="60">
        <v>12</v>
      </c>
      <c r="I541" s="85"/>
    </row>
    <row r="542" spans="1:9" ht="15.95" customHeight="1" x14ac:dyDescent="0.3">
      <c r="A542" s="60">
        <f t="shared" si="43"/>
        <v>3058</v>
      </c>
      <c r="B542" s="9" t="s">
        <v>274</v>
      </c>
      <c r="C542" s="9"/>
      <c r="D542" s="67"/>
      <c r="E542" s="67" t="s">
        <v>123</v>
      </c>
      <c r="F542" s="67">
        <v>3</v>
      </c>
      <c r="G542" s="15">
        <f t="shared" si="44"/>
        <v>1</v>
      </c>
      <c r="H542" s="60">
        <v>12</v>
      </c>
      <c r="I542" s="85"/>
    </row>
    <row r="543" spans="1:9" ht="15.95" customHeight="1" x14ac:dyDescent="0.3">
      <c r="A543" s="60">
        <f t="shared" si="43"/>
        <v>3070</v>
      </c>
      <c r="B543" s="9" t="s">
        <v>275</v>
      </c>
      <c r="C543" s="9"/>
      <c r="D543" s="67"/>
      <c r="E543" s="67" t="s">
        <v>123</v>
      </c>
      <c r="F543" s="67">
        <v>3</v>
      </c>
      <c r="G543" s="15">
        <f t="shared" si="44"/>
        <v>1</v>
      </c>
      <c r="H543" s="60">
        <v>12</v>
      </c>
      <c r="I543" s="85"/>
    </row>
    <row r="544" spans="1:9" ht="15.95" customHeight="1" x14ac:dyDescent="0.3">
      <c r="A544" s="60">
        <f t="shared" si="43"/>
        <v>3082</v>
      </c>
      <c r="B544" s="9" t="s">
        <v>276</v>
      </c>
      <c r="C544" s="9"/>
      <c r="D544" s="67"/>
      <c r="E544" s="67" t="s">
        <v>123</v>
      </c>
      <c r="F544" s="67">
        <v>3</v>
      </c>
      <c r="G544" s="15">
        <f t="shared" si="44"/>
        <v>1</v>
      </c>
      <c r="H544" s="60">
        <v>12</v>
      </c>
      <c r="I544" s="85"/>
    </row>
    <row r="545" spans="1:10" customFormat="1" ht="16.5" x14ac:dyDescent="0.3">
      <c r="A545" s="60">
        <f t="shared" si="43"/>
        <v>3094</v>
      </c>
      <c r="B545" s="9" t="s">
        <v>277</v>
      </c>
      <c r="C545" s="9"/>
      <c r="D545" s="67"/>
      <c r="E545" s="67" t="s">
        <v>123</v>
      </c>
      <c r="F545" s="67">
        <v>3</v>
      </c>
      <c r="G545" s="15">
        <f t="shared" si="44"/>
        <v>1</v>
      </c>
      <c r="H545" s="60">
        <v>12</v>
      </c>
      <c r="I545" s="85"/>
      <c r="J545" s="27"/>
    </row>
    <row r="546" spans="1:10" customFormat="1" ht="16.5" customHeight="1" x14ac:dyDescent="0.3">
      <c r="A546" s="60">
        <f t="shared" si="43"/>
        <v>3106</v>
      </c>
      <c r="B546" s="9" t="s">
        <v>278</v>
      </c>
      <c r="C546" s="9"/>
      <c r="D546" s="67"/>
      <c r="E546" s="67" t="s">
        <v>123</v>
      </c>
      <c r="F546" s="67">
        <v>3</v>
      </c>
      <c r="G546" s="15">
        <f t="shared" si="44"/>
        <v>1</v>
      </c>
      <c r="H546" s="60">
        <v>12</v>
      </c>
      <c r="I546" s="85"/>
      <c r="J546" s="27"/>
    </row>
    <row r="547" spans="1:10" customFormat="1" ht="16.5" x14ac:dyDescent="0.3">
      <c r="A547" s="60">
        <f t="shared" si="43"/>
        <v>3118</v>
      </c>
      <c r="B547" s="9" t="s">
        <v>279</v>
      </c>
      <c r="C547" s="9"/>
      <c r="D547" s="67"/>
      <c r="E547" s="67" t="s">
        <v>123</v>
      </c>
      <c r="F547" s="67">
        <v>3</v>
      </c>
      <c r="G547" s="15">
        <f t="shared" si="44"/>
        <v>1</v>
      </c>
      <c r="H547" s="60">
        <v>12</v>
      </c>
      <c r="I547" s="85"/>
      <c r="J547" s="27"/>
    </row>
    <row r="548" spans="1:10" customFormat="1" ht="16.5" x14ac:dyDescent="0.3">
      <c r="A548" s="60">
        <f t="shared" si="43"/>
        <v>3130</v>
      </c>
      <c r="B548" s="9" t="s">
        <v>280</v>
      </c>
      <c r="C548" s="9"/>
      <c r="D548" s="67"/>
      <c r="E548" s="67" t="s">
        <v>123</v>
      </c>
      <c r="F548" s="67">
        <v>3</v>
      </c>
      <c r="G548" s="15">
        <f t="shared" si="44"/>
        <v>1</v>
      </c>
      <c r="H548" s="60">
        <v>12</v>
      </c>
      <c r="I548" s="85"/>
      <c r="J548" s="27"/>
    </row>
    <row r="549" spans="1:10" customFormat="1" ht="16.5" x14ac:dyDescent="0.3">
      <c r="A549" s="60">
        <f t="shared" si="43"/>
        <v>3142</v>
      </c>
      <c r="B549" s="9" t="s">
        <v>281</v>
      </c>
      <c r="C549" s="9"/>
      <c r="D549" s="67"/>
      <c r="E549" s="67" t="s">
        <v>123</v>
      </c>
      <c r="F549" s="67">
        <v>3</v>
      </c>
      <c r="G549" s="15">
        <f t="shared" si="44"/>
        <v>1</v>
      </c>
      <c r="H549" s="60">
        <v>12</v>
      </c>
      <c r="I549" s="85"/>
      <c r="J549" s="27"/>
    </row>
    <row r="550" spans="1:10" customFormat="1" ht="16.5" x14ac:dyDescent="0.3">
      <c r="A550" s="60">
        <f t="shared" si="43"/>
        <v>3154</v>
      </c>
      <c r="B550" s="9" t="s">
        <v>282</v>
      </c>
      <c r="C550" s="9"/>
      <c r="D550" s="67"/>
      <c r="E550" s="67" t="s">
        <v>123</v>
      </c>
      <c r="F550" s="67">
        <v>3</v>
      </c>
      <c r="G550" s="15">
        <f t="shared" si="44"/>
        <v>1</v>
      </c>
      <c r="H550" s="60">
        <v>12</v>
      </c>
      <c r="I550" s="85"/>
      <c r="J550" s="27"/>
    </row>
    <row r="551" spans="1:10" customFormat="1" ht="16.5" x14ac:dyDescent="0.3">
      <c r="A551" s="60">
        <f t="shared" si="43"/>
        <v>3166</v>
      </c>
      <c r="B551" s="9" t="s">
        <v>283</v>
      </c>
      <c r="C551" s="9"/>
      <c r="D551" s="67"/>
      <c r="E551" s="67" t="s">
        <v>123</v>
      </c>
      <c r="F551" s="67">
        <v>3</v>
      </c>
      <c r="G551" s="15">
        <f t="shared" si="44"/>
        <v>1</v>
      </c>
      <c r="H551" s="60">
        <v>12</v>
      </c>
      <c r="I551" s="85"/>
      <c r="J551" s="27"/>
    </row>
    <row r="552" spans="1:10" customFormat="1" ht="16.5" x14ac:dyDescent="0.3">
      <c r="A552" s="60">
        <f t="shared" si="43"/>
        <v>3178</v>
      </c>
      <c r="B552" s="9" t="s">
        <v>284</v>
      </c>
      <c r="C552" s="9"/>
      <c r="D552" s="67"/>
      <c r="E552" s="67" t="s">
        <v>123</v>
      </c>
      <c r="F552" s="67">
        <v>3</v>
      </c>
      <c r="G552" s="15">
        <f t="shared" si="44"/>
        <v>1</v>
      </c>
      <c r="H552" s="60">
        <v>12</v>
      </c>
      <c r="I552" s="85"/>
      <c r="J552" s="27"/>
    </row>
    <row r="553" spans="1:10" customFormat="1" ht="16.5" x14ac:dyDescent="0.3">
      <c r="A553" s="60">
        <f t="shared" si="43"/>
        <v>3190</v>
      </c>
      <c r="B553" s="9" t="s">
        <v>285</v>
      </c>
      <c r="C553" s="9"/>
      <c r="D553" s="67"/>
      <c r="E553" s="67" t="s">
        <v>123</v>
      </c>
      <c r="F553" s="67">
        <v>3</v>
      </c>
      <c r="G553" s="15">
        <f t="shared" si="44"/>
        <v>1</v>
      </c>
      <c r="H553" s="60">
        <v>12</v>
      </c>
      <c r="I553" s="85"/>
      <c r="J553" s="27"/>
    </row>
    <row r="554" spans="1:10" customFormat="1" ht="16.5" x14ac:dyDescent="0.3">
      <c r="A554" s="60">
        <f t="shared" si="43"/>
        <v>3202</v>
      </c>
      <c r="B554" s="9" t="s">
        <v>286</v>
      </c>
      <c r="C554" s="9"/>
      <c r="D554" s="67"/>
      <c r="E554" s="67" t="s">
        <v>123</v>
      </c>
      <c r="F554" s="67">
        <v>3</v>
      </c>
      <c r="G554" s="15">
        <f t="shared" si="44"/>
        <v>1</v>
      </c>
      <c r="H554" s="60">
        <v>12</v>
      </c>
      <c r="I554" s="85"/>
      <c r="J554" s="27"/>
    </row>
    <row r="555" spans="1:10" customFormat="1" ht="16.5" x14ac:dyDescent="0.3">
      <c r="A555" s="60">
        <f t="shared" si="43"/>
        <v>3214</v>
      </c>
      <c r="B555" s="9" t="s">
        <v>287</v>
      </c>
      <c r="C555" s="9"/>
      <c r="D555" s="67"/>
      <c r="E555" s="67" t="s">
        <v>123</v>
      </c>
      <c r="F555" s="67">
        <v>3</v>
      </c>
      <c r="G555" s="15">
        <f t="shared" si="44"/>
        <v>1</v>
      </c>
      <c r="H555" s="60">
        <v>12</v>
      </c>
      <c r="I555" s="85"/>
      <c r="J555" s="27"/>
    </row>
    <row r="556" spans="1:10" ht="15.95" customHeight="1" x14ac:dyDescent="0.3">
      <c r="A556" s="60">
        <f t="shared" si="43"/>
        <v>3226</v>
      </c>
      <c r="B556" s="9" t="s">
        <v>288</v>
      </c>
      <c r="C556" s="9"/>
      <c r="D556" s="67"/>
      <c r="E556" s="67" t="s">
        <v>123</v>
      </c>
      <c r="F556" s="67">
        <v>3</v>
      </c>
      <c r="G556" s="15">
        <f t="shared" si="44"/>
        <v>1</v>
      </c>
      <c r="H556" s="60">
        <v>12</v>
      </c>
      <c r="I556" s="85"/>
    </row>
    <row r="557" spans="1:10" customFormat="1" ht="16.5" x14ac:dyDescent="0.3">
      <c r="A557" s="60">
        <f t="shared" si="43"/>
        <v>3238</v>
      </c>
      <c r="B557" s="9" t="s">
        <v>289</v>
      </c>
      <c r="C557" s="9"/>
      <c r="D557" s="67"/>
      <c r="E557" s="67" t="s">
        <v>123</v>
      </c>
      <c r="F557" s="67">
        <v>3</v>
      </c>
      <c r="G557" s="15">
        <f t="shared" si="44"/>
        <v>1</v>
      </c>
      <c r="H557" s="60">
        <v>12</v>
      </c>
      <c r="I557" s="85"/>
      <c r="J557" s="27"/>
    </row>
    <row r="558" spans="1:10" customFormat="1" ht="16.5" customHeight="1" x14ac:dyDescent="0.3">
      <c r="A558" s="60">
        <f t="shared" si="43"/>
        <v>3250</v>
      </c>
      <c r="B558" s="9" t="s">
        <v>290</v>
      </c>
      <c r="C558" s="9"/>
      <c r="D558" s="67"/>
      <c r="E558" s="67" t="s">
        <v>123</v>
      </c>
      <c r="F558" s="67">
        <v>3</v>
      </c>
      <c r="G558" s="15">
        <f t="shared" si="44"/>
        <v>1</v>
      </c>
      <c r="H558" s="60">
        <v>12</v>
      </c>
      <c r="I558" s="85"/>
      <c r="J558" s="27"/>
    </row>
    <row r="559" spans="1:10" customFormat="1" ht="16.5" x14ac:dyDescent="0.3">
      <c r="A559" s="60">
        <f t="shared" si="43"/>
        <v>3262</v>
      </c>
      <c r="B559" s="9" t="s">
        <v>291</v>
      </c>
      <c r="C559" s="9"/>
      <c r="D559" s="67"/>
      <c r="E559" s="67" t="s">
        <v>123</v>
      </c>
      <c r="F559" s="67">
        <v>3</v>
      </c>
      <c r="G559" s="15">
        <f t="shared" si="44"/>
        <v>1</v>
      </c>
      <c r="H559" s="60">
        <v>12</v>
      </c>
      <c r="I559" s="85"/>
      <c r="J559" s="27"/>
    </row>
    <row r="560" spans="1:10" customFormat="1" ht="16.5" x14ac:dyDescent="0.3">
      <c r="A560" s="60">
        <f t="shared" si="43"/>
        <v>3274</v>
      </c>
      <c r="B560" s="9" t="s">
        <v>292</v>
      </c>
      <c r="C560" s="9"/>
      <c r="D560" s="67"/>
      <c r="E560" s="67" t="s">
        <v>123</v>
      </c>
      <c r="F560" s="67">
        <v>3</v>
      </c>
      <c r="G560" s="15">
        <f t="shared" si="44"/>
        <v>1</v>
      </c>
      <c r="H560" s="60">
        <v>12</v>
      </c>
      <c r="I560" s="85"/>
      <c r="J560" s="27"/>
    </row>
    <row r="561" spans="1:10" customFormat="1" ht="16.5" x14ac:dyDescent="0.3">
      <c r="A561" s="60">
        <f t="shared" si="43"/>
        <v>3286</v>
      </c>
      <c r="B561" s="9" t="s">
        <v>293</v>
      </c>
      <c r="C561" s="9"/>
      <c r="D561" s="67"/>
      <c r="E561" s="67" t="s">
        <v>123</v>
      </c>
      <c r="F561" s="67">
        <v>3</v>
      </c>
      <c r="G561" s="15">
        <f t="shared" si="44"/>
        <v>1</v>
      </c>
      <c r="H561" s="60">
        <v>12</v>
      </c>
      <c r="I561" s="85"/>
      <c r="J561" s="27"/>
    </row>
    <row r="562" spans="1:10" customFormat="1" ht="16.5" x14ac:dyDescent="0.3">
      <c r="A562" s="60">
        <f t="shared" si="43"/>
        <v>3298</v>
      </c>
      <c r="B562" s="9" t="s">
        <v>294</v>
      </c>
      <c r="C562" s="9"/>
      <c r="D562" s="67"/>
      <c r="E562" s="67" t="s">
        <v>123</v>
      </c>
      <c r="F562" s="67">
        <v>3</v>
      </c>
      <c r="G562" s="15">
        <f t="shared" si="44"/>
        <v>1</v>
      </c>
      <c r="H562" s="60">
        <v>12</v>
      </c>
      <c r="I562" s="85"/>
      <c r="J562" s="27"/>
    </row>
    <row r="563" spans="1:10" customFormat="1" ht="16.5" x14ac:dyDescent="0.3">
      <c r="A563" s="60">
        <f t="shared" si="43"/>
        <v>3310</v>
      </c>
      <c r="B563" s="9" t="s">
        <v>295</v>
      </c>
      <c r="C563" s="9"/>
      <c r="D563" s="67"/>
      <c r="E563" s="67" t="s">
        <v>123</v>
      </c>
      <c r="F563" s="67">
        <v>3</v>
      </c>
      <c r="G563" s="15">
        <f t="shared" si="44"/>
        <v>1</v>
      </c>
      <c r="H563" s="60">
        <v>12</v>
      </c>
      <c r="I563" s="85"/>
      <c r="J563" s="27"/>
    </row>
    <row r="564" spans="1:10" customFormat="1" ht="16.5" x14ac:dyDescent="0.3">
      <c r="A564" s="60">
        <f t="shared" si="43"/>
        <v>3322</v>
      </c>
      <c r="B564" s="9" t="s">
        <v>296</v>
      </c>
      <c r="C564" s="9"/>
      <c r="D564" s="67"/>
      <c r="E564" s="67" t="s">
        <v>123</v>
      </c>
      <c r="F564" s="67">
        <v>3</v>
      </c>
      <c r="G564" s="15">
        <f t="shared" si="44"/>
        <v>1</v>
      </c>
      <c r="H564" s="60">
        <v>12</v>
      </c>
      <c r="I564" s="85"/>
      <c r="J564" s="27"/>
    </row>
    <row r="565" spans="1:10" customFormat="1" ht="16.5" x14ac:dyDescent="0.3">
      <c r="A565" s="60">
        <f t="shared" si="43"/>
        <v>3334</v>
      </c>
      <c r="B565" s="9" t="s">
        <v>297</v>
      </c>
      <c r="C565" s="9"/>
      <c r="D565" s="67"/>
      <c r="E565" s="67" t="s">
        <v>123</v>
      </c>
      <c r="F565" s="67">
        <v>3</v>
      </c>
      <c r="G565" s="15">
        <f t="shared" si="44"/>
        <v>1</v>
      </c>
      <c r="H565" s="60">
        <v>12</v>
      </c>
      <c r="I565" s="85"/>
      <c r="J565" s="27"/>
    </row>
    <row r="566" spans="1:10" customFormat="1" ht="16.5" x14ac:dyDescent="0.3">
      <c r="A566" s="60">
        <f t="shared" si="43"/>
        <v>3346</v>
      </c>
      <c r="B566" s="9" t="s">
        <v>298</v>
      </c>
      <c r="C566" s="9"/>
      <c r="D566" s="67"/>
      <c r="E566" s="67" t="s">
        <v>123</v>
      </c>
      <c r="F566" s="67">
        <v>3</v>
      </c>
      <c r="G566" s="15">
        <f t="shared" si="44"/>
        <v>1</v>
      </c>
      <c r="H566" s="60">
        <v>12</v>
      </c>
      <c r="I566" s="85"/>
      <c r="J566" s="27"/>
    </row>
    <row r="567" spans="1:10" customFormat="1" ht="16.5" x14ac:dyDescent="0.3">
      <c r="A567" s="60">
        <f t="shared" si="43"/>
        <v>3358</v>
      </c>
      <c r="B567" s="9" t="s">
        <v>299</v>
      </c>
      <c r="C567" s="9"/>
      <c r="D567" s="67"/>
      <c r="E567" s="67" t="s">
        <v>123</v>
      </c>
      <c r="F567" s="67">
        <v>3</v>
      </c>
      <c r="G567" s="15">
        <f t="shared" si="44"/>
        <v>1</v>
      </c>
      <c r="H567" s="60">
        <v>12</v>
      </c>
      <c r="I567" s="85"/>
      <c r="J567" s="27"/>
    </row>
    <row r="568" spans="1:10" customFormat="1" ht="16.5" x14ac:dyDescent="0.3">
      <c r="A568" s="60">
        <f t="shared" si="43"/>
        <v>3370</v>
      </c>
      <c r="B568" s="9" t="s">
        <v>300</v>
      </c>
      <c r="C568" s="9"/>
      <c r="D568" s="67"/>
      <c r="E568" s="67" t="s">
        <v>123</v>
      </c>
      <c r="F568" s="67">
        <v>3</v>
      </c>
      <c r="G568" s="15">
        <f t="shared" si="44"/>
        <v>1</v>
      </c>
      <c r="H568" s="60">
        <v>12</v>
      </c>
      <c r="I568" s="85"/>
      <c r="J568" s="27"/>
    </row>
    <row r="569" spans="1:10" customFormat="1" ht="16.5" x14ac:dyDescent="0.3">
      <c r="A569" s="60">
        <f t="shared" si="43"/>
        <v>3382</v>
      </c>
      <c r="B569" s="9" t="s">
        <v>301</v>
      </c>
      <c r="C569" s="9"/>
      <c r="D569" s="67"/>
      <c r="E569" s="67" t="s">
        <v>123</v>
      </c>
      <c r="F569" s="67">
        <v>3</v>
      </c>
      <c r="G569" s="15">
        <f t="shared" si="44"/>
        <v>1</v>
      </c>
      <c r="H569" s="60">
        <v>12</v>
      </c>
      <c r="I569" s="85"/>
      <c r="J569" s="27"/>
    </row>
    <row r="570" spans="1:10" customFormat="1" ht="16.5" x14ac:dyDescent="0.3">
      <c r="A570" s="60">
        <f t="shared" si="43"/>
        <v>3394</v>
      </c>
      <c r="B570" s="9" t="s">
        <v>302</v>
      </c>
      <c r="C570" s="9"/>
      <c r="D570" s="67"/>
      <c r="E570" s="67" t="s">
        <v>123</v>
      </c>
      <c r="F570" s="67">
        <v>3</v>
      </c>
      <c r="G570" s="15">
        <f t="shared" si="44"/>
        <v>1</v>
      </c>
      <c r="H570" s="60">
        <v>12</v>
      </c>
      <c r="I570" s="85"/>
      <c r="J570" s="27"/>
    </row>
    <row r="571" spans="1:10" customFormat="1" ht="16.5" x14ac:dyDescent="0.3">
      <c r="A571" s="60">
        <f t="shared" si="43"/>
        <v>3406</v>
      </c>
      <c r="B571" s="9" t="s">
        <v>382</v>
      </c>
      <c r="C571" s="9"/>
      <c r="D571" s="67"/>
      <c r="E571" s="67" t="s">
        <v>123</v>
      </c>
      <c r="F571" s="67">
        <v>3</v>
      </c>
      <c r="G571" s="15">
        <f>IF(OR(E571="U16", E571="S16"),1,IF(E571="TS",6,2))</f>
        <v>1</v>
      </c>
      <c r="H571" s="60">
        <v>12</v>
      </c>
      <c r="I571" s="85"/>
      <c r="J571" s="27"/>
    </row>
    <row r="572" spans="1:10" customFormat="1" ht="16.5" x14ac:dyDescent="0.3">
      <c r="A572" s="60">
        <f t="shared" si="43"/>
        <v>3418</v>
      </c>
      <c r="B572" s="9"/>
      <c r="C572" s="9"/>
      <c r="D572" s="67"/>
      <c r="E572" s="67" t="s">
        <v>123</v>
      </c>
      <c r="F572" s="67">
        <v>3</v>
      </c>
      <c r="G572" s="15">
        <f>IF(OR(E572="U16", E572="S16"),1,IF(E572="TS",6,2))</f>
        <v>1</v>
      </c>
      <c r="H572" s="60">
        <v>2</v>
      </c>
      <c r="I572" s="85"/>
      <c r="J572" s="27"/>
    </row>
    <row r="573" spans="1:10" customFormat="1" ht="16.5" customHeight="1" x14ac:dyDescent="0.3">
      <c r="A573" s="162" t="s">
        <v>589</v>
      </c>
      <c r="B573" s="162"/>
      <c r="C573" s="162"/>
      <c r="D573" s="162"/>
      <c r="E573" s="162"/>
      <c r="F573" s="162"/>
      <c r="G573" s="162"/>
      <c r="H573" s="162"/>
      <c r="I573" s="88"/>
      <c r="J573" s="27"/>
    </row>
    <row r="574" spans="1:10" ht="15.75" customHeight="1" x14ac:dyDescent="0.3">
      <c r="A574" s="60">
        <f>A572+(G572*H572)</f>
        <v>3420</v>
      </c>
      <c r="B574" s="11"/>
      <c r="C574" s="9"/>
      <c r="D574" s="60"/>
      <c r="E574" s="15" t="s">
        <v>123</v>
      </c>
      <c r="F574" s="15">
        <v>3</v>
      </c>
      <c r="G574" s="15">
        <f t="shared" ref="G574:G583" si="45">IF(OR(E574="U16", E574="S16"),1,IF(E574="TS",6,2))</f>
        <v>1</v>
      </c>
      <c r="H574" s="60">
        <v>1</v>
      </c>
      <c r="I574" s="85"/>
    </row>
    <row r="575" spans="1:10" ht="15.95" customHeight="1" x14ac:dyDescent="0.3">
      <c r="A575" s="60">
        <f>A574+(G574*H574)</f>
        <v>3421</v>
      </c>
      <c r="B575" s="11"/>
      <c r="C575" s="9"/>
      <c r="D575" s="60"/>
      <c r="E575" s="15" t="s">
        <v>123</v>
      </c>
      <c r="F575" s="15">
        <v>3</v>
      </c>
      <c r="G575" s="15">
        <f t="shared" si="45"/>
        <v>1</v>
      </c>
      <c r="H575" s="60">
        <v>1</v>
      </c>
      <c r="I575" s="85"/>
    </row>
    <row r="576" spans="1:10" ht="15.95" customHeight="1" x14ac:dyDescent="0.3">
      <c r="A576" s="60">
        <f t="shared" ref="A576:A583" si="46">A575+(G575*H575)</f>
        <v>3422</v>
      </c>
      <c r="B576" s="11"/>
      <c r="C576" s="9"/>
      <c r="D576" s="60"/>
      <c r="E576" s="15" t="s">
        <v>123</v>
      </c>
      <c r="F576" s="15">
        <v>3</v>
      </c>
      <c r="G576" s="15">
        <f t="shared" si="45"/>
        <v>1</v>
      </c>
      <c r="H576" s="60">
        <v>1</v>
      </c>
      <c r="I576" s="85"/>
    </row>
    <row r="577" spans="1:10" ht="15.95" customHeight="1" x14ac:dyDescent="0.3">
      <c r="A577" s="60">
        <f t="shared" si="46"/>
        <v>3423</v>
      </c>
      <c r="B577" s="11" t="s">
        <v>587</v>
      </c>
      <c r="C577" s="9"/>
      <c r="D577" s="60"/>
      <c r="E577" s="15" t="s">
        <v>123</v>
      </c>
      <c r="F577" s="15">
        <v>3</v>
      </c>
      <c r="G577" s="15">
        <f t="shared" si="45"/>
        <v>1</v>
      </c>
      <c r="H577" s="60">
        <v>1</v>
      </c>
      <c r="I577" s="85"/>
    </row>
    <row r="578" spans="1:10" customFormat="1" ht="16.5" x14ac:dyDescent="0.3">
      <c r="A578" s="60">
        <f t="shared" si="46"/>
        <v>3424</v>
      </c>
      <c r="B578" s="11" t="s">
        <v>588</v>
      </c>
      <c r="C578" s="9"/>
      <c r="D578" s="60"/>
      <c r="E578" s="15" t="s">
        <v>123</v>
      </c>
      <c r="F578" s="15">
        <v>3</v>
      </c>
      <c r="G578" s="15">
        <f t="shared" si="45"/>
        <v>1</v>
      </c>
      <c r="H578" s="60">
        <v>1</v>
      </c>
      <c r="I578" s="85"/>
      <c r="J578" s="27"/>
    </row>
    <row r="579" spans="1:10" customFormat="1" ht="16.5" customHeight="1" x14ac:dyDescent="0.3">
      <c r="A579" s="60">
        <f t="shared" si="46"/>
        <v>3425</v>
      </c>
      <c r="B579" s="11"/>
      <c r="C579" s="9"/>
      <c r="D579" s="60"/>
      <c r="E579" s="15" t="s">
        <v>123</v>
      </c>
      <c r="F579" s="15">
        <v>3</v>
      </c>
      <c r="G579" s="15">
        <f t="shared" si="45"/>
        <v>1</v>
      </c>
      <c r="H579" s="60">
        <v>1</v>
      </c>
      <c r="I579" s="85"/>
      <c r="J579" s="27"/>
    </row>
    <row r="580" spans="1:10" customFormat="1" ht="16.5" x14ac:dyDescent="0.3">
      <c r="A580" s="60">
        <f t="shared" si="46"/>
        <v>3426</v>
      </c>
      <c r="B580" s="11"/>
      <c r="C580" s="9"/>
      <c r="D580" s="60"/>
      <c r="E580" s="15" t="s">
        <v>123</v>
      </c>
      <c r="F580" s="15">
        <v>3</v>
      </c>
      <c r="G580" s="15">
        <f t="shared" si="45"/>
        <v>1</v>
      </c>
      <c r="H580" s="60">
        <v>1</v>
      </c>
      <c r="I580" s="85"/>
      <c r="J580" s="27"/>
    </row>
    <row r="581" spans="1:10" customFormat="1" ht="16.5" x14ac:dyDescent="0.3">
      <c r="A581" s="60">
        <f t="shared" si="46"/>
        <v>3427</v>
      </c>
      <c r="B581" s="11"/>
      <c r="C581" s="9"/>
      <c r="D581" s="60"/>
      <c r="E581" s="15" t="s">
        <v>123</v>
      </c>
      <c r="F581" s="15">
        <v>3</v>
      </c>
      <c r="G581" s="15">
        <f t="shared" si="45"/>
        <v>1</v>
      </c>
      <c r="H581" s="60">
        <v>1</v>
      </c>
      <c r="I581" s="85"/>
      <c r="J581" s="27"/>
    </row>
    <row r="582" spans="1:10" customFormat="1" ht="16.5" customHeight="1" x14ac:dyDescent="0.3">
      <c r="A582" s="60">
        <f t="shared" si="46"/>
        <v>3428</v>
      </c>
      <c r="B582" s="11"/>
      <c r="C582" s="9"/>
      <c r="D582" s="60"/>
      <c r="E582" s="15" t="s">
        <v>123</v>
      </c>
      <c r="F582" s="15">
        <v>3</v>
      </c>
      <c r="G582" s="15">
        <f t="shared" si="45"/>
        <v>1</v>
      </c>
      <c r="H582" s="60">
        <v>1</v>
      </c>
      <c r="I582" s="85"/>
      <c r="J582" s="27"/>
    </row>
    <row r="583" spans="1:10" customFormat="1" ht="16.5" x14ac:dyDescent="0.3">
      <c r="A583" s="60">
        <f t="shared" si="46"/>
        <v>3429</v>
      </c>
      <c r="B583" s="11"/>
      <c r="C583" s="9"/>
      <c r="D583" s="60"/>
      <c r="E583" s="15" t="s">
        <v>123</v>
      </c>
      <c r="F583" s="15">
        <v>3</v>
      </c>
      <c r="G583" s="15">
        <f t="shared" si="45"/>
        <v>1</v>
      </c>
      <c r="H583" s="60">
        <v>1</v>
      </c>
      <c r="I583" s="85"/>
      <c r="J583" s="27"/>
    </row>
    <row r="584" spans="1:10" ht="15.95" customHeight="1" x14ac:dyDescent="0.3">
      <c r="A584" s="162" t="s">
        <v>115</v>
      </c>
      <c r="B584" s="162"/>
      <c r="C584" s="162"/>
      <c r="D584" s="162"/>
      <c r="E584" s="162"/>
      <c r="F584" s="162"/>
      <c r="G584" s="162"/>
      <c r="H584" s="162"/>
      <c r="I584" s="93"/>
      <c r="J584" s="183" t="s">
        <v>266</v>
      </c>
    </row>
    <row r="585" spans="1:10" ht="15.95" customHeight="1" x14ac:dyDescent="0.3">
      <c r="A585" s="60">
        <f>A583+(G583*H583)</f>
        <v>3430</v>
      </c>
      <c r="B585" s="9" t="s">
        <v>179</v>
      </c>
      <c r="C585" s="9"/>
      <c r="D585" s="60"/>
      <c r="E585" s="15" t="s">
        <v>114</v>
      </c>
      <c r="F585" s="15">
        <v>3</v>
      </c>
      <c r="G585" s="15">
        <f t="shared" ref="G585:G595" si="47">IF(OR(E585="U16", E585="S16"),1,IF(E585="TS",6,2))</f>
        <v>1</v>
      </c>
      <c r="H585" s="60">
        <v>160</v>
      </c>
      <c r="I585" s="89"/>
      <c r="J585" s="183"/>
    </row>
    <row r="586" spans="1:10" ht="15.95" customHeight="1" x14ac:dyDescent="0.3">
      <c r="A586" s="60">
        <f t="shared" ref="A586:A596" si="48">A585+(G585*H585)</f>
        <v>3590</v>
      </c>
      <c r="B586" s="9" t="s">
        <v>32</v>
      </c>
      <c r="C586" s="9"/>
      <c r="D586" s="60"/>
      <c r="E586" s="15" t="s">
        <v>114</v>
      </c>
      <c r="F586" s="15">
        <v>3</v>
      </c>
      <c r="G586" s="15">
        <f t="shared" si="47"/>
        <v>1</v>
      </c>
      <c r="H586" s="60">
        <v>160</v>
      </c>
      <c r="I586" s="89"/>
      <c r="J586" s="183"/>
    </row>
    <row r="587" spans="1:10" ht="15.95" customHeight="1" x14ac:dyDescent="0.3">
      <c r="A587" s="60">
        <f t="shared" si="48"/>
        <v>3750</v>
      </c>
      <c r="B587" s="9" t="s">
        <v>33</v>
      </c>
      <c r="C587" s="9"/>
      <c r="D587" s="60"/>
      <c r="E587" s="15" t="s">
        <v>114</v>
      </c>
      <c r="F587" s="15">
        <v>3</v>
      </c>
      <c r="G587" s="15">
        <f t="shared" si="47"/>
        <v>1</v>
      </c>
      <c r="H587" s="60">
        <v>160</v>
      </c>
      <c r="I587" s="89"/>
      <c r="J587" s="183"/>
    </row>
    <row r="588" spans="1:10" ht="15.95" customHeight="1" x14ac:dyDescent="0.3">
      <c r="A588" s="60">
        <f t="shared" si="48"/>
        <v>3910</v>
      </c>
      <c r="B588" s="9" t="s">
        <v>34</v>
      </c>
      <c r="C588" s="9"/>
      <c r="D588" s="60"/>
      <c r="E588" s="15" t="s">
        <v>114</v>
      </c>
      <c r="F588" s="15">
        <v>3</v>
      </c>
      <c r="G588" s="15">
        <f t="shared" si="47"/>
        <v>1</v>
      </c>
      <c r="H588" s="60">
        <v>160</v>
      </c>
      <c r="I588" s="89"/>
      <c r="J588" s="183"/>
    </row>
    <row r="589" spans="1:10" ht="15.95" customHeight="1" x14ac:dyDescent="0.3">
      <c r="A589" s="60">
        <f t="shared" si="48"/>
        <v>4070</v>
      </c>
      <c r="B589" s="9" t="s">
        <v>35</v>
      </c>
      <c r="C589" s="9"/>
      <c r="D589" s="60"/>
      <c r="E589" s="15" t="s">
        <v>114</v>
      </c>
      <c r="F589" s="15">
        <v>3</v>
      </c>
      <c r="G589" s="15">
        <f t="shared" si="47"/>
        <v>1</v>
      </c>
      <c r="H589" s="60">
        <v>160</v>
      </c>
      <c r="I589" s="89"/>
      <c r="J589" s="183"/>
    </row>
    <row r="590" spans="1:10" ht="15.95" customHeight="1" x14ac:dyDescent="0.3">
      <c r="A590" s="60">
        <f t="shared" si="48"/>
        <v>4230</v>
      </c>
      <c r="B590" s="9" t="s">
        <v>36</v>
      </c>
      <c r="C590" s="9"/>
      <c r="D590" s="60"/>
      <c r="E590" s="15" t="s">
        <v>114</v>
      </c>
      <c r="F590" s="15">
        <v>3</v>
      </c>
      <c r="G590" s="15">
        <f t="shared" si="47"/>
        <v>1</v>
      </c>
      <c r="H590" s="60">
        <v>160</v>
      </c>
      <c r="I590" s="89"/>
      <c r="J590" s="183"/>
    </row>
    <row r="591" spans="1:10" ht="15.95" customHeight="1" x14ac:dyDescent="0.3">
      <c r="A591" s="60">
        <f t="shared" si="48"/>
        <v>4390</v>
      </c>
      <c r="B591" s="9" t="s">
        <v>37</v>
      </c>
      <c r="C591" s="9"/>
      <c r="D591" s="60"/>
      <c r="E591" s="15" t="s">
        <v>114</v>
      </c>
      <c r="F591" s="15">
        <v>3</v>
      </c>
      <c r="G591" s="15">
        <f t="shared" si="47"/>
        <v>1</v>
      </c>
      <c r="H591" s="60">
        <v>160</v>
      </c>
      <c r="I591" s="89"/>
      <c r="J591" s="183"/>
    </row>
    <row r="592" spans="1:10" ht="15.95" customHeight="1" x14ac:dyDescent="0.3">
      <c r="A592" s="60">
        <f t="shared" si="48"/>
        <v>4550</v>
      </c>
      <c r="B592" s="9" t="s">
        <v>38</v>
      </c>
      <c r="C592" s="9"/>
      <c r="D592" s="60"/>
      <c r="E592" s="15" t="s">
        <v>114</v>
      </c>
      <c r="F592" s="15">
        <v>3</v>
      </c>
      <c r="G592" s="15">
        <f t="shared" si="47"/>
        <v>1</v>
      </c>
      <c r="H592" s="60">
        <v>160</v>
      </c>
      <c r="I592" s="89"/>
      <c r="J592" s="183"/>
    </row>
    <row r="593" spans="1:10" ht="15.95" customHeight="1" x14ac:dyDescent="0.3">
      <c r="A593" s="60">
        <f t="shared" si="48"/>
        <v>4710</v>
      </c>
      <c r="B593" s="9" t="s">
        <v>39</v>
      </c>
      <c r="C593" s="9"/>
      <c r="D593" s="60"/>
      <c r="E593" s="15" t="s">
        <v>114</v>
      </c>
      <c r="F593" s="15">
        <v>3</v>
      </c>
      <c r="G593" s="15">
        <f t="shared" si="47"/>
        <v>1</v>
      </c>
      <c r="H593" s="60">
        <v>160</v>
      </c>
      <c r="I593" s="89"/>
      <c r="J593" s="183"/>
    </row>
    <row r="594" spans="1:10" ht="15.95" customHeight="1" x14ac:dyDescent="0.3">
      <c r="A594" s="68">
        <f t="shared" si="48"/>
        <v>4870</v>
      </c>
      <c r="B594" s="9" t="s">
        <v>547</v>
      </c>
      <c r="C594" s="9"/>
      <c r="D594" s="60"/>
      <c r="E594" s="15" t="s">
        <v>436</v>
      </c>
      <c r="F594" s="15">
        <v>3</v>
      </c>
      <c r="G594" s="15">
        <f>IF(OR(E594="U16", E594="S16"),1,IF(E594="TS",6,2))</f>
        <v>2</v>
      </c>
      <c r="H594" s="60">
        <v>1</v>
      </c>
      <c r="I594" s="89"/>
      <c r="J594" s="183"/>
    </row>
    <row r="595" spans="1:10" ht="15.95" customHeight="1" x14ac:dyDescent="0.3">
      <c r="A595" s="68">
        <f t="shared" si="48"/>
        <v>4872</v>
      </c>
      <c r="B595" s="9" t="s">
        <v>548</v>
      </c>
      <c r="C595" s="9"/>
      <c r="D595" s="60"/>
      <c r="E595" s="15" t="s">
        <v>436</v>
      </c>
      <c r="F595" s="15">
        <v>3</v>
      </c>
      <c r="G595" s="15">
        <f t="shared" si="47"/>
        <v>2</v>
      </c>
      <c r="H595" s="60">
        <v>1</v>
      </c>
      <c r="I595" s="89"/>
      <c r="J595" s="183"/>
    </row>
    <row r="596" spans="1:10" ht="15.95" customHeight="1" x14ac:dyDescent="0.3">
      <c r="A596" s="68">
        <f t="shared" si="48"/>
        <v>4874</v>
      </c>
      <c r="B596" s="9"/>
      <c r="C596" s="9"/>
      <c r="D596" s="68"/>
      <c r="E596" s="15" t="s">
        <v>114</v>
      </c>
      <c r="F596" s="15">
        <v>3</v>
      </c>
      <c r="G596" s="15">
        <f t="shared" ref="G596" si="49">IF(OR(E596="U16", E596="S16"),1,IF(E596="TS",6,2))</f>
        <v>1</v>
      </c>
      <c r="H596" s="68">
        <v>6</v>
      </c>
      <c r="I596" s="85"/>
      <c r="J596" s="70"/>
    </row>
    <row r="597" spans="1:10" customFormat="1" ht="16.5" x14ac:dyDescent="0.3">
      <c r="A597" s="162" t="s">
        <v>538</v>
      </c>
      <c r="B597" s="162"/>
      <c r="C597" s="162"/>
      <c r="D597" s="162"/>
      <c r="E597" s="162"/>
      <c r="F597" s="162"/>
      <c r="G597" s="162"/>
      <c r="H597" s="162"/>
      <c r="I597" s="88"/>
      <c r="J597" s="27"/>
    </row>
    <row r="598" spans="1:10" customFormat="1" ht="16.5" x14ac:dyDescent="0.3">
      <c r="A598" s="68">
        <f>A596+(G596*H596)</f>
        <v>4880</v>
      </c>
      <c r="B598" s="9" t="s">
        <v>873</v>
      </c>
      <c r="C598" s="9"/>
      <c r="D598" s="60"/>
      <c r="E598" s="15" t="s">
        <v>536</v>
      </c>
      <c r="F598" s="15">
        <v>3</v>
      </c>
      <c r="G598" s="15">
        <f t="shared" ref="G598:G627" si="50">IF(OR(E598="U16", E598="S16"),1,IF(E598="TS",6,2))</f>
        <v>2</v>
      </c>
      <c r="H598" s="60">
        <v>1</v>
      </c>
      <c r="I598" s="85"/>
      <c r="J598" s="27"/>
    </row>
    <row r="599" spans="1:10" customFormat="1" ht="16.5" x14ac:dyDescent="0.3">
      <c r="A599" s="60">
        <f t="shared" ref="A599:A646" si="51">A598+(G598*H598)</f>
        <v>4882</v>
      </c>
      <c r="B599" s="9" t="s">
        <v>154</v>
      </c>
      <c r="C599" s="9"/>
      <c r="D599" s="60"/>
      <c r="E599" s="15" t="s">
        <v>516</v>
      </c>
      <c r="F599" s="15">
        <v>3</v>
      </c>
      <c r="G599" s="15">
        <f t="shared" si="50"/>
        <v>2</v>
      </c>
      <c r="H599" s="60">
        <v>1</v>
      </c>
      <c r="I599" s="85"/>
      <c r="J599" s="27"/>
    </row>
    <row r="600" spans="1:10" customFormat="1" ht="16.5" x14ac:dyDescent="0.3">
      <c r="A600" s="60">
        <f t="shared" si="51"/>
        <v>4884</v>
      </c>
      <c r="B600" s="9" t="s">
        <v>155</v>
      </c>
      <c r="C600" s="9"/>
      <c r="D600" s="9"/>
      <c r="E600" s="15" t="s">
        <v>516</v>
      </c>
      <c r="F600" s="15">
        <v>3</v>
      </c>
      <c r="G600" s="15">
        <f t="shared" si="50"/>
        <v>2</v>
      </c>
      <c r="H600" s="60">
        <v>1</v>
      </c>
      <c r="I600" s="85"/>
      <c r="J600" s="27"/>
    </row>
    <row r="601" spans="1:10" customFormat="1" ht="16.5" x14ac:dyDescent="0.3">
      <c r="A601" s="60">
        <f t="shared" si="51"/>
        <v>4886</v>
      </c>
      <c r="B601" s="9" t="s">
        <v>156</v>
      </c>
      <c r="C601" s="9"/>
      <c r="D601" s="9"/>
      <c r="E601" s="15" t="s">
        <v>516</v>
      </c>
      <c r="F601" s="15">
        <v>3</v>
      </c>
      <c r="G601" s="15">
        <f t="shared" si="50"/>
        <v>2</v>
      </c>
      <c r="H601" s="60">
        <v>1</v>
      </c>
      <c r="I601" s="85"/>
      <c r="J601" s="27"/>
    </row>
    <row r="602" spans="1:10" customFormat="1" ht="16.5" x14ac:dyDescent="0.3">
      <c r="A602" s="60">
        <f t="shared" si="51"/>
        <v>4888</v>
      </c>
      <c r="B602" s="9" t="s">
        <v>874</v>
      </c>
      <c r="C602" s="9"/>
      <c r="D602" s="9"/>
      <c r="E602" s="15" t="s">
        <v>516</v>
      </c>
      <c r="F602" s="15">
        <v>3</v>
      </c>
      <c r="G602" s="15">
        <f t="shared" si="50"/>
        <v>2</v>
      </c>
      <c r="H602" s="60">
        <v>1</v>
      </c>
      <c r="I602" s="85"/>
      <c r="J602" s="27"/>
    </row>
    <row r="603" spans="1:10" customFormat="1" ht="16.5" x14ac:dyDescent="0.3">
      <c r="A603" s="60">
        <f t="shared" si="51"/>
        <v>4890</v>
      </c>
      <c r="B603" s="9" t="s">
        <v>875</v>
      </c>
      <c r="C603" s="9"/>
      <c r="D603" s="9"/>
      <c r="E603" s="15" t="s">
        <v>516</v>
      </c>
      <c r="F603" s="15">
        <v>3</v>
      </c>
      <c r="G603" s="15">
        <f t="shared" si="50"/>
        <v>2</v>
      </c>
      <c r="H603" s="60">
        <v>1</v>
      </c>
      <c r="I603" s="85"/>
      <c r="J603" s="27"/>
    </row>
    <row r="604" spans="1:10" customFormat="1" ht="16.5" x14ac:dyDescent="0.3">
      <c r="A604" s="60">
        <f t="shared" si="51"/>
        <v>4892</v>
      </c>
      <c r="B604" s="9" t="s">
        <v>876</v>
      </c>
      <c r="C604" s="9"/>
      <c r="D604" s="9"/>
      <c r="E604" s="15" t="s">
        <v>516</v>
      </c>
      <c r="F604" s="15">
        <v>3</v>
      </c>
      <c r="G604" s="15">
        <f t="shared" si="50"/>
        <v>2</v>
      </c>
      <c r="H604" s="60">
        <v>1</v>
      </c>
      <c r="I604" s="85"/>
      <c r="J604" s="27"/>
    </row>
    <row r="605" spans="1:10" ht="15.95" customHeight="1" x14ac:dyDescent="0.3">
      <c r="A605" s="60">
        <f t="shared" si="51"/>
        <v>4894</v>
      </c>
      <c r="B605" s="9" t="s">
        <v>877</v>
      </c>
      <c r="C605" s="9"/>
      <c r="D605" s="9"/>
      <c r="E605" s="15" t="s">
        <v>516</v>
      </c>
      <c r="F605" s="15">
        <v>3</v>
      </c>
      <c r="G605" s="15">
        <f>IF(OR(E605="U16", E605="S16"),1,IF(E605="TS",6,2))</f>
        <v>2</v>
      </c>
      <c r="H605" s="60">
        <v>1</v>
      </c>
      <c r="I605" s="85"/>
    </row>
    <row r="606" spans="1:10" customFormat="1" ht="16.5" x14ac:dyDescent="0.3">
      <c r="A606" s="60">
        <f t="shared" si="51"/>
        <v>4896</v>
      </c>
      <c r="B606" s="9" t="s">
        <v>878</v>
      </c>
      <c r="C606" s="9"/>
      <c r="D606" s="9"/>
      <c r="E606" s="15" t="s">
        <v>516</v>
      </c>
      <c r="F606" s="15">
        <v>3</v>
      </c>
      <c r="G606" s="15">
        <f>IF(OR(E606="U16", E606="S16"),1,IF(E606="TS",6,2))</f>
        <v>2</v>
      </c>
      <c r="H606" s="60">
        <v>1</v>
      </c>
      <c r="I606" s="85"/>
      <c r="J606" s="27"/>
    </row>
    <row r="607" spans="1:10" customFormat="1" ht="16.5" customHeight="1" x14ac:dyDescent="0.3">
      <c r="A607" s="60">
        <f t="shared" si="51"/>
        <v>4898</v>
      </c>
      <c r="B607" s="9" t="s">
        <v>879</v>
      </c>
      <c r="C607" s="9"/>
      <c r="D607" s="9"/>
      <c r="E607" s="15" t="s">
        <v>516</v>
      </c>
      <c r="F607" s="15">
        <v>3</v>
      </c>
      <c r="G607" s="15">
        <f>IF(OR(E607="U16", E607="S16"),1,IF(E607="TS",6,2))</f>
        <v>2</v>
      </c>
      <c r="H607" s="60">
        <v>1</v>
      </c>
      <c r="I607" s="85"/>
      <c r="J607" s="27"/>
    </row>
    <row r="608" spans="1:10" customFormat="1" ht="16.5" x14ac:dyDescent="0.3">
      <c r="A608" s="60">
        <f t="shared" si="51"/>
        <v>4900</v>
      </c>
      <c r="B608" s="9" t="s">
        <v>880</v>
      </c>
      <c r="C608" s="9"/>
      <c r="D608" s="9"/>
      <c r="E608" s="15" t="s">
        <v>516</v>
      </c>
      <c r="F608" s="15">
        <v>3</v>
      </c>
      <c r="G608" s="15">
        <f t="shared" si="50"/>
        <v>2</v>
      </c>
      <c r="H608" s="60">
        <v>1</v>
      </c>
      <c r="I608" s="85"/>
      <c r="J608" s="27"/>
    </row>
    <row r="609" spans="1:10" customFormat="1" ht="16.5" x14ac:dyDescent="0.3">
      <c r="A609" s="60">
        <f t="shared" si="51"/>
        <v>4902</v>
      </c>
      <c r="B609" s="9" t="s">
        <v>881</v>
      </c>
      <c r="C609" s="9"/>
      <c r="D609" s="9"/>
      <c r="E609" s="15" t="s">
        <v>516</v>
      </c>
      <c r="F609" s="15">
        <v>3</v>
      </c>
      <c r="G609" s="15">
        <f t="shared" si="50"/>
        <v>2</v>
      </c>
      <c r="H609" s="60">
        <v>1</v>
      </c>
      <c r="I609" s="85"/>
      <c r="J609" s="10"/>
    </row>
    <row r="610" spans="1:10" customFormat="1" ht="16.5" x14ac:dyDescent="0.3">
      <c r="A610" s="60">
        <f t="shared" si="51"/>
        <v>4904</v>
      </c>
      <c r="B610" s="9" t="s">
        <v>0</v>
      </c>
      <c r="C610" s="9"/>
      <c r="D610" s="9"/>
      <c r="E610" s="15" t="s">
        <v>516</v>
      </c>
      <c r="F610" s="15">
        <v>3</v>
      </c>
      <c r="G610" s="15">
        <f t="shared" si="50"/>
        <v>2</v>
      </c>
      <c r="H610" s="60">
        <v>1</v>
      </c>
      <c r="I610" s="85"/>
      <c r="J610" s="10"/>
    </row>
    <row r="611" spans="1:10" customFormat="1" ht="16.5" x14ac:dyDescent="0.3">
      <c r="A611" s="60">
        <f t="shared" si="51"/>
        <v>4906</v>
      </c>
      <c r="B611" s="9" t="s">
        <v>1</v>
      </c>
      <c r="C611" s="9"/>
      <c r="D611" s="9"/>
      <c r="E611" s="15" t="s">
        <v>516</v>
      </c>
      <c r="F611" s="15">
        <v>3</v>
      </c>
      <c r="G611" s="15">
        <f t="shared" si="50"/>
        <v>2</v>
      </c>
      <c r="H611" s="60">
        <v>1</v>
      </c>
      <c r="I611" s="85"/>
      <c r="J611" s="27"/>
    </row>
    <row r="612" spans="1:10" customFormat="1" ht="16.5" x14ac:dyDescent="0.3">
      <c r="A612" s="60">
        <f t="shared" si="51"/>
        <v>4908</v>
      </c>
      <c r="B612" s="9" t="s">
        <v>2</v>
      </c>
      <c r="C612" s="9"/>
      <c r="D612" s="9"/>
      <c r="E612" s="15" t="s">
        <v>516</v>
      </c>
      <c r="F612" s="15">
        <v>3</v>
      </c>
      <c r="G612" s="15">
        <f t="shared" si="50"/>
        <v>2</v>
      </c>
      <c r="H612" s="60">
        <v>1</v>
      </c>
      <c r="I612" s="85"/>
      <c r="J612" s="27"/>
    </row>
    <row r="613" spans="1:10" customFormat="1" ht="16.5" x14ac:dyDescent="0.3">
      <c r="A613" s="60">
        <f t="shared" si="51"/>
        <v>4910</v>
      </c>
      <c r="B613" s="9" t="s">
        <v>122</v>
      </c>
      <c r="C613" s="9"/>
      <c r="D613" s="9"/>
      <c r="E613" s="15" t="s">
        <v>516</v>
      </c>
      <c r="F613" s="15">
        <v>3</v>
      </c>
      <c r="G613" s="15">
        <f t="shared" si="50"/>
        <v>2</v>
      </c>
      <c r="H613" s="60">
        <v>1</v>
      </c>
      <c r="I613" s="85"/>
      <c r="J613" s="27"/>
    </row>
    <row r="614" spans="1:10" customFormat="1" ht="16.5" x14ac:dyDescent="0.3">
      <c r="A614" s="60">
        <f t="shared" si="51"/>
        <v>4912</v>
      </c>
      <c r="B614" s="9" t="s">
        <v>882</v>
      </c>
      <c r="C614" s="9"/>
      <c r="D614" s="9"/>
      <c r="E614" s="15" t="s">
        <v>516</v>
      </c>
      <c r="F614" s="15">
        <v>3</v>
      </c>
      <c r="G614" s="15">
        <f t="shared" si="50"/>
        <v>2</v>
      </c>
      <c r="H614" s="60">
        <v>1</v>
      </c>
      <c r="I614" s="85"/>
      <c r="J614" s="27"/>
    </row>
    <row r="615" spans="1:10" customFormat="1" ht="16.5" x14ac:dyDescent="0.3">
      <c r="A615" s="60">
        <f t="shared" si="51"/>
        <v>4914</v>
      </c>
      <c r="B615" s="9" t="s">
        <v>883</v>
      </c>
      <c r="C615" s="9"/>
      <c r="D615" s="9"/>
      <c r="E615" s="15" t="s">
        <v>516</v>
      </c>
      <c r="F615" s="15">
        <v>3</v>
      </c>
      <c r="G615" s="15">
        <f t="shared" si="50"/>
        <v>2</v>
      </c>
      <c r="H615" s="60">
        <v>1</v>
      </c>
      <c r="I615" s="85"/>
      <c r="J615" s="27"/>
    </row>
    <row r="616" spans="1:10" customFormat="1" ht="16.5" x14ac:dyDescent="0.3">
      <c r="A616" s="60">
        <f t="shared" si="51"/>
        <v>4916</v>
      </c>
      <c r="B616" s="9" t="s">
        <v>884</v>
      </c>
      <c r="C616" s="9"/>
      <c r="D616" s="9"/>
      <c r="E616" s="15" t="s">
        <v>516</v>
      </c>
      <c r="F616" s="15">
        <v>3</v>
      </c>
      <c r="G616" s="15">
        <f t="shared" si="50"/>
        <v>2</v>
      </c>
      <c r="H616" s="60">
        <v>1</v>
      </c>
      <c r="I616" s="85"/>
      <c r="J616" s="27"/>
    </row>
    <row r="617" spans="1:10" ht="15.95" customHeight="1" x14ac:dyDescent="0.3">
      <c r="A617" s="60">
        <f t="shared" si="51"/>
        <v>4918</v>
      </c>
      <c r="B617" s="9" t="s">
        <v>885</v>
      </c>
      <c r="C617" s="9"/>
      <c r="D617" s="9"/>
      <c r="E617" s="15" t="s">
        <v>516</v>
      </c>
      <c r="F617" s="15">
        <v>3</v>
      </c>
      <c r="G617" s="15">
        <f t="shared" si="50"/>
        <v>2</v>
      </c>
      <c r="H617" s="60">
        <v>1</v>
      </c>
      <c r="I617" s="85"/>
    </row>
    <row r="618" spans="1:10" ht="15.95" customHeight="1" x14ac:dyDescent="0.3">
      <c r="A618" s="60">
        <f t="shared" si="51"/>
        <v>4920</v>
      </c>
      <c r="B618" s="9" t="s">
        <v>886</v>
      </c>
      <c r="C618" s="9"/>
      <c r="D618" s="9"/>
      <c r="E618" s="15" t="s">
        <v>516</v>
      </c>
      <c r="F618" s="15">
        <v>3</v>
      </c>
      <c r="G618" s="15">
        <f t="shared" si="50"/>
        <v>2</v>
      </c>
      <c r="H618" s="60">
        <v>1</v>
      </c>
      <c r="I618" s="85"/>
    </row>
    <row r="619" spans="1:10" ht="15.95" customHeight="1" x14ac:dyDescent="0.3">
      <c r="A619" s="60">
        <f t="shared" si="51"/>
        <v>4922</v>
      </c>
      <c r="B619" s="9" t="s">
        <v>887</v>
      </c>
      <c r="C619" s="9"/>
      <c r="D619" s="60"/>
      <c r="E619" s="15" t="s">
        <v>516</v>
      </c>
      <c r="F619" s="15">
        <v>3</v>
      </c>
      <c r="G619" s="15">
        <f t="shared" si="50"/>
        <v>2</v>
      </c>
      <c r="H619" s="60">
        <v>1</v>
      </c>
      <c r="I619" s="85"/>
    </row>
    <row r="620" spans="1:10" customFormat="1" ht="16.5" x14ac:dyDescent="0.3">
      <c r="A620" s="60">
        <f t="shared" si="51"/>
        <v>4924</v>
      </c>
      <c r="B620" s="9" t="s">
        <v>888</v>
      </c>
      <c r="C620" s="9"/>
      <c r="D620" s="60"/>
      <c r="E620" s="15" t="s">
        <v>516</v>
      </c>
      <c r="F620" s="15">
        <v>3</v>
      </c>
      <c r="G620" s="15">
        <f t="shared" si="50"/>
        <v>2</v>
      </c>
      <c r="H620" s="60">
        <v>1</v>
      </c>
      <c r="I620" s="85"/>
      <c r="J620" s="27"/>
    </row>
    <row r="621" spans="1:10" customFormat="1" ht="16.5" customHeight="1" x14ac:dyDescent="0.3">
      <c r="A621" s="60">
        <f t="shared" si="51"/>
        <v>4926</v>
      </c>
      <c r="B621" s="9" t="s">
        <v>889</v>
      </c>
      <c r="C621" s="9"/>
      <c r="D621" s="60"/>
      <c r="E621" s="15" t="s">
        <v>516</v>
      </c>
      <c r="F621" s="15">
        <v>3</v>
      </c>
      <c r="G621" s="15">
        <f t="shared" si="50"/>
        <v>2</v>
      </c>
      <c r="H621" s="60">
        <v>1</v>
      </c>
      <c r="I621" s="85"/>
      <c r="J621" s="27"/>
    </row>
    <row r="622" spans="1:10" customFormat="1" ht="16.5" x14ac:dyDescent="0.3">
      <c r="A622" s="60">
        <f t="shared" si="51"/>
        <v>4928</v>
      </c>
      <c r="B622" s="9" t="s">
        <v>890</v>
      </c>
      <c r="C622" s="9"/>
      <c r="D622" s="60"/>
      <c r="E622" s="15" t="s">
        <v>516</v>
      </c>
      <c r="F622" s="15">
        <v>3</v>
      </c>
      <c r="G622" s="15">
        <f t="shared" si="50"/>
        <v>2</v>
      </c>
      <c r="H622" s="60">
        <v>1</v>
      </c>
      <c r="I622" s="85"/>
      <c r="J622" s="27"/>
    </row>
    <row r="623" spans="1:10" customFormat="1" ht="16.5" x14ac:dyDescent="0.3">
      <c r="A623" s="60">
        <f t="shared" si="51"/>
        <v>4930</v>
      </c>
      <c r="B623" s="9" t="s">
        <v>891</v>
      </c>
      <c r="C623" s="9"/>
      <c r="D623" s="60"/>
      <c r="E623" s="15" t="s">
        <v>516</v>
      </c>
      <c r="F623" s="15">
        <v>3</v>
      </c>
      <c r="G623" s="15">
        <f t="shared" si="50"/>
        <v>2</v>
      </c>
      <c r="H623" s="60">
        <v>1</v>
      </c>
      <c r="I623" s="85"/>
      <c r="J623" s="27"/>
    </row>
    <row r="624" spans="1:10" customFormat="1" ht="16.5" x14ac:dyDescent="0.3">
      <c r="A624" s="60">
        <f t="shared" si="51"/>
        <v>4932</v>
      </c>
      <c r="B624" s="9" t="s">
        <v>892</v>
      </c>
      <c r="C624" s="9"/>
      <c r="D624" s="60"/>
      <c r="E624" s="15" t="s">
        <v>516</v>
      </c>
      <c r="F624" s="15">
        <v>3</v>
      </c>
      <c r="G624" s="15">
        <f t="shared" si="50"/>
        <v>2</v>
      </c>
      <c r="H624" s="60">
        <v>1</v>
      </c>
      <c r="I624" s="85"/>
      <c r="J624" s="27"/>
    </row>
    <row r="625" spans="1:10" customFormat="1" ht="16.5" x14ac:dyDescent="0.3">
      <c r="A625" s="60">
        <f t="shared" si="51"/>
        <v>4934</v>
      </c>
      <c r="B625" s="9" t="s">
        <v>893</v>
      </c>
      <c r="C625" s="9"/>
      <c r="D625" s="60"/>
      <c r="E625" s="15" t="s">
        <v>516</v>
      </c>
      <c r="F625" s="15">
        <v>3</v>
      </c>
      <c r="G625" s="15">
        <f t="shared" si="50"/>
        <v>2</v>
      </c>
      <c r="H625" s="60">
        <v>1</v>
      </c>
      <c r="I625" s="85"/>
      <c r="J625" s="27"/>
    </row>
    <row r="626" spans="1:10" ht="15.95" customHeight="1" x14ac:dyDescent="0.3">
      <c r="A626" s="60">
        <f t="shared" si="51"/>
        <v>4936</v>
      </c>
      <c r="B626" s="9" t="s">
        <v>894</v>
      </c>
      <c r="C626" s="9"/>
      <c r="D626" s="60"/>
      <c r="E626" s="15" t="s">
        <v>516</v>
      </c>
      <c r="F626" s="15">
        <v>3</v>
      </c>
      <c r="G626" s="15">
        <f t="shared" si="50"/>
        <v>2</v>
      </c>
      <c r="H626" s="60">
        <v>1</v>
      </c>
      <c r="I626" s="85"/>
    </row>
    <row r="627" spans="1:10" ht="15.95" customHeight="1" x14ac:dyDescent="0.3">
      <c r="A627" s="60">
        <f t="shared" si="51"/>
        <v>4938</v>
      </c>
      <c r="B627" s="9" t="s">
        <v>895</v>
      </c>
      <c r="C627" s="9"/>
      <c r="D627" s="60"/>
      <c r="E627" s="15" t="s">
        <v>516</v>
      </c>
      <c r="F627" s="15">
        <v>3</v>
      </c>
      <c r="G627" s="15">
        <f t="shared" si="50"/>
        <v>2</v>
      </c>
      <c r="H627" s="60">
        <v>1</v>
      </c>
      <c r="I627" s="85"/>
    </row>
    <row r="628" spans="1:10" ht="15.95" customHeight="1" x14ac:dyDescent="0.3">
      <c r="A628" s="60">
        <f t="shared" si="51"/>
        <v>4940</v>
      </c>
      <c r="B628" s="9" t="s">
        <v>896</v>
      </c>
      <c r="C628" s="9"/>
      <c r="D628" s="60"/>
      <c r="E628" s="15" t="s">
        <v>516</v>
      </c>
      <c r="F628" s="15">
        <v>3</v>
      </c>
      <c r="G628" s="15">
        <f t="shared" ref="G628:G645" si="52">IF(OR(E628="U16", E628="S16"),1,IF(E628="TS",6,2))</f>
        <v>2</v>
      </c>
      <c r="H628" s="60">
        <v>1</v>
      </c>
      <c r="I628" s="85"/>
    </row>
    <row r="629" spans="1:10" customFormat="1" ht="16.5" x14ac:dyDescent="0.3">
      <c r="A629" s="60">
        <f t="shared" si="51"/>
        <v>4942</v>
      </c>
      <c r="B629" s="9" t="s">
        <v>897</v>
      </c>
      <c r="C629" s="9"/>
      <c r="D629" s="9"/>
      <c r="E629" s="15" t="s">
        <v>516</v>
      </c>
      <c r="F629" s="15">
        <v>3</v>
      </c>
      <c r="G629" s="15">
        <f t="shared" si="52"/>
        <v>2</v>
      </c>
      <c r="H629" s="60">
        <v>1</v>
      </c>
      <c r="I629" s="85"/>
      <c r="J629" s="27"/>
    </row>
    <row r="630" spans="1:10" customFormat="1" ht="16.5" customHeight="1" x14ac:dyDescent="0.3">
      <c r="A630" s="60">
        <f t="shared" si="51"/>
        <v>4944</v>
      </c>
      <c r="B630" s="9" t="s">
        <v>132</v>
      </c>
      <c r="C630" s="9"/>
      <c r="D630" s="9"/>
      <c r="E630" s="15" t="s">
        <v>516</v>
      </c>
      <c r="F630" s="15">
        <v>3</v>
      </c>
      <c r="G630" s="15">
        <f t="shared" si="52"/>
        <v>2</v>
      </c>
      <c r="H630" s="60">
        <v>1</v>
      </c>
      <c r="I630" s="85"/>
      <c r="J630" s="27"/>
    </row>
    <row r="631" spans="1:10" customFormat="1" ht="16.5" x14ac:dyDescent="0.3">
      <c r="A631" s="60">
        <f t="shared" si="51"/>
        <v>4946</v>
      </c>
      <c r="B631" s="9" t="s">
        <v>133</v>
      </c>
      <c r="C631" s="9"/>
      <c r="D631" s="9"/>
      <c r="E631" s="15" t="s">
        <v>516</v>
      </c>
      <c r="F631" s="15">
        <v>3</v>
      </c>
      <c r="G631" s="15">
        <f t="shared" si="52"/>
        <v>2</v>
      </c>
      <c r="H631" s="60">
        <v>1</v>
      </c>
      <c r="I631" s="85"/>
      <c r="J631" s="27"/>
    </row>
    <row r="632" spans="1:10" customFormat="1" ht="16.5" x14ac:dyDescent="0.3">
      <c r="A632" s="60">
        <f t="shared" si="51"/>
        <v>4948</v>
      </c>
      <c r="B632" s="9" t="s">
        <v>898</v>
      </c>
      <c r="C632" s="9"/>
      <c r="D632" s="9"/>
      <c r="E632" s="15" t="s">
        <v>516</v>
      </c>
      <c r="F632" s="15">
        <v>3</v>
      </c>
      <c r="G632" s="15">
        <f t="shared" si="52"/>
        <v>2</v>
      </c>
      <c r="H632" s="60">
        <v>1</v>
      </c>
      <c r="I632" s="85"/>
      <c r="J632" s="27"/>
    </row>
    <row r="633" spans="1:10" customFormat="1" ht="16.5" x14ac:dyDescent="0.3">
      <c r="A633" s="60">
        <f t="shared" si="51"/>
        <v>4950</v>
      </c>
      <c r="B633" s="9" t="s">
        <v>899</v>
      </c>
      <c r="C633" s="9"/>
      <c r="D633" s="60"/>
      <c r="E633" s="15" t="s">
        <v>516</v>
      </c>
      <c r="F633" s="15">
        <v>3</v>
      </c>
      <c r="G633" s="15">
        <f t="shared" si="52"/>
        <v>2</v>
      </c>
      <c r="H633" s="60">
        <v>1</v>
      </c>
      <c r="I633" s="85"/>
      <c r="J633" s="27"/>
    </row>
    <row r="634" spans="1:10" customFormat="1" ht="16.5" x14ac:dyDescent="0.3">
      <c r="A634" s="60">
        <f t="shared" si="51"/>
        <v>4952</v>
      </c>
      <c r="B634" s="9" t="s">
        <v>900</v>
      </c>
      <c r="C634" s="9"/>
      <c r="D634" s="60"/>
      <c r="E634" s="15" t="s">
        <v>516</v>
      </c>
      <c r="F634" s="15">
        <v>3</v>
      </c>
      <c r="G634" s="15">
        <f t="shared" si="52"/>
        <v>2</v>
      </c>
      <c r="H634" s="60">
        <v>1</v>
      </c>
      <c r="I634" s="85"/>
      <c r="J634" s="27"/>
    </row>
    <row r="635" spans="1:10" customFormat="1" ht="16.5" x14ac:dyDescent="0.3">
      <c r="A635" s="60">
        <f t="shared" si="51"/>
        <v>4954</v>
      </c>
      <c r="B635" s="9" t="s">
        <v>901</v>
      </c>
      <c r="C635" s="9"/>
      <c r="D635" s="60"/>
      <c r="E635" s="15" t="s">
        <v>516</v>
      </c>
      <c r="F635" s="15">
        <v>3</v>
      </c>
      <c r="G635" s="15">
        <f t="shared" si="52"/>
        <v>2</v>
      </c>
      <c r="H635" s="60">
        <v>1</v>
      </c>
      <c r="I635" s="85"/>
      <c r="J635" s="27"/>
    </row>
    <row r="636" spans="1:10" ht="16.5" customHeight="1" x14ac:dyDescent="0.3">
      <c r="A636" s="60">
        <f t="shared" si="51"/>
        <v>4956</v>
      </c>
      <c r="B636" s="9" t="s">
        <v>902</v>
      </c>
      <c r="C636" s="9"/>
      <c r="D636" s="60"/>
      <c r="E636" s="15" t="s">
        <v>516</v>
      </c>
      <c r="F636" s="15">
        <v>3</v>
      </c>
      <c r="G636" s="15">
        <f t="shared" si="52"/>
        <v>2</v>
      </c>
      <c r="H636" s="60">
        <v>1</v>
      </c>
      <c r="I636" s="85"/>
      <c r="J636" s="10" t="s">
        <v>551</v>
      </c>
    </row>
    <row r="637" spans="1:10" ht="16.5" customHeight="1" x14ac:dyDescent="0.3">
      <c r="A637" s="60">
        <f t="shared" si="51"/>
        <v>4958</v>
      </c>
      <c r="B637" s="9" t="s">
        <v>94</v>
      </c>
      <c r="C637" s="9"/>
      <c r="D637" s="60"/>
      <c r="E637" s="15" t="s">
        <v>114</v>
      </c>
      <c r="F637" s="15">
        <v>3</v>
      </c>
      <c r="G637" s="15">
        <f t="shared" si="52"/>
        <v>1</v>
      </c>
      <c r="H637" s="60">
        <v>24</v>
      </c>
      <c r="I637" s="85"/>
    </row>
    <row r="638" spans="1:10" ht="16.5" customHeight="1" x14ac:dyDescent="0.3">
      <c r="A638" s="60">
        <f t="shared" si="51"/>
        <v>4982</v>
      </c>
      <c r="B638" s="9" t="s">
        <v>95</v>
      </c>
      <c r="C638" s="9"/>
      <c r="D638" s="60"/>
      <c r="E638" s="15" t="s">
        <v>114</v>
      </c>
      <c r="F638" s="15">
        <v>3</v>
      </c>
      <c r="G638" s="15">
        <f t="shared" si="52"/>
        <v>1</v>
      </c>
      <c r="H638" s="60">
        <v>24</v>
      </c>
      <c r="I638" s="85"/>
      <c r="J638" s="10" t="s">
        <v>552</v>
      </c>
    </row>
    <row r="639" spans="1:10" ht="16.5" customHeight="1" x14ac:dyDescent="0.3">
      <c r="A639" s="60">
        <f t="shared" si="51"/>
        <v>5006</v>
      </c>
      <c r="B639" s="9" t="s">
        <v>96</v>
      </c>
      <c r="C639" s="9"/>
      <c r="D639" s="60"/>
      <c r="E639" s="15" t="s">
        <v>114</v>
      </c>
      <c r="F639" s="15">
        <v>3</v>
      </c>
      <c r="G639" s="15">
        <f t="shared" si="52"/>
        <v>1</v>
      </c>
      <c r="H639" s="60">
        <v>24</v>
      </c>
      <c r="I639" s="85"/>
    </row>
    <row r="640" spans="1:10" ht="16.5" customHeight="1" x14ac:dyDescent="0.3">
      <c r="A640" s="60">
        <f t="shared" si="51"/>
        <v>5030</v>
      </c>
      <c r="B640" s="9" t="s">
        <v>97</v>
      </c>
      <c r="C640" s="9"/>
      <c r="D640" s="60"/>
      <c r="E640" s="15" t="s">
        <v>114</v>
      </c>
      <c r="F640" s="15">
        <v>3</v>
      </c>
      <c r="G640" s="15">
        <f t="shared" si="52"/>
        <v>1</v>
      </c>
      <c r="H640" s="60">
        <v>24</v>
      </c>
      <c r="I640" s="85"/>
    </row>
    <row r="641" spans="1:9" ht="16.5" customHeight="1" x14ac:dyDescent="0.3">
      <c r="A641" s="60">
        <f t="shared" si="51"/>
        <v>5054</v>
      </c>
      <c r="B641" s="9" t="s">
        <v>98</v>
      </c>
      <c r="C641" s="9"/>
      <c r="D641" s="60"/>
      <c r="E641" s="15" t="s">
        <v>114</v>
      </c>
      <c r="F641" s="15">
        <v>3</v>
      </c>
      <c r="G641" s="15">
        <f t="shared" si="52"/>
        <v>1</v>
      </c>
      <c r="H641" s="60">
        <v>24</v>
      </c>
      <c r="I641" s="85"/>
    </row>
    <row r="642" spans="1:9" ht="16.5" customHeight="1" x14ac:dyDescent="0.3">
      <c r="A642" s="60">
        <f t="shared" si="51"/>
        <v>5078</v>
      </c>
      <c r="B642" s="9" t="s">
        <v>99</v>
      </c>
      <c r="C642" s="9"/>
      <c r="D642" s="60"/>
      <c r="E642" s="15" t="s">
        <v>114</v>
      </c>
      <c r="F642" s="15">
        <v>3</v>
      </c>
      <c r="G642" s="15">
        <f t="shared" si="52"/>
        <v>1</v>
      </c>
      <c r="H642" s="60">
        <v>24</v>
      </c>
      <c r="I642" s="85"/>
    </row>
    <row r="643" spans="1:9" ht="16.5" customHeight="1" x14ac:dyDescent="0.3">
      <c r="A643" s="60">
        <f t="shared" si="51"/>
        <v>5102</v>
      </c>
      <c r="B643" s="9" t="s">
        <v>100</v>
      </c>
      <c r="C643" s="9"/>
      <c r="D643" s="60"/>
      <c r="E643" s="15" t="s">
        <v>114</v>
      </c>
      <c r="F643" s="15">
        <v>3</v>
      </c>
      <c r="G643" s="15">
        <f t="shared" si="52"/>
        <v>1</v>
      </c>
      <c r="H643" s="60">
        <v>24</v>
      </c>
      <c r="I643" s="85"/>
    </row>
    <row r="644" spans="1:9" ht="16.5" customHeight="1" x14ac:dyDescent="0.3">
      <c r="A644" s="60">
        <f t="shared" si="51"/>
        <v>5126</v>
      </c>
      <c r="B644" s="9" t="s">
        <v>101</v>
      </c>
      <c r="C644" s="9"/>
      <c r="D644" s="60"/>
      <c r="E644" s="15" t="s">
        <v>114</v>
      </c>
      <c r="F644" s="15">
        <v>3</v>
      </c>
      <c r="G644" s="15">
        <f t="shared" si="52"/>
        <v>1</v>
      </c>
      <c r="H644" s="60">
        <v>24</v>
      </c>
      <c r="I644" s="85"/>
    </row>
    <row r="645" spans="1:9" ht="16.5" customHeight="1" x14ac:dyDescent="0.3">
      <c r="A645" s="60">
        <f t="shared" si="51"/>
        <v>5150</v>
      </c>
      <c r="B645" s="9" t="s">
        <v>102</v>
      </c>
      <c r="C645" s="9"/>
      <c r="D645" s="60"/>
      <c r="E645" s="15" t="s">
        <v>114</v>
      </c>
      <c r="F645" s="15">
        <v>3</v>
      </c>
      <c r="G645" s="15">
        <f t="shared" si="52"/>
        <v>1</v>
      </c>
      <c r="H645" s="60">
        <v>24</v>
      </c>
      <c r="I645" s="85"/>
    </row>
    <row r="646" spans="1:9" ht="16.5" customHeight="1" x14ac:dyDescent="0.3">
      <c r="A646" s="60">
        <f t="shared" si="51"/>
        <v>5174</v>
      </c>
      <c r="B646" s="9" t="s">
        <v>537</v>
      </c>
      <c r="C646" s="9"/>
      <c r="D646" s="60"/>
      <c r="E646" s="15" t="s">
        <v>245</v>
      </c>
      <c r="F646" s="15">
        <v>3</v>
      </c>
      <c r="G646" s="15">
        <f>IF(OR(E646="U16", E646="S16"),1,IF(E646="TS",6,2))</f>
        <v>1</v>
      </c>
      <c r="H646" s="60">
        <v>6</v>
      </c>
      <c r="I646" s="85"/>
    </row>
    <row r="647" spans="1:9" ht="16.5" customHeight="1" x14ac:dyDescent="0.3">
      <c r="A647" s="162" t="s">
        <v>550</v>
      </c>
      <c r="B647" s="162"/>
      <c r="C647" s="162"/>
      <c r="D647" s="162"/>
      <c r="E647" s="162"/>
      <c r="F647" s="162"/>
      <c r="G647" s="162"/>
      <c r="H647" s="162"/>
      <c r="I647" s="88"/>
    </row>
    <row r="648" spans="1:9" ht="16.5" customHeight="1" x14ac:dyDescent="0.3">
      <c r="A648" s="67">
        <f>A646+(G646*H646)</f>
        <v>5180</v>
      </c>
      <c r="B648" s="56" t="s">
        <v>90</v>
      </c>
      <c r="C648" s="56"/>
      <c r="D648" s="67"/>
      <c r="E648" s="67" t="s">
        <v>536</v>
      </c>
      <c r="F648" s="67">
        <v>3</v>
      </c>
      <c r="G648" s="67">
        <f t="shared" ref="G648:G655" si="53">IF(OR(E648="U16", E648="S16"),1,IF(E648="TS",6,2))</f>
        <v>2</v>
      </c>
      <c r="H648" s="67">
        <v>1</v>
      </c>
      <c r="I648" s="86"/>
    </row>
    <row r="649" spans="1:9" ht="16.5" customHeight="1" x14ac:dyDescent="0.3">
      <c r="A649" s="67">
        <f t="shared" ref="A649:A705" si="54">A648+(G648*H648)</f>
        <v>5182</v>
      </c>
      <c r="B649" s="56" t="s">
        <v>903</v>
      </c>
      <c r="C649" s="56"/>
      <c r="D649" s="67"/>
      <c r="E649" s="67" t="s">
        <v>58</v>
      </c>
      <c r="F649" s="67">
        <v>3</v>
      </c>
      <c r="G649" s="67">
        <f>IF(OR(E649="U16", E649="S16"),1,IF(E649="TS",6,2))</f>
        <v>2</v>
      </c>
      <c r="H649" s="67">
        <v>1</v>
      </c>
      <c r="I649" s="86"/>
    </row>
    <row r="650" spans="1:9" ht="16.5" customHeight="1" x14ac:dyDescent="0.3">
      <c r="A650" s="67">
        <f t="shared" si="54"/>
        <v>5184</v>
      </c>
      <c r="B650" s="56" t="s">
        <v>904</v>
      </c>
      <c r="C650" s="56"/>
      <c r="D650" s="67"/>
      <c r="E650" s="67" t="s">
        <v>58</v>
      </c>
      <c r="F650" s="67">
        <v>3</v>
      </c>
      <c r="G650" s="67">
        <f t="shared" si="53"/>
        <v>2</v>
      </c>
      <c r="H650" s="67">
        <v>1</v>
      </c>
      <c r="I650" s="86"/>
    </row>
    <row r="651" spans="1:9" ht="16.5" customHeight="1" x14ac:dyDescent="0.3">
      <c r="A651" s="67">
        <f t="shared" si="54"/>
        <v>5186</v>
      </c>
      <c r="B651" s="56" t="s">
        <v>905</v>
      </c>
      <c r="C651" s="56"/>
      <c r="D651" s="56"/>
      <c r="E651" s="67" t="s">
        <v>58</v>
      </c>
      <c r="F651" s="67">
        <v>3</v>
      </c>
      <c r="G651" s="67">
        <f t="shared" si="53"/>
        <v>2</v>
      </c>
      <c r="H651" s="67">
        <v>1</v>
      </c>
      <c r="I651" s="86"/>
    </row>
    <row r="652" spans="1:9" ht="16.5" customHeight="1" x14ac:dyDescent="0.3">
      <c r="A652" s="67">
        <f t="shared" si="54"/>
        <v>5188</v>
      </c>
      <c r="B652" s="56" t="s">
        <v>906</v>
      </c>
      <c r="C652" s="56"/>
      <c r="D652" s="56"/>
      <c r="E652" s="67" t="s">
        <v>58</v>
      </c>
      <c r="F652" s="67">
        <v>3</v>
      </c>
      <c r="G652" s="67">
        <f t="shared" si="53"/>
        <v>2</v>
      </c>
      <c r="H652" s="67">
        <v>1</v>
      </c>
      <c r="I652" s="86"/>
    </row>
    <row r="653" spans="1:9" ht="16.5" customHeight="1" x14ac:dyDescent="0.3">
      <c r="A653" s="67">
        <f t="shared" si="54"/>
        <v>5190</v>
      </c>
      <c r="B653" s="56" t="s">
        <v>907</v>
      </c>
      <c r="C653" s="56"/>
      <c r="D653" s="56"/>
      <c r="E653" s="67" t="s">
        <v>58</v>
      </c>
      <c r="F653" s="67">
        <v>3</v>
      </c>
      <c r="G653" s="67">
        <f t="shared" si="53"/>
        <v>2</v>
      </c>
      <c r="H653" s="67">
        <v>4</v>
      </c>
      <c r="I653" s="86"/>
    </row>
    <row r="654" spans="1:9" ht="16.5" customHeight="1" x14ac:dyDescent="0.3">
      <c r="A654" s="67">
        <f t="shared" si="54"/>
        <v>5198</v>
      </c>
      <c r="B654" s="56" t="s">
        <v>908</v>
      </c>
      <c r="C654" s="56"/>
      <c r="D654" s="56"/>
      <c r="E654" s="67" t="s">
        <v>58</v>
      </c>
      <c r="F654" s="67">
        <v>3</v>
      </c>
      <c r="G654" s="67">
        <f t="shared" si="53"/>
        <v>2</v>
      </c>
      <c r="H654" s="67">
        <v>4</v>
      </c>
      <c r="I654" s="86"/>
    </row>
    <row r="655" spans="1:9" ht="16.5" customHeight="1" x14ac:dyDescent="0.3">
      <c r="A655" s="67">
        <f t="shared" si="54"/>
        <v>5206</v>
      </c>
      <c r="B655" s="56" t="s">
        <v>909</v>
      </c>
      <c r="C655" s="56"/>
      <c r="D655" s="56"/>
      <c r="E655" s="67" t="s">
        <v>58</v>
      </c>
      <c r="F655" s="67">
        <v>3</v>
      </c>
      <c r="G655" s="67">
        <f t="shared" si="53"/>
        <v>2</v>
      </c>
      <c r="H655" s="67">
        <v>4</v>
      </c>
      <c r="I655" s="86"/>
    </row>
    <row r="656" spans="1:9" ht="16.5" customHeight="1" x14ac:dyDescent="0.3">
      <c r="A656" s="67">
        <f t="shared" si="54"/>
        <v>5214</v>
      </c>
      <c r="B656" s="56" t="s">
        <v>910</v>
      </c>
      <c r="C656" s="56"/>
      <c r="D656" s="56"/>
      <c r="E656" s="67" t="s">
        <v>58</v>
      </c>
      <c r="F656" s="67">
        <v>3</v>
      </c>
      <c r="G656" s="67">
        <f>IF(OR(E656="U16", E656="S16"),1,IF(E656="TS",6,2))</f>
        <v>2</v>
      </c>
      <c r="H656" s="67">
        <v>4</v>
      </c>
      <c r="I656" s="86"/>
    </row>
    <row r="657" spans="1:9" ht="16.5" customHeight="1" x14ac:dyDescent="0.3">
      <c r="A657" s="67">
        <f t="shared" si="54"/>
        <v>5222</v>
      </c>
      <c r="B657" s="56" t="s">
        <v>911</v>
      </c>
      <c r="C657" s="56"/>
      <c r="D657" s="56"/>
      <c r="E657" s="67" t="s">
        <v>58</v>
      </c>
      <c r="F657" s="67">
        <v>3</v>
      </c>
      <c r="G657" s="67">
        <f>IF(OR(E657="U16", E657="S16"),1,IF(E657="TS",6,2))</f>
        <v>2</v>
      </c>
      <c r="H657" s="67">
        <v>4</v>
      </c>
      <c r="I657" s="86"/>
    </row>
    <row r="658" spans="1:9" ht="16.5" customHeight="1" x14ac:dyDescent="0.3">
      <c r="A658" s="67">
        <f t="shared" si="54"/>
        <v>5230</v>
      </c>
      <c r="B658" s="56" t="s">
        <v>912</v>
      </c>
      <c r="C658" s="56"/>
      <c r="D658" s="56"/>
      <c r="E658" s="67" t="s">
        <v>58</v>
      </c>
      <c r="F658" s="67">
        <v>3</v>
      </c>
      <c r="G658" s="67">
        <f>IF(OR(E658="U16", E658="S16"),1,IF(E658="TS",6,2))</f>
        <v>2</v>
      </c>
      <c r="H658" s="67">
        <v>4</v>
      </c>
      <c r="I658" s="86"/>
    </row>
    <row r="659" spans="1:9" ht="16.5" customHeight="1" x14ac:dyDescent="0.3">
      <c r="A659" s="67">
        <f t="shared" si="54"/>
        <v>5238</v>
      </c>
      <c r="B659" s="56" t="s">
        <v>913</v>
      </c>
      <c r="C659" s="56"/>
      <c r="D659" s="56"/>
      <c r="E659" s="67" t="s">
        <v>58</v>
      </c>
      <c r="F659" s="67">
        <v>3</v>
      </c>
      <c r="G659" s="67">
        <f t="shared" ref="G659:G682" si="55">IF(OR(E659="U16", E659="S16"),1,IF(E659="TS",6,2))</f>
        <v>2</v>
      </c>
      <c r="H659" s="67">
        <v>4</v>
      </c>
      <c r="I659" s="86"/>
    </row>
    <row r="660" spans="1:9" ht="16.5" customHeight="1" x14ac:dyDescent="0.3">
      <c r="A660" s="67">
        <f t="shared" si="54"/>
        <v>5246</v>
      </c>
      <c r="B660" s="56" t="s">
        <v>914</v>
      </c>
      <c r="C660" s="56"/>
      <c r="D660" s="56"/>
      <c r="E660" s="67" t="s">
        <v>58</v>
      </c>
      <c r="F660" s="67">
        <v>3</v>
      </c>
      <c r="G660" s="67">
        <f t="shared" si="55"/>
        <v>2</v>
      </c>
      <c r="H660" s="67">
        <v>4</v>
      </c>
      <c r="I660" s="86"/>
    </row>
    <row r="661" spans="1:9" ht="16.5" customHeight="1" x14ac:dyDescent="0.3">
      <c r="A661" s="67">
        <f t="shared" si="54"/>
        <v>5254</v>
      </c>
      <c r="B661" s="56" t="s">
        <v>915</v>
      </c>
      <c r="C661" s="56"/>
      <c r="D661" s="56"/>
      <c r="E661" s="67" t="s">
        <v>58</v>
      </c>
      <c r="F661" s="67">
        <v>3</v>
      </c>
      <c r="G661" s="67">
        <f t="shared" si="55"/>
        <v>2</v>
      </c>
      <c r="H661" s="67">
        <v>4</v>
      </c>
      <c r="I661" s="86"/>
    </row>
    <row r="662" spans="1:9" ht="16.5" customHeight="1" x14ac:dyDescent="0.3">
      <c r="A662" s="67">
        <f t="shared" si="54"/>
        <v>5262</v>
      </c>
      <c r="B662" s="56" t="s">
        <v>916</v>
      </c>
      <c r="C662" s="56"/>
      <c r="D662" s="56"/>
      <c r="E662" s="67" t="s">
        <v>58</v>
      </c>
      <c r="F662" s="67">
        <v>3</v>
      </c>
      <c r="G662" s="67">
        <f t="shared" si="55"/>
        <v>2</v>
      </c>
      <c r="H662" s="67">
        <v>4</v>
      </c>
      <c r="I662" s="86"/>
    </row>
    <row r="663" spans="1:9" ht="16.5" customHeight="1" x14ac:dyDescent="0.3">
      <c r="A663" s="67">
        <f t="shared" si="54"/>
        <v>5270</v>
      </c>
      <c r="B663" s="56" t="s">
        <v>917</v>
      </c>
      <c r="C663" s="56"/>
      <c r="D663" s="56"/>
      <c r="E663" s="67" t="s">
        <v>58</v>
      </c>
      <c r="F663" s="67">
        <v>3</v>
      </c>
      <c r="G663" s="67">
        <f t="shared" si="55"/>
        <v>2</v>
      </c>
      <c r="H663" s="67">
        <v>4</v>
      </c>
      <c r="I663" s="86"/>
    </row>
    <row r="664" spans="1:9" ht="16.5" customHeight="1" x14ac:dyDescent="0.3">
      <c r="A664" s="67">
        <f t="shared" si="54"/>
        <v>5278</v>
      </c>
      <c r="B664" s="56" t="s">
        <v>918</v>
      </c>
      <c r="C664" s="56"/>
      <c r="D664" s="56"/>
      <c r="E664" s="67" t="s">
        <v>58</v>
      </c>
      <c r="F664" s="67">
        <v>3</v>
      </c>
      <c r="G664" s="67">
        <f t="shared" si="55"/>
        <v>2</v>
      </c>
      <c r="H664" s="67">
        <v>4</v>
      </c>
      <c r="I664" s="86"/>
    </row>
    <row r="665" spans="1:9" ht="16.5" customHeight="1" x14ac:dyDescent="0.3">
      <c r="A665" s="67">
        <f t="shared" si="54"/>
        <v>5286</v>
      </c>
      <c r="B665" s="56" t="s">
        <v>919</v>
      </c>
      <c r="C665" s="56"/>
      <c r="D665" s="56"/>
      <c r="E665" s="67" t="s">
        <v>58</v>
      </c>
      <c r="F665" s="67">
        <v>3</v>
      </c>
      <c r="G665" s="67">
        <f t="shared" si="55"/>
        <v>2</v>
      </c>
      <c r="H665" s="67">
        <v>4</v>
      </c>
      <c r="I665" s="86"/>
    </row>
    <row r="666" spans="1:9" ht="16.5" customHeight="1" x14ac:dyDescent="0.3">
      <c r="A666" s="67">
        <f t="shared" si="54"/>
        <v>5294</v>
      </c>
      <c r="B666" s="56" t="s">
        <v>920</v>
      </c>
      <c r="C666" s="56"/>
      <c r="D666" s="56"/>
      <c r="E666" s="67" t="s">
        <v>58</v>
      </c>
      <c r="F666" s="67">
        <v>3</v>
      </c>
      <c r="G666" s="67">
        <f t="shared" si="55"/>
        <v>2</v>
      </c>
      <c r="H666" s="67">
        <v>4</v>
      </c>
      <c r="I666" s="86"/>
    </row>
    <row r="667" spans="1:9" ht="16.5" customHeight="1" x14ac:dyDescent="0.3">
      <c r="A667" s="67">
        <f t="shared" si="54"/>
        <v>5302</v>
      </c>
      <c r="B667" s="56" t="s">
        <v>921</v>
      </c>
      <c r="C667" s="56"/>
      <c r="D667" s="56"/>
      <c r="E667" s="67" t="s">
        <v>58</v>
      </c>
      <c r="F667" s="67">
        <v>3</v>
      </c>
      <c r="G667" s="67">
        <f t="shared" si="55"/>
        <v>2</v>
      </c>
      <c r="H667" s="67">
        <v>4</v>
      </c>
      <c r="I667" s="86"/>
    </row>
    <row r="668" spans="1:9" ht="16.5" customHeight="1" x14ac:dyDescent="0.3">
      <c r="A668" s="67">
        <f t="shared" si="54"/>
        <v>5310</v>
      </c>
      <c r="B668" s="56" t="s">
        <v>922</v>
      </c>
      <c r="C668" s="56"/>
      <c r="D668" s="56"/>
      <c r="E668" s="67" t="s">
        <v>58</v>
      </c>
      <c r="F668" s="67">
        <v>3</v>
      </c>
      <c r="G668" s="67">
        <f t="shared" si="55"/>
        <v>2</v>
      </c>
      <c r="H668" s="67">
        <v>4</v>
      </c>
      <c r="I668" s="86"/>
    </row>
    <row r="669" spans="1:9" ht="16.5" customHeight="1" x14ac:dyDescent="0.3">
      <c r="A669" s="67">
        <f t="shared" si="54"/>
        <v>5318</v>
      </c>
      <c r="B669" s="56" t="s">
        <v>923</v>
      </c>
      <c r="C669" s="56"/>
      <c r="D669" s="56"/>
      <c r="E669" s="67" t="s">
        <v>58</v>
      </c>
      <c r="F669" s="67">
        <v>3</v>
      </c>
      <c r="G669" s="67">
        <f t="shared" si="55"/>
        <v>2</v>
      </c>
      <c r="H669" s="67">
        <v>4</v>
      </c>
      <c r="I669" s="86"/>
    </row>
    <row r="670" spans="1:9" ht="16.5" customHeight="1" x14ac:dyDescent="0.3">
      <c r="A670" s="67">
        <f t="shared" si="54"/>
        <v>5326</v>
      </c>
      <c r="B670" s="56" t="s">
        <v>924</v>
      </c>
      <c r="C670" s="56"/>
      <c r="D670" s="67"/>
      <c r="E670" s="67" t="s">
        <v>58</v>
      </c>
      <c r="F670" s="67">
        <v>3</v>
      </c>
      <c r="G670" s="67">
        <f t="shared" si="55"/>
        <v>2</v>
      </c>
      <c r="H670" s="67">
        <v>4</v>
      </c>
      <c r="I670" s="86"/>
    </row>
    <row r="671" spans="1:9" ht="16.5" customHeight="1" x14ac:dyDescent="0.3">
      <c r="A671" s="67">
        <f t="shared" si="54"/>
        <v>5334</v>
      </c>
      <c r="B671" s="56" t="s">
        <v>925</v>
      </c>
      <c r="C671" s="56"/>
      <c r="D671" s="67"/>
      <c r="E671" s="67" t="s">
        <v>58</v>
      </c>
      <c r="F671" s="67">
        <v>3</v>
      </c>
      <c r="G671" s="67">
        <f t="shared" si="55"/>
        <v>2</v>
      </c>
      <c r="H671" s="67">
        <v>4</v>
      </c>
      <c r="I671" s="86"/>
    </row>
    <row r="672" spans="1:9" ht="16.5" customHeight="1" x14ac:dyDescent="0.3">
      <c r="A672" s="67">
        <f t="shared" si="54"/>
        <v>5342</v>
      </c>
      <c r="B672" s="56" t="s">
        <v>926</v>
      </c>
      <c r="C672" s="56"/>
      <c r="D672" s="67"/>
      <c r="E672" s="67" t="s">
        <v>58</v>
      </c>
      <c r="F672" s="67">
        <v>3</v>
      </c>
      <c r="G672" s="67">
        <f t="shared" si="55"/>
        <v>2</v>
      </c>
      <c r="H672" s="67">
        <v>4</v>
      </c>
      <c r="I672" s="86"/>
    </row>
    <row r="673" spans="1:9" ht="16.5" customHeight="1" x14ac:dyDescent="0.3">
      <c r="A673" s="67">
        <f t="shared" si="54"/>
        <v>5350</v>
      </c>
      <c r="B673" s="56" t="s">
        <v>927</v>
      </c>
      <c r="C673" s="56"/>
      <c r="D673" s="67"/>
      <c r="E673" s="67" t="s">
        <v>58</v>
      </c>
      <c r="F673" s="67">
        <v>3</v>
      </c>
      <c r="G673" s="67">
        <f t="shared" si="55"/>
        <v>2</v>
      </c>
      <c r="H673" s="67">
        <v>4</v>
      </c>
      <c r="I673" s="86"/>
    </row>
    <row r="674" spans="1:9" ht="16.5" customHeight="1" x14ac:dyDescent="0.3">
      <c r="A674" s="67">
        <f t="shared" si="54"/>
        <v>5358</v>
      </c>
      <c r="B674" s="56" t="s">
        <v>928</v>
      </c>
      <c r="C674" s="56"/>
      <c r="D674" s="67"/>
      <c r="E674" s="67" t="s">
        <v>58</v>
      </c>
      <c r="F674" s="67">
        <v>3</v>
      </c>
      <c r="G674" s="67">
        <f t="shared" si="55"/>
        <v>2</v>
      </c>
      <c r="H674" s="67">
        <v>4</v>
      </c>
      <c r="I674" s="86"/>
    </row>
    <row r="675" spans="1:9" ht="16.5" customHeight="1" x14ac:dyDescent="0.3">
      <c r="A675" s="67">
        <f t="shared" si="54"/>
        <v>5366</v>
      </c>
      <c r="B675" s="56" t="s">
        <v>929</v>
      </c>
      <c r="C675" s="56"/>
      <c r="D675" s="67"/>
      <c r="E675" s="67" t="s">
        <v>58</v>
      </c>
      <c r="F675" s="67">
        <v>3</v>
      </c>
      <c r="G675" s="67">
        <f t="shared" si="55"/>
        <v>2</v>
      </c>
      <c r="H675" s="67">
        <v>4</v>
      </c>
      <c r="I675" s="86"/>
    </row>
    <row r="676" spans="1:9" ht="16.5" customHeight="1" x14ac:dyDescent="0.3">
      <c r="A676" s="67">
        <f t="shared" si="54"/>
        <v>5374</v>
      </c>
      <c r="B676" s="56"/>
      <c r="C676" s="56"/>
      <c r="D676" s="67"/>
      <c r="E676" s="67" t="s">
        <v>549</v>
      </c>
      <c r="F676" s="67">
        <v>3</v>
      </c>
      <c r="G676" s="67">
        <f t="shared" si="55"/>
        <v>1</v>
      </c>
      <c r="H676" s="67">
        <v>6</v>
      </c>
      <c r="I676" s="86"/>
    </row>
    <row r="677" spans="1:9" ht="16.5" customHeight="1" x14ac:dyDescent="0.3">
      <c r="A677" s="67">
        <f t="shared" si="54"/>
        <v>5380</v>
      </c>
      <c r="B677" s="56" t="s">
        <v>90</v>
      </c>
      <c r="C677" s="56"/>
      <c r="D677" s="67"/>
      <c r="E677" s="67" t="s">
        <v>536</v>
      </c>
      <c r="F677" s="67">
        <v>3</v>
      </c>
      <c r="G677" s="67">
        <f>IF(OR(E677="U16", E677="S16"),1,IF(E677="TS",6,2))</f>
        <v>2</v>
      </c>
      <c r="H677" s="67">
        <v>1</v>
      </c>
      <c r="I677" s="86"/>
    </row>
    <row r="678" spans="1:9" ht="16.5" customHeight="1" x14ac:dyDescent="0.3">
      <c r="A678" s="67">
        <f t="shared" si="54"/>
        <v>5382</v>
      </c>
      <c r="B678" s="56" t="s">
        <v>903</v>
      </c>
      <c r="C678" s="56"/>
      <c r="D678" s="67"/>
      <c r="E678" s="67" t="s">
        <v>58</v>
      </c>
      <c r="F678" s="67">
        <v>3</v>
      </c>
      <c r="G678" s="67">
        <f t="shared" si="55"/>
        <v>2</v>
      </c>
      <c r="H678" s="67">
        <v>1</v>
      </c>
      <c r="I678" s="86"/>
    </row>
    <row r="679" spans="1:9" ht="16.5" customHeight="1" x14ac:dyDescent="0.3">
      <c r="A679" s="67">
        <f t="shared" si="54"/>
        <v>5384</v>
      </c>
      <c r="B679" s="56" t="s">
        <v>904</v>
      </c>
      <c r="C679" s="56"/>
      <c r="D679" s="67"/>
      <c r="E679" s="67" t="s">
        <v>58</v>
      </c>
      <c r="F679" s="67">
        <v>3</v>
      </c>
      <c r="G679" s="67">
        <f t="shared" si="55"/>
        <v>2</v>
      </c>
      <c r="H679" s="67">
        <v>1</v>
      </c>
      <c r="I679" s="86"/>
    </row>
    <row r="680" spans="1:9" ht="16.5" customHeight="1" x14ac:dyDescent="0.3">
      <c r="A680" s="67">
        <f t="shared" si="54"/>
        <v>5386</v>
      </c>
      <c r="B680" s="56" t="s">
        <v>905</v>
      </c>
      <c r="C680" s="56"/>
      <c r="D680" s="56"/>
      <c r="E680" s="67" t="s">
        <v>58</v>
      </c>
      <c r="F680" s="67">
        <v>3</v>
      </c>
      <c r="G680" s="67">
        <f t="shared" si="55"/>
        <v>2</v>
      </c>
      <c r="H680" s="67">
        <v>1</v>
      </c>
      <c r="I680" s="86"/>
    </row>
    <row r="681" spans="1:9" ht="16.5" customHeight="1" x14ac:dyDescent="0.3">
      <c r="A681" s="67">
        <f t="shared" si="54"/>
        <v>5388</v>
      </c>
      <c r="B681" s="56" t="s">
        <v>906</v>
      </c>
      <c r="C681" s="56"/>
      <c r="D681" s="56"/>
      <c r="E681" s="67" t="s">
        <v>58</v>
      </c>
      <c r="F681" s="67">
        <v>3</v>
      </c>
      <c r="G681" s="67">
        <f t="shared" si="55"/>
        <v>2</v>
      </c>
      <c r="H681" s="67">
        <v>1</v>
      </c>
      <c r="I681" s="86"/>
    </row>
    <row r="682" spans="1:9" ht="16.5" customHeight="1" x14ac:dyDescent="0.3">
      <c r="A682" s="67">
        <f t="shared" si="54"/>
        <v>5390</v>
      </c>
      <c r="B682" s="56" t="s">
        <v>930</v>
      </c>
      <c r="C682" s="56"/>
      <c r="D682" s="56"/>
      <c r="E682" s="67" t="s">
        <v>58</v>
      </c>
      <c r="F682" s="67">
        <v>3</v>
      </c>
      <c r="G682" s="67">
        <f t="shared" si="55"/>
        <v>2</v>
      </c>
      <c r="H682" s="67">
        <v>4</v>
      </c>
      <c r="I682" s="86"/>
    </row>
    <row r="683" spans="1:9" ht="16.5" customHeight="1" x14ac:dyDescent="0.3">
      <c r="A683" s="67">
        <f t="shared" si="54"/>
        <v>5398</v>
      </c>
      <c r="B683" s="56" t="s">
        <v>931</v>
      </c>
      <c r="C683" s="56"/>
      <c r="D683" s="56"/>
      <c r="E683" s="67" t="s">
        <v>58</v>
      </c>
      <c r="F683" s="67">
        <v>3</v>
      </c>
      <c r="G683" s="67">
        <f t="shared" ref="G683:G709" si="56">IF(OR(E683="U16", E683="S16"),1,IF(E683="TS",6,2))</f>
        <v>2</v>
      </c>
      <c r="H683" s="67">
        <v>4</v>
      </c>
      <c r="I683" s="86"/>
    </row>
    <row r="684" spans="1:9" ht="16.5" customHeight="1" x14ac:dyDescent="0.3">
      <c r="A684" s="67">
        <f t="shared" si="54"/>
        <v>5406</v>
      </c>
      <c r="B684" s="56" t="s">
        <v>932</v>
      </c>
      <c r="C684" s="56"/>
      <c r="D684" s="56"/>
      <c r="E684" s="67" t="s">
        <v>58</v>
      </c>
      <c r="F684" s="67">
        <v>3</v>
      </c>
      <c r="G684" s="67">
        <f t="shared" si="56"/>
        <v>2</v>
      </c>
      <c r="H684" s="67">
        <v>4</v>
      </c>
      <c r="I684" s="86"/>
    </row>
    <row r="685" spans="1:9" ht="16.5" customHeight="1" x14ac:dyDescent="0.3">
      <c r="A685" s="67">
        <f t="shared" si="54"/>
        <v>5414</v>
      </c>
      <c r="B685" s="56" t="s">
        <v>933</v>
      </c>
      <c r="C685" s="56"/>
      <c r="D685" s="56"/>
      <c r="E685" s="67" t="s">
        <v>58</v>
      </c>
      <c r="F685" s="67">
        <v>3</v>
      </c>
      <c r="G685" s="67">
        <f t="shared" si="56"/>
        <v>2</v>
      </c>
      <c r="H685" s="67">
        <v>4</v>
      </c>
      <c r="I685" s="86"/>
    </row>
    <row r="686" spans="1:9" ht="16.5" customHeight="1" x14ac:dyDescent="0.3">
      <c r="A686" s="67">
        <f t="shared" si="54"/>
        <v>5422</v>
      </c>
      <c r="B686" s="56" t="s">
        <v>934</v>
      </c>
      <c r="C686" s="56"/>
      <c r="D686" s="56"/>
      <c r="E686" s="67" t="s">
        <v>58</v>
      </c>
      <c r="F686" s="67">
        <v>3</v>
      </c>
      <c r="G686" s="67">
        <f t="shared" si="56"/>
        <v>2</v>
      </c>
      <c r="H686" s="67">
        <v>4</v>
      </c>
      <c r="I686" s="86"/>
    </row>
    <row r="687" spans="1:9" ht="16.5" customHeight="1" x14ac:dyDescent="0.3">
      <c r="A687" s="67">
        <f t="shared" si="54"/>
        <v>5430</v>
      </c>
      <c r="B687" s="56" t="s">
        <v>935</v>
      </c>
      <c r="C687" s="56"/>
      <c r="D687" s="56"/>
      <c r="E687" s="67" t="s">
        <v>58</v>
      </c>
      <c r="F687" s="67">
        <v>3</v>
      </c>
      <c r="G687" s="67">
        <f t="shared" si="56"/>
        <v>2</v>
      </c>
      <c r="H687" s="67">
        <v>4</v>
      </c>
      <c r="I687" s="86"/>
    </row>
    <row r="688" spans="1:9" ht="16.5" customHeight="1" x14ac:dyDescent="0.3">
      <c r="A688" s="67">
        <f t="shared" si="54"/>
        <v>5438</v>
      </c>
      <c r="B688" s="56" t="s">
        <v>936</v>
      </c>
      <c r="C688" s="56"/>
      <c r="D688" s="56"/>
      <c r="E688" s="67" t="s">
        <v>58</v>
      </c>
      <c r="F688" s="67">
        <v>3</v>
      </c>
      <c r="G688" s="67">
        <f t="shared" si="56"/>
        <v>2</v>
      </c>
      <c r="H688" s="67">
        <v>4</v>
      </c>
      <c r="I688" s="86"/>
    </row>
    <row r="689" spans="1:10" ht="16.5" customHeight="1" x14ac:dyDescent="0.3">
      <c r="A689" s="67">
        <f t="shared" si="54"/>
        <v>5446</v>
      </c>
      <c r="B689" s="56" t="s">
        <v>937</v>
      </c>
      <c r="C689" s="56"/>
      <c r="D689" s="56"/>
      <c r="E689" s="67" t="s">
        <v>58</v>
      </c>
      <c r="F689" s="67">
        <v>3</v>
      </c>
      <c r="G689" s="67">
        <f t="shared" si="56"/>
        <v>2</v>
      </c>
      <c r="H689" s="67">
        <v>4</v>
      </c>
      <c r="I689" s="86"/>
    </row>
    <row r="690" spans="1:10" ht="16.5" customHeight="1" x14ac:dyDescent="0.3">
      <c r="A690" s="67">
        <f t="shared" si="54"/>
        <v>5454</v>
      </c>
      <c r="B690" s="56" t="s">
        <v>938</v>
      </c>
      <c r="C690" s="56"/>
      <c r="D690" s="56"/>
      <c r="E690" s="67" t="s">
        <v>58</v>
      </c>
      <c r="F690" s="67">
        <v>3</v>
      </c>
      <c r="G690" s="67">
        <f t="shared" si="56"/>
        <v>2</v>
      </c>
      <c r="H690" s="67">
        <v>4</v>
      </c>
      <c r="I690" s="86"/>
    </row>
    <row r="691" spans="1:10" ht="16.5" customHeight="1" x14ac:dyDescent="0.3">
      <c r="A691" s="67">
        <f t="shared" si="54"/>
        <v>5462</v>
      </c>
      <c r="B691" s="56" t="s">
        <v>939</v>
      </c>
      <c r="C691" s="56"/>
      <c r="D691" s="56"/>
      <c r="E691" s="67" t="s">
        <v>58</v>
      </c>
      <c r="F691" s="67">
        <v>3</v>
      </c>
      <c r="G691" s="67">
        <f t="shared" si="56"/>
        <v>2</v>
      </c>
      <c r="H691" s="67">
        <v>4</v>
      </c>
      <c r="I691" s="86"/>
    </row>
    <row r="692" spans="1:10" ht="16.5" customHeight="1" x14ac:dyDescent="0.3">
      <c r="A692" s="67">
        <f t="shared" si="54"/>
        <v>5470</v>
      </c>
      <c r="B692" s="56" t="s">
        <v>940</v>
      </c>
      <c r="C692" s="56"/>
      <c r="D692" s="56"/>
      <c r="E692" s="67" t="s">
        <v>58</v>
      </c>
      <c r="F692" s="67">
        <v>3</v>
      </c>
      <c r="G692" s="67">
        <f t="shared" si="56"/>
        <v>2</v>
      </c>
      <c r="H692" s="67">
        <v>4</v>
      </c>
      <c r="I692" s="86"/>
    </row>
    <row r="693" spans="1:10" ht="16.5" customHeight="1" x14ac:dyDescent="0.3">
      <c r="A693" s="67">
        <f t="shared" si="54"/>
        <v>5478</v>
      </c>
      <c r="B693" s="56" t="s">
        <v>941</v>
      </c>
      <c r="C693" s="56"/>
      <c r="D693" s="56"/>
      <c r="E693" s="67" t="s">
        <v>58</v>
      </c>
      <c r="F693" s="67">
        <v>3</v>
      </c>
      <c r="G693" s="67">
        <f t="shared" si="56"/>
        <v>2</v>
      </c>
      <c r="H693" s="67">
        <v>4</v>
      </c>
      <c r="I693" s="86"/>
    </row>
    <row r="694" spans="1:10" ht="16.5" customHeight="1" x14ac:dyDescent="0.3">
      <c r="A694" s="67">
        <f t="shared" si="54"/>
        <v>5486</v>
      </c>
      <c r="B694" s="56" t="s">
        <v>942</v>
      </c>
      <c r="C694" s="56"/>
      <c r="D694" s="56"/>
      <c r="E694" s="67" t="s">
        <v>58</v>
      </c>
      <c r="F694" s="67">
        <v>3</v>
      </c>
      <c r="G694" s="67">
        <f t="shared" si="56"/>
        <v>2</v>
      </c>
      <c r="H694" s="67">
        <v>4</v>
      </c>
      <c r="I694" s="86"/>
    </row>
    <row r="695" spans="1:10" customFormat="1" ht="16.5" x14ac:dyDescent="0.3">
      <c r="A695" s="67">
        <f t="shared" si="54"/>
        <v>5494</v>
      </c>
      <c r="B695" s="56" t="s">
        <v>943</v>
      </c>
      <c r="C695" s="56"/>
      <c r="D695" s="56"/>
      <c r="E695" s="67" t="s">
        <v>58</v>
      </c>
      <c r="F695" s="67">
        <v>3</v>
      </c>
      <c r="G695" s="67">
        <f t="shared" si="56"/>
        <v>2</v>
      </c>
      <c r="H695" s="67">
        <v>4</v>
      </c>
      <c r="I695" s="86"/>
      <c r="J695" s="27" t="s">
        <v>557</v>
      </c>
    </row>
    <row r="696" spans="1:10" ht="15.95" customHeight="1" x14ac:dyDescent="0.3">
      <c r="A696" s="67">
        <f t="shared" si="54"/>
        <v>5502</v>
      </c>
      <c r="B696" s="56" t="s">
        <v>944</v>
      </c>
      <c r="C696" s="56"/>
      <c r="D696" s="56"/>
      <c r="E696" s="67" t="s">
        <v>58</v>
      </c>
      <c r="F696" s="67">
        <v>3</v>
      </c>
      <c r="G696" s="67">
        <f t="shared" si="56"/>
        <v>2</v>
      </c>
      <c r="H696" s="67">
        <v>4</v>
      </c>
      <c r="I696" s="86"/>
    </row>
    <row r="697" spans="1:10" ht="15.95" customHeight="1" x14ac:dyDescent="0.3">
      <c r="A697" s="67">
        <f t="shared" si="54"/>
        <v>5510</v>
      </c>
      <c r="B697" s="56" t="s">
        <v>945</v>
      </c>
      <c r="C697" s="56"/>
      <c r="D697" s="56"/>
      <c r="E697" s="67" t="s">
        <v>58</v>
      </c>
      <c r="F697" s="67">
        <v>3</v>
      </c>
      <c r="G697" s="67">
        <f t="shared" si="56"/>
        <v>2</v>
      </c>
      <c r="H697" s="67">
        <v>4</v>
      </c>
      <c r="I697" s="86"/>
    </row>
    <row r="698" spans="1:10" ht="15.95" customHeight="1" x14ac:dyDescent="0.3">
      <c r="A698" s="67">
        <f t="shared" si="54"/>
        <v>5518</v>
      </c>
      <c r="B698" s="56" t="s">
        <v>946</v>
      </c>
      <c r="C698" s="56"/>
      <c r="D698" s="56"/>
      <c r="E698" s="67" t="s">
        <v>58</v>
      </c>
      <c r="F698" s="67">
        <v>3</v>
      </c>
      <c r="G698" s="67">
        <f t="shared" si="56"/>
        <v>2</v>
      </c>
      <c r="H698" s="67">
        <v>4</v>
      </c>
      <c r="I698" s="86"/>
    </row>
    <row r="699" spans="1:10" customFormat="1" ht="16.5" x14ac:dyDescent="0.3">
      <c r="A699" s="67">
        <f t="shared" si="54"/>
        <v>5526</v>
      </c>
      <c r="B699" s="56" t="s">
        <v>947</v>
      </c>
      <c r="C699" s="56"/>
      <c r="D699" s="67"/>
      <c r="E699" s="67" t="s">
        <v>58</v>
      </c>
      <c r="F699" s="67">
        <v>3</v>
      </c>
      <c r="G699" s="67">
        <f t="shared" si="56"/>
        <v>2</v>
      </c>
      <c r="H699" s="67">
        <v>4</v>
      </c>
      <c r="I699" s="86"/>
      <c r="J699" s="27"/>
    </row>
    <row r="700" spans="1:10" customFormat="1" ht="16.5" customHeight="1" x14ac:dyDescent="0.3">
      <c r="A700" s="67">
        <f t="shared" si="54"/>
        <v>5534</v>
      </c>
      <c r="B700" s="56" t="s">
        <v>948</v>
      </c>
      <c r="C700" s="56"/>
      <c r="D700" s="67"/>
      <c r="E700" s="67" t="s">
        <v>58</v>
      </c>
      <c r="F700" s="67">
        <v>3</v>
      </c>
      <c r="G700" s="67">
        <f t="shared" si="56"/>
        <v>2</v>
      </c>
      <c r="H700" s="67">
        <v>4</v>
      </c>
      <c r="I700" s="86"/>
      <c r="J700" s="27"/>
    </row>
    <row r="701" spans="1:10" customFormat="1" ht="16.5" x14ac:dyDescent="0.3">
      <c r="A701" s="67">
        <f t="shared" si="54"/>
        <v>5542</v>
      </c>
      <c r="B701" s="56" t="s">
        <v>949</v>
      </c>
      <c r="C701" s="56"/>
      <c r="D701" s="67"/>
      <c r="E701" s="67" t="s">
        <v>58</v>
      </c>
      <c r="F701" s="67">
        <v>3</v>
      </c>
      <c r="G701" s="67">
        <f t="shared" si="56"/>
        <v>2</v>
      </c>
      <c r="H701" s="67">
        <v>4</v>
      </c>
      <c r="I701" s="86"/>
      <c r="J701" s="27"/>
    </row>
    <row r="702" spans="1:10" customFormat="1" ht="16.5" x14ac:dyDescent="0.3">
      <c r="A702" s="67">
        <f t="shared" si="54"/>
        <v>5550</v>
      </c>
      <c r="B702" s="56" t="s">
        <v>950</v>
      </c>
      <c r="C702" s="56"/>
      <c r="D702" s="67"/>
      <c r="E702" s="67" t="s">
        <v>58</v>
      </c>
      <c r="F702" s="67">
        <v>3</v>
      </c>
      <c r="G702" s="67">
        <f t="shared" si="56"/>
        <v>2</v>
      </c>
      <c r="H702" s="67">
        <v>4</v>
      </c>
      <c r="I702" s="86"/>
      <c r="J702" s="27"/>
    </row>
    <row r="703" spans="1:10" customFormat="1" ht="16.5" x14ac:dyDescent="0.3">
      <c r="A703" s="67">
        <f t="shared" si="54"/>
        <v>5558</v>
      </c>
      <c r="B703" s="56" t="s">
        <v>951</v>
      </c>
      <c r="C703" s="56"/>
      <c r="D703" s="67"/>
      <c r="E703" s="67" t="s">
        <v>58</v>
      </c>
      <c r="F703" s="67">
        <v>3</v>
      </c>
      <c r="G703" s="67">
        <f t="shared" si="56"/>
        <v>2</v>
      </c>
      <c r="H703" s="67">
        <v>4</v>
      </c>
      <c r="I703" s="86"/>
      <c r="J703" s="27"/>
    </row>
    <row r="704" spans="1:10" customFormat="1" ht="16.5" x14ac:dyDescent="0.3">
      <c r="A704" s="67">
        <f t="shared" si="54"/>
        <v>5566</v>
      </c>
      <c r="B704" s="56" t="s">
        <v>952</v>
      </c>
      <c r="C704" s="56"/>
      <c r="D704" s="67"/>
      <c r="E704" s="67" t="s">
        <v>58</v>
      </c>
      <c r="F704" s="67">
        <v>3</v>
      </c>
      <c r="G704" s="67">
        <f t="shared" si="56"/>
        <v>2</v>
      </c>
      <c r="H704" s="67">
        <v>4</v>
      </c>
      <c r="I704" s="86"/>
      <c r="J704" s="27"/>
    </row>
    <row r="705" spans="1:10" customFormat="1" ht="16.5" x14ac:dyDescent="0.3">
      <c r="A705" s="67">
        <f t="shared" si="54"/>
        <v>5574</v>
      </c>
      <c r="B705" s="56"/>
      <c r="C705" s="56"/>
      <c r="D705" s="67"/>
      <c r="E705" s="67" t="s">
        <v>549</v>
      </c>
      <c r="F705" s="67">
        <v>3</v>
      </c>
      <c r="G705" s="67">
        <f t="shared" si="56"/>
        <v>1</v>
      </c>
      <c r="H705" s="67">
        <v>6</v>
      </c>
      <c r="I705" s="86"/>
      <c r="J705" s="27"/>
    </row>
    <row r="706" spans="1:10" customFormat="1" ht="16.5" x14ac:dyDescent="0.3">
      <c r="A706" s="175" t="s">
        <v>553</v>
      </c>
      <c r="B706" s="176"/>
      <c r="C706" s="176"/>
      <c r="D706" s="176"/>
      <c r="E706" s="176"/>
      <c r="F706" s="176"/>
      <c r="G706" s="176"/>
      <c r="H706" s="177"/>
      <c r="I706" s="88"/>
      <c r="J706" s="27"/>
    </row>
    <row r="707" spans="1:10" customFormat="1" ht="16.5" x14ac:dyDescent="0.3">
      <c r="A707" s="60">
        <f>A705+(G705*H705)</f>
        <v>5580</v>
      </c>
      <c r="B707" s="9" t="s">
        <v>556</v>
      </c>
      <c r="C707" s="9"/>
      <c r="D707" s="60"/>
      <c r="E707" s="15" t="s">
        <v>555</v>
      </c>
      <c r="F707" s="15">
        <v>3</v>
      </c>
      <c r="G707" s="15">
        <f t="shared" si="56"/>
        <v>2</v>
      </c>
      <c r="H707" s="60">
        <v>1</v>
      </c>
      <c r="I707" s="85"/>
      <c r="J707" s="27"/>
    </row>
    <row r="708" spans="1:10" customFormat="1" ht="16.5" x14ac:dyDescent="0.3">
      <c r="A708" s="60">
        <f>A707+(G707*H707)</f>
        <v>5582</v>
      </c>
      <c r="B708" s="9" t="s">
        <v>264</v>
      </c>
      <c r="C708" s="9"/>
      <c r="D708" s="60"/>
      <c r="E708" s="15" t="s">
        <v>59</v>
      </c>
      <c r="F708" s="15">
        <v>3</v>
      </c>
      <c r="G708" s="15">
        <f>IF(OR(E708="U16", E708="S16"),1,IF(E708="TS",6,2))</f>
        <v>2</v>
      </c>
      <c r="H708" s="60">
        <v>96</v>
      </c>
      <c r="I708" s="85"/>
      <c r="J708" s="27"/>
    </row>
    <row r="709" spans="1:10" customFormat="1" ht="16.5" x14ac:dyDescent="0.3">
      <c r="A709" s="60">
        <f>A708+(G708*H708)</f>
        <v>5774</v>
      </c>
      <c r="B709" s="9" t="s">
        <v>561</v>
      </c>
      <c r="C709" s="9"/>
      <c r="D709" s="60"/>
      <c r="E709" s="15" t="s">
        <v>554</v>
      </c>
      <c r="F709" s="15">
        <v>3</v>
      </c>
      <c r="G709" s="15">
        <f t="shared" si="56"/>
        <v>1</v>
      </c>
      <c r="H709" s="60">
        <v>6</v>
      </c>
      <c r="I709" s="85"/>
      <c r="J709" s="27"/>
    </row>
    <row r="710" spans="1:10" ht="13.5" customHeight="1" x14ac:dyDescent="0.3">
      <c r="A710" s="162" t="s">
        <v>1046</v>
      </c>
      <c r="B710" s="162"/>
      <c r="C710" s="162"/>
      <c r="D710" s="162"/>
      <c r="E710" s="162"/>
      <c r="F710" s="162"/>
      <c r="G710" s="162"/>
      <c r="H710" s="162"/>
      <c r="I710" s="88"/>
      <c r="J710" s="66"/>
    </row>
    <row r="711" spans="1:10" ht="13.5" customHeight="1" x14ac:dyDescent="0.3">
      <c r="A711" s="101">
        <f>A709+(G709*H709)</f>
        <v>5780</v>
      </c>
      <c r="B711" s="14" t="s">
        <v>399</v>
      </c>
      <c r="C711" s="9"/>
      <c r="D711" s="60"/>
      <c r="E711" s="15" t="s">
        <v>123</v>
      </c>
      <c r="F711" s="15">
        <v>3</v>
      </c>
      <c r="G711" s="15">
        <f t="shared" ref="G711:G723" si="57">IF(OR(E711="U16", E711="S16"),1,IF(E711="TS",6,2))</f>
        <v>1</v>
      </c>
      <c r="H711" s="60">
        <v>1</v>
      </c>
      <c r="I711" s="85"/>
      <c r="J711" s="66"/>
    </row>
    <row r="712" spans="1:10" ht="13.5" customHeight="1" x14ac:dyDescent="0.3">
      <c r="A712" s="60">
        <f t="shared" ref="A712:A755" si="58">A711+(G711*H711)</f>
        <v>5781</v>
      </c>
      <c r="B712" s="14" t="s">
        <v>400</v>
      </c>
      <c r="C712" s="9"/>
      <c r="D712" s="60"/>
      <c r="E712" s="15" t="s">
        <v>123</v>
      </c>
      <c r="F712" s="15">
        <v>3</v>
      </c>
      <c r="G712" s="15">
        <f t="shared" si="57"/>
        <v>1</v>
      </c>
      <c r="H712" s="60">
        <v>1</v>
      </c>
      <c r="I712" s="85"/>
      <c r="J712" s="66"/>
    </row>
    <row r="713" spans="1:10" ht="13.5" customHeight="1" x14ac:dyDescent="0.3">
      <c r="A713" s="60">
        <f t="shared" si="58"/>
        <v>5782</v>
      </c>
      <c r="B713" s="21" t="s">
        <v>1047</v>
      </c>
      <c r="C713" s="9"/>
      <c r="D713" s="60"/>
      <c r="E713" s="15" t="s">
        <v>123</v>
      </c>
      <c r="F713" s="15">
        <v>3</v>
      </c>
      <c r="G713" s="15">
        <f t="shared" si="57"/>
        <v>1</v>
      </c>
      <c r="H713" s="60">
        <v>1</v>
      </c>
      <c r="I713" s="85"/>
      <c r="J713" s="66"/>
    </row>
    <row r="714" spans="1:10" ht="13.5" customHeight="1" x14ac:dyDescent="0.3">
      <c r="A714" s="60">
        <f t="shared" si="58"/>
        <v>5783</v>
      </c>
      <c r="B714" s="14" t="s">
        <v>1090</v>
      </c>
      <c r="C714" s="9"/>
      <c r="D714" s="60"/>
      <c r="E714" s="15" t="s">
        <v>123</v>
      </c>
      <c r="F714" s="15">
        <v>3</v>
      </c>
      <c r="G714" s="15">
        <f t="shared" si="57"/>
        <v>1</v>
      </c>
      <c r="H714" s="60">
        <v>1</v>
      </c>
      <c r="I714" s="85"/>
      <c r="J714" s="66"/>
    </row>
    <row r="715" spans="1:10" ht="13.5" customHeight="1" x14ac:dyDescent="0.3">
      <c r="A715" s="60">
        <f t="shared" si="58"/>
        <v>5784</v>
      </c>
      <c r="B715" s="170" t="s">
        <v>1048</v>
      </c>
      <c r="C715" s="124" t="s">
        <v>1049</v>
      </c>
      <c r="D715" s="60"/>
      <c r="E715" s="60" t="s">
        <v>91</v>
      </c>
      <c r="F715" s="60">
        <v>3</v>
      </c>
      <c r="G715" s="60">
        <f t="shared" si="57"/>
        <v>2</v>
      </c>
      <c r="H715" s="60">
        <v>1</v>
      </c>
      <c r="I715" s="85"/>
      <c r="J715" s="66"/>
    </row>
    <row r="716" spans="1:10" ht="13.5" customHeight="1" x14ac:dyDescent="0.3">
      <c r="A716" s="60">
        <f t="shared" si="58"/>
        <v>5786</v>
      </c>
      <c r="B716" s="170"/>
      <c r="C716" s="124" t="s">
        <v>441</v>
      </c>
      <c r="D716" s="60"/>
      <c r="E716" s="60" t="s">
        <v>123</v>
      </c>
      <c r="F716" s="60">
        <v>3</v>
      </c>
      <c r="G716" s="60">
        <f t="shared" si="57"/>
        <v>1</v>
      </c>
      <c r="H716" s="60">
        <v>1</v>
      </c>
      <c r="I716" s="85"/>
      <c r="J716" s="66"/>
    </row>
    <row r="717" spans="1:10" ht="13.5" customHeight="1" x14ac:dyDescent="0.3">
      <c r="A717" s="60">
        <f t="shared" si="58"/>
        <v>5787</v>
      </c>
      <c r="B717" s="170"/>
      <c r="C717" s="124" t="s">
        <v>442</v>
      </c>
      <c r="D717" s="60"/>
      <c r="E717" s="60" t="s">
        <v>123</v>
      </c>
      <c r="F717" s="60">
        <v>3</v>
      </c>
      <c r="G717" s="60">
        <f t="shared" si="57"/>
        <v>1</v>
      </c>
      <c r="H717" s="60">
        <v>1</v>
      </c>
      <c r="I717" s="85"/>
      <c r="J717" s="66"/>
    </row>
    <row r="718" spans="1:10" ht="13.5" customHeight="1" x14ac:dyDescent="0.3">
      <c r="A718" s="60">
        <f t="shared" si="58"/>
        <v>5788</v>
      </c>
      <c r="B718" s="170"/>
      <c r="C718" s="124" t="s">
        <v>1050</v>
      </c>
      <c r="D718" s="9" t="s">
        <v>1051</v>
      </c>
      <c r="E718" s="60" t="s">
        <v>123</v>
      </c>
      <c r="F718" s="60">
        <v>3</v>
      </c>
      <c r="G718" s="60">
        <f t="shared" si="57"/>
        <v>1</v>
      </c>
      <c r="H718" s="60">
        <v>1</v>
      </c>
      <c r="I718" s="85"/>
      <c r="J718" s="66"/>
    </row>
    <row r="719" spans="1:10" ht="13.5" customHeight="1" x14ac:dyDescent="0.3">
      <c r="A719" s="60">
        <f t="shared" si="58"/>
        <v>5789</v>
      </c>
      <c r="B719" s="170"/>
      <c r="C719" s="124" t="s">
        <v>439</v>
      </c>
      <c r="D719" s="60"/>
      <c r="E719" s="60" t="s">
        <v>123</v>
      </c>
      <c r="F719" s="60">
        <v>3</v>
      </c>
      <c r="G719" s="60">
        <f t="shared" si="57"/>
        <v>1</v>
      </c>
      <c r="H719" s="60">
        <v>1</v>
      </c>
      <c r="I719" s="85"/>
      <c r="J719" s="66"/>
    </row>
    <row r="720" spans="1:10" ht="13.5" customHeight="1" x14ac:dyDescent="0.3">
      <c r="A720" s="60">
        <f t="shared" si="58"/>
        <v>5790</v>
      </c>
      <c r="B720" s="170"/>
      <c r="C720" s="124" t="s">
        <v>440</v>
      </c>
      <c r="D720" s="60"/>
      <c r="E720" s="60" t="s">
        <v>436</v>
      </c>
      <c r="F720" s="60">
        <v>3</v>
      </c>
      <c r="G720" s="60">
        <f t="shared" si="57"/>
        <v>2</v>
      </c>
      <c r="H720" s="60">
        <v>1</v>
      </c>
      <c r="I720" s="85"/>
      <c r="J720" s="66"/>
    </row>
    <row r="721" spans="1:10" ht="13.5" customHeight="1" x14ac:dyDescent="0.3">
      <c r="A721" s="60">
        <f t="shared" si="58"/>
        <v>5792</v>
      </c>
      <c r="B721" s="170"/>
      <c r="C721" s="124" t="s">
        <v>271</v>
      </c>
      <c r="D721" s="60"/>
      <c r="E721" s="60" t="s">
        <v>436</v>
      </c>
      <c r="F721" s="60">
        <v>3</v>
      </c>
      <c r="G721" s="60">
        <f t="shared" si="57"/>
        <v>2</v>
      </c>
      <c r="H721" s="60">
        <v>1</v>
      </c>
      <c r="I721" s="85"/>
      <c r="J721" s="66"/>
    </row>
    <row r="722" spans="1:10" ht="13.5" customHeight="1" x14ac:dyDescent="0.3">
      <c r="A722" s="60">
        <f t="shared" si="58"/>
        <v>5794</v>
      </c>
      <c r="B722" s="170"/>
      <c r="C722" s="124" t="s">
        <v>272</v>
      </c>
      <c r="D722" s="60"/>
      <c r="E722" s="60" t="s">
        <v>436</v>
      </c>
      <c r="F722" s="60">
        <v>3</v>
      </c>
      <c r="G722" s="60">
        <f t="shared" si="57"/>
        <v>2</v>
      </c>
      <c r="H722" s="60">
        <v>1</v>
      </c>
      <c r="I722" s="85"/>
      <c r="J722" s="66"/>
    </row>
    <row r="723" spans="1:10" ht="13.5" customHeight="1" x14ac:dyDescent="0.3">
      <c r="A723" s="60">
        <f t="shared" si="58"/>
        <v>5796</v>
      </c>
      <c r="B723" s="170"/>
      <c r="C723" s="124" t="s">
        <v>1052</v>
      </c>
      <c r="D723" s="60"/>
      <c r="E723" s="60" t="s">
        <v>436</v>
      </c>
      <c r="F723" s="60">
        <v>3</v>
      </c>
      <c r="G723" s="60">
        <f t="shared" si="57"/>
        <v>2</v>
      </c>
      <c r="H723" s="60">
        <v>1</v>
      </c>
      <c r="I723" s="85"/>
      <c r="J723" s="66"/>
    </row>
    <row r="724" spans="1:10" ht="13.5" customHeight="1" x14ac:dyDescent="0.3">
      <c r="A724" s="60">
        <f t="shared" si="58"/>
        <v>5798</v>
      </c>
      <c r="B724" s="9" t="s">
        <v>1053</v>
      </c>
      <c r="C724" s="9"/>
      <c r="D724" s="60"/>
      <c r="E724" s="60" t="s">
        <v>123</v>
      </c>
      <c r="F724" s="15">
        <v>3</v>
      </c>
      <c r="G724" s="60">
        <v>1</v>
      </c>
      <c r="H724" s="60">
        <v>14</v>
      </c>
      <c r="I724" s="85"/>
      <c r="J724" s="66"/>
    </row>
    <row r="725" spans="1:10" ht="13.5" customHeight="1" x14ac:dyDescent="0.3">
      <c r="A725" s="60">
        <f t="shared" si="58"/>
        <v>5812</v>
      </c>
      <c r="B725" s="9" t="s">
        <v>1054</v>
      </c>
      <c r="C725" s="9"/>
      <c r="D725" s="60"/>
      <c r="E725" s="60" t="s">
        <v>123</v>
      </c>
      <c r="F725" s="15">
        <v>3</v>
      </c>
      <c r="G725" s="60">
        <v>1</v>
      </c>
      <c r="H725" s="60">
        <v>14</v>
      </c>
      <c r="I725" s="85"/>
      <c r="J725" s="66"/>
    </row>
    <row r="726" spans="1:10" ht="13.5" customHeight="1" x14ac:dyDescent="0.3">
      <c r="A726" s="60">
        <f t="shared" si="58"/>
        <v>5826</v>
      </c>
      <c r="B726" s="9" t="s">
        <v>1055</v>
      </c>
      <c r="C726" s="9"/>
      <c r="D726" s="60"/>
      <c r="E726" s="60" t="s">
        <v>123</v>
      </c>
      <c r="F726" s="15">
        <v>3</v>
      </c>
      <c r="G726" s="60">
        <v>1</v>
      </c>
      <c r="H726" s="60">
        <v>14</v>
      </c>
      <c r="I726" s="85"/>
      <c r="J726" s="66"/>
    </row>
    <row r="727" spans="1:10" ht="13.5" customHeight="1" x14ac:dyDescent="0.3">
      <c r="A727" s="60">
        <f t="shared" si="58"/>
        <v>5840</v>
      </c>
      <c r="B727" s="9" t="s">
        <v>1056</v>
      </c>
      <c r="C727" s="9"/>
      <c r="D727" s="60"/>
      <c r="E727" s="60" t="s">
        <v>123</v>
      </c>
      <c r="F727" s="15">
        <v>3</v>
      </c>
      <c r="G727" s="60">
        <v>1</v>
      </c>
      <c r="H727" s="60">
        <v>14</v>
      </c>
      <c r="I727" s="85"/>
      <c r="J727" s="66"/>
    </row>
    <row r="728" spans="1:10" ht="13.5" customHeight="1" x14ac:dyDescent="0.3">
      <c r="A728" s="60">
        <f t="shared" si="58"/>
        <v>5854</v>
      </c>
      <c r="B728" s="9" t="s">
        <v>1057</v>
      </c>
      <c r="C728" s="9"/>
      <c r="D728" s="60"/>
      <c r="E728" s="60" t="s">
        <v>123</v>
      </c>
      <c r="F728" s="15">
        <v>3</v>
      </c>
      <c r="G728" s="60">
        <v>1</v>
      </c>
      <c r="H728" s="60">
        <v>14</v>
      </c>
      <c r="I728" s="85"/>
      <c r="J728" s="66"/>
    </row>
    <row r="729" spans="1:10" ht="13.5" customHeight="1" x14ac:dyDescent="0.3">
      <c r="A729" s="60">
        <f t="shared" si="58"/>
        <v>5868</v>
      </c>
      <c r="B729" s="9" t="s">
        <v>1058</v>
      </c>
      <c r="C729" s="9"/>
      <c r="D729" s="60"/>
      <c r="E729" s="60" t="s">
        <v>123</v>
      </c>
      <c r="F729" s="15">
        <v>3</v>
      </c>
      <c r="G729" s="60">
        <v>1</v>
      </c>
      <c r="H729" s="60">
        <v>14</v>
      </c>
      <c r="I729" s="85"/>
      <c r="J729" s="66"/>
    </row>
    <row r="730" spans="1:10" ht="13.5" customHeight="1" x14ac:dyDescent="0.3">
      <c r="A730" s="60">
        <f t="shared" si="58"/>
        <v>5882</v>
      </c>
      <c r="B730" s="9" t="s">
        <v>1059</v>
      </c>
      <c r="C730" s="9"/>
      <c r="D730" s="60"/>
      <c r="E730" s="60" t="s">
        <v>123</v>
      </c>
      <c r="F730" s="15">
        <v>3</v>
      </c>
      <c r="G730" s="60">
        <v>1</v>
      </c>
      <c r="H730" s="60">
        <v>14</v>
      </c>
      <c r="I730" s="85"/>
      <c r="J730" s="66"/>
    </row>
    <row r="731" spans="1:10" ht="13.5" customHeight="1" x14ac:dyDescent="0.3">
      <c r="A731" s="60">
        <f t="shared" si="58"/>
        <v>5896</v>
      </c>
      <c r="B731" s="9" t="s">
        <v>1060</v>
      </c>
      <c r="C731" s="9"/>
      <c r="D731" s="60"/>
      <c r="E731" s="60" t="s">
        <v>123</v>
      </c>
      <c r="F731" s="15">
        <v>3</v>
      </c>
      <c r="G731" s="60">
        <v>1</v>
      </c>
      <c r="H731" s="60">
        <v>14</v>
      </c>
      <c r="I731" s="85"/>
      <c r="J731" s="66"/>
    </row>
    <row r="732" spans="1:10" ht="13.5" customHeight="1" x14ac:dyDescent="0.3">
      <c r="A732" s="60">
        <f t="shared" si="58"/>
        <v>5910</v>
      </c>
      <c r="B732" s="9" t="s">
        <v>1061</v>
      </c>
      <c r="C732" s="9"/>
      <c r="D732" s="60"/>
      <c r="E732" s="60" t="s">
        <v>123</v>
      </c>
      <c r="F732" s="15">
        <v>3</v>
      </c>
      <c r="G732" s="60">
        <v>1</v>
      </c>
      <c r="H732" s="60">
        <v>14</v>
      </c>
      <c r="I732" s="85"/>
      <c r="J732" s="66"/>
    </row>
    <row r="733" spans="1:10" ht="13.5" customHeight="1" x14ac:dyDescent="0.3">
      <c r="A733" s="60">
        <f t="shared" si="58"/>
        <v>5924</v>
      </c>
      <c r="B733" s="9" t="s">
        <v>1062</v>
      </c>
      <c r="C733" s="9"/>
      <c r="D733" s="60"/>
      <c r="E733" s="60" t="s">
        <v>123</v>
      </c>
      <c r="F733" s="15">
        <v>3</v>
      </c>
      <c r="G733" s="60">
        <v>1</v>
      </c>
      <c r="H733" s="60">
        <v>14</v>
      </c>
      <c r="I733" s="85"/>
      <c r="J733" s="66"/>
    </row>
    <row r="734" spans="1:10" ht="13.5" customHeight="1" x14ac:dyDescent="0.3">
      <c r="A734" s="60">
        <f t="shared" si="58"/>
        <v>5938</v>
      </c>
      <c r="B734" s="9" t="s">
        <v>1063</v>
      </c>
      <c r="C734" s="9"/>
      <c r="D734" s="60"/>
      <c r="E734" s="60" t="s">
        <v>123</v>
      </c>
      <c r="F734" s="15">
        <v>3</v>
      </c>
      <c r="G734" s="60">
        <v>1</v>
      </c>
      <c r="H734" s="60">
        <v>14</v>
      </c>
      <c r="I734" s="85"/>
      <c r="J734" s="66"/>
    </row>
    <row r="735" spans="1:10" ht="13.5" customHeight="1" x14ac:dyDescent="0.3">
      <c r="A735" s="60">
        <f t="shared" si="58"/>
        <v>5952</v>
      </c>
      <c r="B735" s="9" t="s">
        <v>1064</v>
      </c>
      <c r="C735" s="9"/>
      <c r="D735" s="60"/>
      <c r="E735" s="60" t="s">
        <v>123</v>
      </c>
      <c r="F735" s="15">
        <v>3</v>
      </c>
      <c r="G735" s="60">
        <v>1</v>
      </c>
      <c r="H735" s="60">
        <v>14</v>
      </c>
      <c r="I735" s="85"/>
      <c r="J735" s="66"/>
    </row>
    <row r="736" spans="1:10" ht="13.5" customHeight="1" x14ac:dyDescent="0.3">
      <c r="A736" s="60">
        <f t="shared" si="58"/>
        <v>5966</v>
      </c>
      <c r="B736" s="9" t="s">
        <v>1065</v>
      </c>
      <c r="C736" s="9"/>
      <c r="D736" s="60"/>
      <c r="E736" s="60" t="s">
        <v>123</v>
      </c>
      <c r="F736" s="15">
        <v>3</v>
      </c>
      <c r="G736" s="60">
        <v>1</v>
      </c>
      <c r="H736" s="60">
        <v>14</v>
      </c>
      <c r="I736" s="85"/>
      <c r="J736" s="66"/>
    </row>
    <row r="737" spans="1:10" ht="13.5" customHeight="1" x14ac:dyDescent="0.3">
      <c r="A737" s="60">
        <f t="shared" si="58"/>
        <v>5980</v>
      </c>
      <c r="B737" s="9" t="s">
        <v>1066</v>
      </c>
      <c r="C737" s="9"/>
      <c r="D737" s="60"/>
      <c r="E737" s="60" t="s">
        <v>123</v>
      </c>
      <c r="F737" s="15">
        <v>3</v>
      </c>
      <c r="G737" s="60">
        <v>1</v>
      </c>
      <c r="H737" s="60">
        <v>14</v>
      </c>
      <c r="I737" s="85"/>
      <c r="J737" s="66"/>
    </row>
    <row r="738" spans="1:10" ht="13.5" customHeight="1" x14ac:dyDescent="0.3">
      <c r="A738" s="60">
        <f t="shared" si="58"/>
        <v>5994</v>
      </c>
      <c r="B738" s="9" t="s">
        <v>1067</v>
      </c>
      <c r="C738" s="9"/>
      <c r="D738" s="60"/>
      <c r="E738" s="60" t="s">
        <v>123</v>
      </c>
      <c r="F738" s="15">
        <v>3</v>
      </c>
      <c r="G738" s="60">
        <v>1</v>
      </c>
      <c r="H738" s="60">
        <v>14</v>
      </c>
      <c r="I738" s="85"/>
      <c r="J738" s="66"/>
    </row>
    <row r="739" spans="1:10" ht="13.5" customHeight="1" x14ac:dyDescent="0.3">
      <c r="A739" s="60">
        <f t="shared" si="58"/>
        <v>6008</v>
      </c>
      <c r="B739" s="9" t="s">
        <v>1068</v>
      </c>
      <c r="C739" s="9"/>
      <c r="D739" s="60"/>
      <c r="E739" s="60" t="s">
        <v>123</v>
      </c>
      <c r="F739" s="15">
        <v>3</v>
      </c>
      <c r="G739" s="60">
        <v>1</v>
      </c>
      <c r="H739" s="60">
        <v>14</v>
      </c>
      <c r="I739" s="85"/>
      <c r="J739" s="66"/>
    </row>
    <row r="740" spans="1:10" ht="13.5" customHeight="1" x14ac:dyDescent="0.3">
      <c r="A740" s="60">
        <f t="shared" si="58"/>
        <v>6022</v>
      </c>
      <c r="B740" s="9" t="s">
        <v>1069</v>
      </c>
      <c r="C740" s="9"/>
      <c r="D740" s="60"/>
      <c r="E740" s="60" t="s">
        <v>123</v>
      </c>
      <c r="F740" s="15">
        <v>3</v>
      </c>
      <c r="G740" s="60">
        <v>1</v>
      </c>
      <c r="H740" s="60">
        <v>14</v>
      </c>
      <c r="I740" s="85"/>
      <c r="J740" s="66"/>
    </row>
    <row r="741" spans="1:10" ht="13.5" customHeight="1" x14ac:dyDescent="0.3">
      <c r="A741" s="60">
        <f t="shared" si="58"/>
        <v>6036</v>
      </c>
      <c r="B741" s="9" t="s">
        <v>1070</v>
      </c>
      <c r="C741" s="9"/>
      <c r="D741" s="60"/>
      <c r="E741" s="60" t="s">
        <v>123</v>
      </c>
      <c r="F741" s="15">
        <v>3</v>
      </c>
      <c r="G741" s="60">
        <v>1</v>
      </c>
      <c r="H741" s="60">
        <v>14</v>
      </c>
      <c r="I741" s="85"/>
      <c r="J741" s="66"/>
    </row>
    <row r="742" spans="1:10" ht="13.5" customHeight="1" x14ac:dyDescent="0.3">
      <c r="A742" s="60">
        <f t="shared" si="58"/>
        <v>6050</v>
      </c>
      <c r="B742" s="9" t="s">
        <v>1071</v>
      </c>
      <c r="C742" s="9"/>
      <c r="D742" s="60"/>
      <c r="E742" s="60" t="s">
        <v>123</v>
      </c>
      <c r="F742" s="15">
        <v>3</v>
      </c>
      <c r="G742" s="60">
        <v>1</v>
      </c>
      <c r="H742" s="60">
        <v>14</v>
      </c>
      <c r="I742" s="85"/>
      <c r="J742" s="66"/>
    </row>
    <row r="743" spans="1:10" ht="13.5" customHeight="1" x14ac:dyDescent="0.3">
      <c r="A743" s="60">
        <f t="shared" si="58"/>
        <v>6064</v>
      </c>
      <c r="B743" s="9" t="s">
        <v>1072</v>
      </c>
      <c r="C743" s="9"/>
      <c r="D743" s="60"/>
      <c r="E743" s="60" t="s">
        <v>123</v>
      </c>
      <c r="F743" s="15">
        <v>3</v>
      </c>
      <c r="G743" s="60">
        <v>1</v>
      </c>
      <c r="H743" s="60">
        <v>14</v>
      </c>
      <c r="I743" s="85"/>
      <c r="J743" s="66"/>
    </row>
    <row r="744" spans="1:10" ht="13.5" customHeight="1" x14ac:dyDescent="0.3">
      <c r="A744" s="60">
        <f t="shared" si="58"/>
        <v>6078</v>
      </c>
      <c r="B744" s="9" t="s">
        <v>1073</v>
      </c>
      <c r="C744" s="9"/>
      <c r="D744" s="60"/>
      <c r="E744" s="60" t="s">
        <v>123</v>
      </c>
      <c r="F744" s="15">
        <v>3</v>
      </c>
      <c r="G744" s="60">
        <v>1</v>
      </c>
      <c r="H744" s="60">
        <v>14</v>
      </c>
      <c r="I744" s="85"/>
      <c r="J744" s="66"/>
    </row>
    <row r="745" spans="1:10" ht="13.5" customHeight="1" x14ac:dyDescent="0.3">
      <c r="A745" s="60">
        <f t="shared" si="58"/>
        <v>6092</v>
      </c>
      <c r="B745" s="9" t="s">
        <v>1074</v>
      </c>
      <c r="C745" s="9"/>
      <c r="D745" s="60"/>
      <c r="E745" s="60" t="s">
        <v>123</v>
      </c>
      <c r="F745" s="15">
        <v>3</v>
      </c>
      <c r="G745" s="60">
        <v>1</v>
      </c>
      <c r="H745" s="60">
        <v>14</v>
      </c>
      <c r="I745" s="85"/>
      <c r="J745" s="66"/>
    </row>
    <row r="746" spans="1:10" ht="13.5" customHeight="1" x14ac:dyDescent="0.3">
      <c r="A746" s="60">
        <f t="shared" si="58"/>
        <v>6106</v>
      </c>
      <c r="B746" s="9" t="s">
        <v>1075</v>
      </c>
      <c r="C746" s="9"/>
      <c r="D746" s="60"/>
      <c r="E746" s="60" t="s">
        <v>123</v>
      </c>
      <c r="F746" s="15">
        <v>3</v>
      </c>
      <c r="G746" s="60">
        <v>1</v>
      </c>
      <c r="H746" s="60">
        <v>14</v>
      </c>
      <c r="I746" s="85"/>
      <c r="J746" s="66"/>
    </row>
    <row r="747" spans="1:10" ht="13.5" customHeight="1" x14ac:dyDescent="0.3">
      <c r="A747" s="60">
        <f t="shared" si="58"/>
        <v>6120</v>
      </c>
      <c r="B747" s="9" t="s">
        <v>1076</v>
      </c>
      <c r="C747" s="9"/>
      <c r="D747" s="60"/>
      <c r="E747" s="60" t="s">
        <v>123</v>
      </c>
      <c r="F747" s="15">
        <v>3</v>
      </c>
      <c r="G747" s="60">
        <v>1</v>
      </c>
      <c r="H747" s="60">
        <v>14</v>
      </c>
      <c r="I747" s="85"/>
      <c r="J747" s="66"/>
    </row>
    <row r="748" spans="1:10" ht="13.5" customHeight="1" x14ac:dyDescent="0.3">
      <c r="A748" s="60">
        <f t="shared" si="58"/>
        <v>6134</v>
      </c>
      <c r="B748" s="9" t="s">
        <v>1077</v>
      </c>
      <c r="C748" s="9"/>
      <c r="D748" s="60"/>
      <c r="E748" s="60" t="s">
        <v>123</v>
      </c>
      <c r="F748" s="15">
        <v>3</v>
      </c>
      <c r="G748" s="60">
        <v>1</v>
      </c>
      <c r="H748" s="60">
        <v>14</v>
      </c>
      <c r="I748" s="85"/>
      <c r="J748" s="66"/>
    </row>
    <row r="749" spans="1:10" ht="13.5" customHeight="1" x14ac:dyDescent="0.3">
      <c r="A749" s="60">
        <f t="shared" si="58"/>
        <v>6148</v>
      </c>
      <c r="B749" s="9" t="s">
        <v>1078</v>
      </c>
      <c r="C749" s="9"/>
      <c r="D749" s="60"/>
      <c r="E749" s="60" t="s">
        <v>123</v>
      </c>
      <c r="F749" s="15">
        <v>3</v>
      </c>
      <c r="G749" s="60">
        <v>1</v>
      </c>
      <c r="H749" s="60">
        <v>14</v>
      </c>
      <c r="I749" s="85"/>
      <c r="J749" s="66"/>
    </row>
    <row r="750" spans="1:10" ht="13.5" customHeight="1" x14ac:dyDescent="0.3">
      <c r="A750" s="60">
        <f t="shared" si="58"/>
        <v>6162</v>
      </c>
      <c r="B750" s="9" t="s">
        <v>1079</v>
      </c>
      <c r="C750" s="9"/>
      <c r="D750" s="60"/>
      <c r="E750" s="60" t="s">
        <v>123</v>
      </c>
      <c r="F750" s="15">
        <v>3</v>
      </c>
      <c r="G750" s="60">
        <v>1</v>
      </c>
      <c r="H750" s="60">
        <v>14</v>
      </c>
      <c r="I750" s="85"/>
      <c r="J750" s="66"/>
    </row>
    <row r="751" spans="1:10" ht="13.5" customHeight="1" x14ac:dyDescent="0.3">
      <c r="A751" s="60">
        <f t="shared" si="58"/>
        <v>6176</v>
      </c>
      <c r="B751" s="9" t="s">
        <v>1080</v>
      </c>
      <c r="C751" s="9"/>
      <c r="D751" s="60"/>
      <c r="E751" s="60" t="s">
        <v>123</v>
      </c>
      <c r="F751" s="15">
        <v>3</v>
      </c>
      <c r="G751" s="60">
        <v>1</v>
      </c>
      <c r="H751" s="60">
        <v>14</v>
      </c>
      <c r="I751" s="85"/>
      <c r="J751" s="66"/>
    </row>
    <row r="752" spans="1:10" ht="13.5" customHeight="1" x14ac:dyDescent="0.3">
      <c r="A752" s="60">
        <f t="shared" si="58"/>
        <v>6190</v>
      </c>
      <c r="B752" s="9" t="s">
        <v>1081</v>
      </c>
      <c r="C752" s="9"/>
      <c r="D752" s="60"/>
      <c r="E752" s="60" t="s">
        <v>123</v>
      </c>
      <c r="F752" s="15">
        <v>3</v>
      </c>
      <c r="G752" s="60">
        <v>1</v>
      </c>
      <c r="H752" s="60">
        <v>14</v>
      </c>
      <c r="I752" s="85"/>
      <c r="J752" s="66"/>
    </row>
    <row r="753" spans="1:10" ht="13.5" customHeight="1" x14ac:dyDescent="0.3">
      <c r="A753" s="60">
        <f t="shared" si="58"/>
        <v>6204</v>
      </c>
      <c r="B753" s="9" t="s">
        <v>1082</v>
      </c>
      <c r="C753" s="9"/>
      <c r="D753" s="60"/>
      <c r="E753" s="60" t="s">
        <v>123</v>
      </c>
      <c r="F753" s="15">
        <v>3</v>
      </c>
      <c r="G753" s="60">
        <v>1</v>
      </c>
      <c r="H753" s="60">
        <v>14</v>
      </c>
      <c r="I753" s="85"/>
      <c r="J753" s="66"/>
    </row>
    <row r="754" spans="1:10" ht="13.5" customHeight="1" x14ac:dyDescent="0.3">
      <c r="A754" s="60">
        <f t="shared" si="58"/>
        <v>6218</v>
      </c>
      <c r="B754" s="9" t="s">
        <v>1083</v>
      </c>
      <c r="C754" s="9"/>
      <c r="D754" s="60"/>
      <c r="E754" s="60" t="s">
        <v>123</v>
      </c>
      <c r="F754" s="15">
        <v>3</v>
      </c>
      <c r="G754" s="60">
        <v>1</v>
      </c>
      <c r="H754" s="60">
        <v>14</v>
      </c>
      <c r="I754" s="85"/>
      <c r="J754" s="66"/>
    </row>
    <row r="755" spans="1:10" ht="13.5" customHeight="1" x14ac:dyDescent="0.3">
      <c r="A755" s="60">
        <f t="shared" si="58"/>
        <v>6232</v>
      </c>
      <c r="B755" s="9"/>
      <c r="C755" s="9"/>
      <c r="D755" s="60"/>
      <c r="E755" s="60" t="s">
        <v>123</v>
      </c>
      <c r="F755" s="15">
        <v>3</v>
      </c>
      <c r="G755" s="60">
        <v>1</v>
      </c>
      <c r="H755" s="60">
        <v>8</v>
      </c>
      <c r="I755" s="85"/>
      <c r="J755" s="66"/>
    </row>
    <row r="756" spans="1:10" ht="13.5" customHeight="1" x14ac:dyDescent="0.3">
      <c r="A756" s="162" t="s">
        <v>1084</v>
      </c>
      <c r="B756" s="162"/>
      <c r="C756" s="162"/>
      <c r="D756" s="162"/>
      <c r="E756" s="162"/>
      <c r="F756" s="162"/>
      <c r="G756" s="162"/>
      <c r="H756" s="162"/>
      <c r="I756" s="88"/>
      <c r="J756" s="66"/>
    </row>
    <row r="757" spans="1:10" ht="13.5" customHeight="1" x14ac:dyDescent="0.3">
      <c r="A757" s="60">
        <f>A755+G755*H755</f>
        <v>6240</v>
      </c>
      <c r="B757" s="14" t="s">
        <v>399</v>
      </c>
      <c r="C757" s="9"/>
      <c r="D757" s="60"/>
      <c r="E757" s="15" t="s">
        <v>123</v>
      </c>
      <c r="F757" s="15">
        <v>3</v>
      </c>
      <c r="G757" s="15">
        <f t="shared" ref="G757:G769" si="59">IF(OR(E757="U16", E757="S16"),1,IF(E757="TS",6,2))</f>
        <v>1</v>
      </c>
      <c r="H757" s="60">
        <v>1</v>
      </c>
      <c r="I757" s="85"/>
      <c r="J757" s="66"/>
    </row>
    <row r="758" spans="1:10" ht="13.5" customHeight="1" x14ac:dyDescent="0.3">
      <c r="A758" s="60">
        <f t="shared" ref="A758:A801" si="60">A757+(G757*H757)</f>
        <v>6241</v>
      </c>
      <c r="B758" s="14" t="s">
        <v>400</v>
      </c>
      <c r="C758" s="9"/>
      <c r="D758" s="60"/>
      <c r="E758" s="15" t="s">
        <v>123</v>
      </c>
      <c r="F758" s="15">
        <v>3</v>
      </c>
      <c r="G758" s="15">
        <f t="shared" si="59"/>
        <v>1</v>
      </c>
      <c r="H758" s="60">
        <v>1</v>
      </c>
      <c r="I758" s="85"/>
      <c r="J758" s="66"/>
    </row>
    <row r="759" spans="1:10" ht="13.5" customHeight="1" x14ac:dyDescent="0.3">
      <c r="A759" s="60">
        <f t="shared" si="60"/>
        <v>6242</v>
      </c>
      <c r="B759" s="21" t="s">
        <v>1047</v>
      </c>
      <c r="C759" s="9"/>
      <c r="D759" s="60"/>
      <c r="E759" s="15" t="s">
        <v>123</v>
      </c>
      <c r="F759" s="15">
        <v>3</v>
      </c>
      <c r="G759" s="15">
        <f t="shared" si="59"/>
        <v>1</v>
      </c>
      <c r="H759" s="60">
        <v>1</v>
      </c>
      <c r="I759" s="85"/>
      <c r="J759" s="66"/>
    </row>
    <row r="760" spans="1:10" ht="13.5" customHeight="1" x14ac:dyDescent="0.3">
      <c r="A760" s="60">
        <f t="shared" si="60"/>
        <v>6243</v>
      </c>
      <c r="B760" s="14" t="s">
        <v>195</v>
      </c>
      <c r="C760" s="9"/>
      <c r="D760" s="60"/>
      <c r="E760" s="15" t="s">
        <v>123</v>
      </c>
      <c r="F760" s="15">
        <v>3</v>
      </c>
      <c r="G760" s="15">
        <f t="shared" si="59"/>
        <v>1</v>
      </c>
      <c r="H760" s="60">
        <v>1</v>
      </c>
      <c r="I760" s="85"/>
      <c r="J760" s="66"/>
    </row>
    <row r="761" spans="1:10" ht="13.5" customHeight="1" x14ac:dyDescent="0.3">
      <c r="A761" s="60">
        <f t="shared" si="60"/>
        <v>6244</v>
      </c>
      <c r="B761" s="170" t="s">
        <v>1048</v>
      </c>
      <c r="C761" s="124" t="s">
        <v>1049</v>
      </c>
      <c r="D761" s="60"/>
      <c r="E761" s="60" t="s">
        <v>91</v>
      </c>
      <c r="F761" s="60">
        <v>3</v>
      </c>
      <c r="G761" s="60">
        <f t="shared" si="59"/>
        <v>2</v>
      </c>
      <c r="H761" s="60">
        <v>1</v>
      </c>
      <c r="I761" s="85"/>
      <c r="J761" s="66"/>
    </row>
    <row r="762" spans="1:10" ht="13.5" customHeight="1" x14ac:dyDescent="0.3">
      <c r="A762" s="60">
        <f t="shared" si="60"/>
        <v>6246</v>
      </c>
      <c r="B762" s="170"/>
      <c r="C762" s="124" t="s">
        <v>441</v>
      </c>
      <c r="D762" s="60"/>
      <c r="E762" s="60" t="s">
        <v>123</v>
      </c>
      <c r="F762" s="60">
        <v>3</v>
      </c>
      <c r="G762" s="60">
        <f t="shared" si="59"/>
        <v>1</v>
      </c>
      <c r="H762" s="60">
        <v>1</v>
      </c>
      <c r="I762" s="85"/>
      <c r="J762" s="66"/>
    </row>
    <row r="763" spans="1:10" ht="13.5" customHeight="1" x14ac:dyDescent="0.3">
      <c r="A763" s="60">
        <f t="shared" si="60"/>
        <v>6247</v>
      </c>
      <c r="B763" s="170"/>
      <c r="C763" s="124" t="s">
        <v>442</v>
      </c>
      <c r="D763" s="60"/>
      <c r="E763" s="60" t="s">
        <v>123</v>
      </c>
      <c r="F763" s="60">
        <v>3</v>
      </c>
      <c r="G763" s="60">
        <f t="shared" si="59"/>
        <v>1</v>
      </c>
      <c r="H763" s="60">
        <v>1</v>
      </c>
      <c r="I763" s="85"/>
      <c r="J763" s="66"/>
    </row>
    <row r="764" spans="1:10" ht="13.5" customHeight="1" x14ac:dyDescent="0.3">
      <c r="A764" s="60">
        <f t="shared" si="60"/>
        <v>6248</v>
      </c>
      <c r="B764" s="170"/>
      <c r="C764" s="124" t="s">
        <v>1050</v>
      </c>
      <c r="D764" s="9" t="s">
        <v>1051</v>
      </c>
      <c r="E764" s="60" t="s">
        <v>123</v>
      </c>
      <c r="F764" s="60">
        <v>3</v>
      </c>
      <c r="G764" s="60">
        <f t="shared" si="59"/>
        <v>1</v>
      </c>
      <c r="H764" s="60">
        <v>1</v>
      </c>
      <c r="I764" s="85"/>
      <c r="J764" s="66"/>
    </row>
    <row r="765" spans="1:10" ht="13.5" customHeight="1" x14ac:dyDescent="0.3">
      <c r="A765" s="60">
        <f t="shared" si="60"/>
        <v>6249</v>
      </c>
      <c r="B765" s="170"/>
      <c r="C765" s="124" t="s">
        <v>439</v>
      </c>
      <c r="D765" s="60"/>
      <c r="E765" s="60" t="s">
        <v>123</v>
      </c>
      <c r="F765" s="60">
        <v>3</v>
      </c>
      <c r="G765" s="60">
        <f t="shared" si="59"/>
        <v>1</v>
      </c>
      <c r="H765" s="60">
        <v>1</v>
      </c>
      <c r="I765" s="85"/>
      <c r="J765" s="66"/>
    </row>
    <row r="766" spans="1:10" ht="13.5" customHeight="1" x14ac:dyDescent="0.3">
      <c r="A766" s="60">
        <f t="shared" si="60"/>
        <v>6250</v>
      </c>
      <c r="B766" s="170"/>
      <c r="C766" s="124" t="s">
        <v>440</v>
      </c>
      <c r="D766" s="60"/>
      <c r="E766" s="60" t="s">
        <v>436</v>
      </c>
      <c r="F766" s="60">
        <v>3</v>
      </c>
      <c r="G766" s="60">
        <f t="shared" si="59"/>
        <v>2</v>
      </c>
      <c r="H766" s="60">
        <v>1</v>
      </c>
      <c r="I766" s="85"/>
      <c r="J766" s="66"/>
    </row>
    <row r="767" spans="1:10" ht="13.5" customHeight="1" x14ac:dyDescent="0.3">
      <c r="A767" s="60">
        <f t="shared" si="60"/>
        <v>6252</v>
      </c>
      <c r="B767" s="170"/>
      <c r="C767" s="124" t="s">
        <v>271</v>
      </c>
      <c r="D767" s="60"/>
      <c r="E767" s="60" t="s">
        <v>436</v>
      </c>
      <c r="F767" s="60">
        <v>3</v>
      </c>
      <c r="G767" s="60">
        <f t="shared" si="59"/>
        <v>2</v>
      </c>
      <c r="H767" s="60">
        <v>1</v>
      </c>
      <c r="I767" s="85"/>
      <c r="J767" s="66"/>
    </row>
    <row r="768" spans="1:10" ht="13.5" customHeight="1" x14ac:dyDescent="0.3">
      <c r="A768" s="60">
        <f t="shared" si="60"/>
        <v>6254</v>
      </c>
      <c r="B768" s="170"/>
      <c r="C768" s="124" t="s">
        <v>272</v>
      </c>
      <c r="D768" s="60"/>
      <c r="E768" s="60" t="s">
        <v>436</v>
      </c>
      <c r="F768" s="60">
        <v>3</v>
      </c>
      <c r="G768" s="60">
        <f t="shared" si="59"/>
        <v>2</v>
      </c>
      <c r="H768" s="60">
        <v>1</v>
      </c>
      <c r="I768" s="85"/>
      <c r="J768" s="66"/>
    </row>
    <row r="769" spans="1:10" ht="13.5" customHeight="1" x14ac:dyDescent="0.3">
      <c r="A769" s="60">
        <f t="shared" si="60"/>
        <v>6256</v>
      </c>
      <c r="B769" s="170"/>
      <c r="C769" s="124" t="s">
        <v>1052</v>
      </c>
      <c r="D769" s="60"/>
      <c r="E769" s="60" t="s">
        <v>436</v>
      </c>
      <c r="F769" s="60">
        <v>3</v>
      </c>
      <c r="G769" s="60">
        <f t="shared" si="59"/>
        <v>2</v>
      </c>
      <c r="H769" s="60">
        <v>1</v>
      </c>
      <c r="I769" s="85"/>
      <c r="J769" s="66"/>
    </row>
    <row r="770" spans="1:10" ht="13.5" customHeight="1" x14ac:dyDescent="0.3">
      <c r="A770" s="60">
        <f t="shared" si="60"/>
        <v>6258</v>
      </c>
      <c r="B770" s="9" t="s">
        <v>1053</v>
      </c>
      <c r="C770" s="9"/>
      <c r="D770" s="60"/>
      <c r="E770" s="60" t="s">
        <v>123</v>
      </c>
      <c r="F770" s="15">
        <v>3</v>
      </c>
      <c r="G770" s="60">
        <v>1</v>
      </c>
      <c r="H770" s="60">
        <v>14</v>
      </c>
      <c r="I770" s="85"/>
      <c r="J770" s="66"/>
    </row>
    <row r="771" spans="1:10" ht="13.5" customHeight="1" x14ac:dyDescent="0.3">
      <c r="A771" s="60">
        <f t="shared" si="60"/>
        <v>6272</v>
      </c>
      <c r="B771" s="9" t="s">
        <v>1054</v>
      </c>
      <c r="C771" s="9"/>
      <c r="D771" s="60"/>
      <c r="E771" s="60" t="s">
        <v>123</v>
      </c>
      <c r="F771" s="15">
        <v>3</v>
      </c>
      <c r="G771" s="60">
        <v>1</v>
      </c>
      <c r="H771" s="60">
        <v>14</v>
      </c>
      <c r="I771" s="85"/>
      <c r="J771" s="66"/>
    </row>
    <row r="772" spans="1:10" ht="13.5" customHeight="1" x14ac:dyDescent="0.3">
      <c r="A772" s="60">
        <f t="shared" si="60"/>
        <v>6286</v>
      </c>
      <c r="B772" s="9" t="s">
        <v>1055</v>
      </c>
      <c r="C772" s="9"/>
      <c r="D772" s="60"/>
      <c r="E772" s="60" t="s">
        <v>123</v>
      </c>
      <c r="F772" s="15">
        <v>3</v>
      </c>
      <c r="G772" s="60">
        <v>1</v>
      </c>
      <c r="H772" s="60">
        <v>14</v>
      </c>
      <c r="I772" s="85"/>
      <c r="J772" s="66"/>
    </row>
    <row r="773" spans="1:10" ht="13.5" customHeight="1" x14ac:dyDescent="0.3">
      <c r="A773" s="60">
        <f t="shared" si="60"/>
        <v>6300</v>
      </c>
      <c r="B773" s="9" t="s">
        <v>1056</v>
      </c>
      <c r="C773" s="9"/>
      <c r="D773" s="60"/>
      <c r="E773" s="60" t="s">
        <v>123</v>
      </c>
      <c r="F773" s="15">
        <v>3</v>
      </c>
      <c r="G773" s="60">
        <v>1</v>
      </c>
      <c r="H773" s="60">
        <v>14</v>
      </c>
      <c r="I773" s="85"/>
      <c r="J773" s="66"/>
    </row>
    <row r="774" spans="1:10" ht="13.5" customHeight="1" x14ac:dyDescent="0.3">
      <c r="A774" s="60">
        <f t="shared" si="60"/>
        <v>6314</v>
      </c>
      <c r="B774" s="9" t="s">
        <v>1057</v>
      </c>
      <c r="C774" s="9"/>
      <c r="D774" s="60"/>
      <c r="E774" s="60" t="s">
        <v>123</v>
      </c>
      <c r="F774" s="15">
        <v>3</v>
      </c>
      <c r="G774" s="60">
        <v>1</v>
      </c>
      <c r="H774" s="60">
        <v>14</v>
      </c>
      <c r="I774" s="85"/>
      <c r="J774" s="66"/>
    </row>
    <row r="775" spans="1:10" ht="13.5" customHeight="1" x14ac:dyDescent="0.3">
      <c r="A775" s="60">
        <f t="shared" si="60"/>
        <v>6328</v>
      </c>
      <c r="B775" s="9" t="s">
        <v>1058</v>
      </c>
      <c r="C775" s="9"/>
      <c r="D775" s="60"/>
      <c r="E775" s="60" t="s">
        <v>123</v>
      </c>
      <c r="F775" s="15">
        <v>3</v>
      </c>
      <c r="G775" s="60">
        <v>1</v>
      </c>
      <c r="H775" s="60">
        <v>14</v>
      </c>
      <c r="I775" s="85"/>
      <c r="J775" s="66"/>
    </row>
    <row r="776" spans="1:10" ht="13.5" customHeight="1" x14ac:dyDescent="0.3">
      <c r="A776" s="60">
        <f t="shared" si="60"/>
        <v>6342</v>
      </c>
      <c r="B776" s="9" t="s">
        <v>1059</v>
      </c>
      <c r="C776" s="9"/>
      <c r="D776" s="60"/>
      <c r="E776" s="60" t="s">
        <v>123</v>
      </c>
      <c r="F776" s="15">
        <v>3</v>
      </c>
      <c r="G776" s="60">
        <v>1</v>
      </c>
      <c r="H776" s="60">
        <v>14</v>
      </c>
      <c r="I776" s="85"/>
      <c r="J776" s="66"/>
    </row>
    <row r="777" spans="1:10" ht="13.5" customHeight="1" x14ac:dyDescent="0.3">
      <c r="A777" s="60">
        <f t="shared" si="60"/>
        <v>6356</v>
      </c>
      <c r="B777" s="9" t="s">
        <v>1060</v>
      </c>
      <c r="C777" s="9"/>
      <c r="D777" s="60"/>
      <c r="E777" s="60" t="s">
        <v>123</v>
      </c>
      <c r="F777" s="15">
        <v>3</v>
      </c>
      <c r="G777" s="60">
        <v>1</v>
      </c>
      <c r="H777" s="60">
        <v>14</v>
      </c>
      <c r="I777" s="85"/>
      <c r="J777" s="66"/>
    </row>
    <row r="778" spans="1:10" ht="13.5" customHeight="1" x14ac:dyDescent="0.3">
      <c r="A778" s="60">
        <f t="shared" si="60"/>
        <v>6370</v>
      </c>
      <c r="B778" s="9" t="s">
        <v>1061</v>
      </c>
      <c r="C778" s="9"/>
      <c r="D778" s="60"/>
      <c r="E778" s="60" t="s">
        <v>123</v>
      </c>
      <c r="F778" s="15">
        <v>3</v>
      </c>
      <c r="G778" s="60">
        <v>1</v>
      </c>
      <c r="H778" s="60">
        <v>14</v>
      </c>
      <c r="I778" s="85"/>
      <c r="J778" s="66"/>
    </row>
    <row r="779" spans="1:10" ht="13.5" customHeight="1" x14ac:dyDescent="0.3">
      <c r="A779" s="60">
        <f t="shared" si="60"/>
        <v>6384</v>
      </c>
      <c r="B779" s="9" t="s">
        <v>1062</v>
      </c>
      <c r="C779" s="9"/>
      <c r="D779" s="60"/>
      <c r="E779" s="60" t="s">
        <v>123</v>
      </c>
      <c r="F779" s="15">
        <v>3</v>
      </c>
      <c r="G779" s="60">
        <v>1</v>
      </c>
      <c r="H779" s="60">
        <v>14</v>
      </c>
      <c r="I779" s="85"/>
      <c r="J779" s="66"/>
    </row>
    <row r="780" spans="1:10" ht="13.5" customHeight="1" x14ac:dyDescent="0.3">
      <c r="A780" s="60">
        <f t="shared" si="60"/>
        <v>6398</v>
      </c>
      <c r="B780" s="9" t="s">
        <v>1063</v>
      </c>
      <c r="C780" s="9"/>
      <c r="D780" s="60"/>
      <c r="E780" s="60" t="s">
        <v>123</v>
      </c>
      <c r="F780" s="15">
        <v>3</v>
      </c>
      <c r="G780" s="60">
        <v>1</v>
      </c>
      <c r="H780" s="60">
        <v>14</v>
      </c>
      <c r="I780" s="85"/>
      <c r="J780" s="66"/>
    </row>
    <row r="781" spans="1:10" ht="13.5" customHeight="1" x14ac:dyDescent="0.3">
      <c r="A781" s="60">
        <f t="shared" si="60"/>
        <v>6412</v>
      </c>
      <c r="B781" s="9" t="s">
        <v>1064</v>
      </c>
      <c r="C781" s="9"/>
      <c r="D781" s="60"/>
      <c r="E781" s="60" t="s">
        <v>123</v>
      </c>
      <c r="F781" s="15">
        <v>3</v>
      </c>
      <c r="G781" s="60">
        <v>1</v>
      </c>
      <c r="H781" s="60">
        <v>14</v>
      </c>
      <c r="I781" s="85"/>
      <c r="J781" s="66"/>
    </row>
    <row r="782" spans="1:10" ht="13.5" customHeight="1" x14ac:dyDescent="0.3">
      <c r="A782" s="60">
        <f t="shared" si="60"/>
        <v>6426</v>
      </c>
      <c r="B782" s="9" t="s">
        <v>1065</v>
      </c>
      <c r="C782" s="9"/>
      <c r="D782" s="60"/>
      <c r="E782" s="60" t="s">
        <v>123</v>
      </c>
      <c r="F782" s="15">
        <v>3</v>
      </c>
      <c r="G782" s="60">
        <v>1</v>
      </c>
      <c r="H782" s="60">
        <v>14</v>
      </c>
      <c r="I782" s="85"/>
      <c r="J782" s="66"/>
    </row>
    <row r="783" spans="1:10" ht="13.5" customHeight="1" x14ac:dyDescent="0.3">
      <c r="A783" s="60">
        <f t="shared" si="60"/>
        <v>6440</v>
      </c>
      <c r="B783" s="9" t="s">
        <v>1066</v>
      </c>
      <c r="C783" s="9"/>
      <c r="D783" s="60"/>
      <c r="E783" s="60" t="s">
        <v>123</v>
      </c>
      <c r="F783" s="15">
        <v>3</v>
      </c>
      <c r="G783" s="60">
        <v>1</v>
      </c>
      <c r="H783" s="60">
        <v>14</v>
      </c>
      <c r="I783" s="85"/>
      <c r="J783" s="66"/>
    </row>
    <row r="784" spans="1:10" ht="13.5" customHeight="1" x14ac:dyDescent="0.3">
      <c r="A784" s="60">
        <f t="shared" si="60"/>
        <v>6454</v>
      </c>
      <c r="B784" s="9" t="s">
        <v>1067</v>
      </c>
      <c r="C784" s="9"/>
      <c r="D784" s="60"/>
      <c r="E784" s="60" t="s">
        <v>123</v>
      </c>
      <c r="F784" s="15">
        <v>3</v>
      </c>
      <c r="G784" s="60">
        <v>1</v>
      </c>
      <c r="H784" s="60">
        <v>14</v>
      </c>
      <c r="I784" s="85"/>
      <c r="J784" s="66"/>
    </row>
    <row r="785" spans="1:10" ht="13.5" customHeight="1" x14ac:dyDescent="0.3">
      <c r="A785" s="60">
        <f t="shared" si="60"/>
        <v>6468</v>
      </c>
      <c r="B785" s="9" t="s">
        <v>1068</v>
      </c>
      <c r="C785" s="9"/>
      <c r="D785" s="60"/>
      <c r="E785" s="60" t="s">
        <v>123</v>
      </c>
      <c r="F785" s="15">
        <v>3</v>
      </c>
      <c r="G785" s="60">
        <v>1</v>
      </c>
      <c r="H785" s="60">
        <v>14</v>
      </c>
      <c r="I785" s="85"/>
      <c r="J785" s="66"/>
    </row>
    <row r="786" spans="1:10" ht="13.5" customHeight="1" x14ac:dyDescent="0.3">
      <c r="A786" s="60">
        <f t="shared" si="60"/>
        <v>6482</v>
      </c>
      <c r="B786" s="9" t="s">
        <v>1069</v>
      </c>
      <c r="C786" s="9"/>
      <c r="D786" s="60"/>
      <c r="E786" s="60" t="s">
        <v>123</v>
      </c>
      <c r="F786" s="15">
        <v>3</v>
      </c>
      <c r="G786" s="60">
        <v>1</v>
      </c>
      <c r="H786" s="60">
        <v>14</v>
      </c>
      <c r="I786" s="85"/>
      <c r="J786" s="66"/>
    </row>
    <row r="787" spans="1:10" ht="13.5" customHeight="1" x14ac:dyDescent="0.3">
      <c r="A787" s="60">
        <f t="shared" si="60"/>
        <v>6496</v>
      </c>
      <c r="B787" s="9" t="s">
        <v>1070</v>
      </c>
      <c r="C787" s="9"/>
      <c r="D787" s="60"/>
      <c r="E787" s="60" t="s">
        <v>123</v>
      </c>
      <c r="F787" s="15">
        <v>3</v>
      </c>
      <c r="G787" s="60">
        <v>1</v>
      </c>
      <c r="H787" s="60">
        <v>14</v>
      </c>
      <c r="I787" s="85"/>
      <c r="J787" s="66"/>
    </row>
    <row r="788" spans="1:10" ht="13.5" customHeight="1" x14ac:dyDescent="0.3">
      <c r="A788" s="60">
        <f t="shared" si="60"/>
        <v>6510</v>
      </c>
      <c r="B788" s="9" t="s">
        <v>1071</v>
      </c>
      <c r="C788" s="9"/>
      <c r="D788" s="60"/>
      <c r="E788" s="60" t="s">
        <v>123</v>
      </c>
      <c r="F788" s="15">
        <v>3</v>
      </c>
      <c r="G788" s="60">
        <v>1</v>
      </c>
      <c r="H788" s="60">
        <v>14</v>
      </c>
      <c r="I788" s="85"/>
      <c r="J788" s="66"/>
    </row>
    <row r="789" spans="1:10" ht="13.5" customHeight="1" x14ac:dyDescent="0.3">
      <c r="A789" s="60">
        <f t="shared" si="60"/>
        <v>6524</v>
      </c>
      <c r="B789" s="9" t="s">
        <v>1072</v>
      </c>
      <c r="C789" s="9"/>
      <c r="D789" s="60"/>
      <c r="E789" s="60" t="s">
        <v>123</v>
      </c>
      <c r="F789" s="15">
        <v>3</v>
      </c>
      <c r="G789" s="60">
        <v>1</v>
      </c>
      <c r="H789" s="60">
        <v>14</v>
      </c>
      <c r="I789" s="85"/>
      <c r="J789" s="66"/>
    </row>
    <row r="790" spans="1:10" ht="13.5" customHeight="1" x14ac:dyDescent="0.3">
      <c r="A790" s="60">
        <f t="shared" si="60"/>
        <v>6538</v>
      </c>
      <c r="B790" s="9" t="s">
        <v>1073</v>
      </c>
      <c r="C790" s="9"/>
      <c r="D790" s="60"/>
      <c r="E790" s="60" t="s">
        <v>123</v>
      </c>
      <c r="F790" s="15">
        <v>3</v>
      </c>
      <c r="G790" s="60">
        <v>1</v>
      </c>
      <c r="H790" s="60">
        <v>14</v>
      </c>
      <c r="I790" s="85"/>
      <c r="J790" s="66"/>
    </row>
    <row r="791" spans="1:10" ht="13.5" customHeight="1" x14ac:dyDescent="0.3">
      <c r="A791" s="60">
        <f t="shared" si="60"/>
        <v>6552</v>
      </c>
      <c r="B791" s="9" t="s">
        <v>1074</v>
      </c>
      <c r="C791" s="9"/>
      <c r="D791" s="60"/>
      <c r="E791" s="60" t="s">
        <v>123</v>
      </c>
      <c r="F791" s="15">
        <v>3</v>
      </c>
      <c r="G791" s="60">
        <v>1</v>
      </c>
      <c r="H791" s="60">
        <v>14</v>
      </c>
      <c r="I791" s="85"/>
      <c r="J791" s="66"/>
    </row>
    <row r="792" spans="1:10" ht="13.5" customHeight="1" x14ac:dyDescent="0.3">
      <c r="A792" s="60">
        <f t="shared" si="60"/>
        <v>6566</v>
      </c>
      <c r="B792" s="9" t="s">
        <v>1075</v>
      </c>
      <c r="C792" s="9"/>
      <c r="D792" s="60"/>
      <c r="E792" s="60" t="s">
        <v>123</v>
      </c>
      <c r="F792" s="15">
        <v>3</v>
      </c>
      <c r="G792" s="60">
        <v>1</v>
      </c>
      <c r="H792" s="60">
        <v>14</v>
      </c>
      <c r="I792" s="85"/>
      <c r="J792" s="66"/>
    </row>
    <row r="793" spans="1:10" ht="13.5" customHeight="1" x14ac:dyDescent="0.3">
      <c r="A793" s="60">
        <f t="shared" si="60"/>
        <v>6580</v>
      </c>
      <c r="B793" s="9" t="s">
        <v>1076</v>
      </c>
      <c r="C793" s="9"/>
      <c r="D793" s="60"/>
      <c r="E793" s="60" t="s">
        <v>123</v>
      </c>
      <c r="F793" s="15">
        <v>3</v>
      </c>
      <c r="G793" s="60">
        <v>1</v>
      </c>
      <c r="H793" s="60">
        <v>14</v>
      </c>
      <c r="I793" s="85"/>
      <c r="J793" s="66"/>
    </row>
    <row r="794" spans="1:10" ht="13.5" customHeight="1" x14ac:dyDescent="0.3">
      <c r="A794" s="60">
        <f t="shared" si="60"/>
        <v>6594</v>
      </c>
      <c r="B794" s="9" t="s">
        <v>1077</v>
      </c>
      <c r="C794" s="9"/>
      <c r="D794" s="60"/>
      <c r="E794" s="60" t="s">
        <v>123</v>
      </c>
      <c r="F794" s="15">
        <v>3</v>
      </c>
      <c r="G794" s="60">
        <v>1</v>
      </c>
      <c r="H794" s="60">
        <v>14</v>
      </c>
      <c r="I794" s="85"/>
      <c r="J794" s="66"/>
    </row>
    <row r="795" spans="1:10" ht="13.5" customHeight="1" x14ac:dyDescent="0.3">
      <c r="A795" s="60">
        <f t="shared" si="60"/>
        <v>6608</v>
      </c>
      <c r="B795" s="9" t="s">
        <v>1078</v>
      </c>
      <c r="C795" s="9"/>
      <c r="D795" s="60"/>
      <c r="E795" s="60" t="s">
        <v>123</v>
      </c>
      <c r="F795" s="15">
        <v>3</v>
      </c>
      <c r="G795" s="60">
        <v>1</v>
      </c>
      <c r="H795" s="60">
        <v>14</v>
      </c>
      <c r="I795" s="85"/>
      <c r="J795" s="66"/>
    </row>
    <row r="796" spans="1:10" ht="13.5" customHeight="1" x14ac:dyDescent="0.3">
      <c r="A796" s="60">
        <f t="shared" si="60"/>
        <v>6622</v>
      </c>
      <c r="B796" s="9" t="s">
        <v>1079</v>
      </c>
      <c r="C796" s="9"/>
      <c r="D796" s="60"/>
      <c r="E796" s="60" t="s">
        <v>123</v>
      </c>
      <c r="F796" s="15">
        <v>3</v>
      </c>
      <c r="G796" s="60">
        <v>1</v>
      </c>
      <c r="H796" s="60">
        <v>14</v>
      </c>
      <c r="I796" s="85"/>
      <c r="J796" s="66"/>
    </row>
    <row r="797" spans="1:10" ht="13.5" customHeight="1" x14ac:dyDescent="0.3">
      <c r="A797" s="60">
        <f t="shared" si="60"/>
        <v>6636</v>
      </c>
      <c r="B797" s="9" t="s">
        <v>1080</v>
      </c>
      <c r="C797" s="9"/>
      <c r="D797" s="60"/>
      <c r="E797" s="60" t="s">
        <v>123</v>
      </c>
      <c r="F797" s="15">
        <v>3</v>
      </c>
      <c r="G797" s="60">
        <v>1</v>
      </c>
      <c r="H797" s="60">
        <v>14</v>
      </c>
      <c r="I797" s="85"/>
      <c r="J797" s="66"/>
    </row>
    <row r="798" spans="1:10" ht="13.5" customHeight="1" x14ac:dyDescent="0.3">
      <c r="A798" s="60">
        <f t="shared" si="60"/>
        <v>6650</v>
      </c>
      <c r="B798" s="9" t="s">
        <v>1081</v>
      </c>
      <c r="C798" s="9"/>
      <c r="D798" s="60"/>
      <c r="E798" s="60" t="s">
        <v>123</v>
      </c>
      <c r="F798" s="15">
        <v>3</v>
      </c>
      <c r="G798" s="60">
        <v>1</v>
      </c>
      <c r="H798" s="60">
        <v>14</v>
      </c>
      <c r="I798" s="85"/>
      <c r="J798" s="66"/>
    </row>
    <row r="799" spans="1:10" ht="13.5" customHeight="1" x14ac:dyDescent="0.3">
      <c r="A799" s="60">
        <f t="shared" si="60"/>
        <v>6664</v>
      </c>
      <c r="B799" s="9" t="s">
        <v>1082</v>
      </c>
      <c r="C799" s="9"/>
      <c r="D799" s="60"/>
      <c r="E799" s="60" t="s">
        <v>123</v>
      </c>
      <c r="F799" s="15">
        <v>3</v>
      </c>
      <c r="G799" s="60">
        <v>1</v>
      </c>
      <c r="H799" s="60">
        <v>14</v>
      </c>
      <c r="I799" s="85"/>
      <c r="J799" s="66"/>
    </row>
    <row r="800" spans="1:10" ht="13.5" customHeight="1" x14ac:dyDescent="0.3">
      <c r="A800" s="60">
        <f t="shared" si="60"/>
        <v>6678</v>
      </c>
      <c r="B800" s="9" t="s">
        <v>1083</v>
      </c>
      <c r="C800" s="9"/>
      <c r="D800" s="60"/>
      <c r="E800" s="60" t="s">
        <v>123</v>
      </c>
      <c r="F800" s="15">
        <v>3</v>
      </c>
      <c r="G800" s="60">
        <v>1</v>
      </c>
      <c r="H800" s="60">
        <v>14</v>
      </c>
      <c r="I800" s="85"/>
      <c r="J800" s="66"/>
    </row>
    <row r="801" spans="1:10" ht="13.5" customHeight="1" x14ac:dyDescent="0.3">
      <c r="A801" s="60">
        <f t="shared" si="60"/>
        <v>6692</v>
      </c>
      <c r="B801" s="9"/>
      <c r="C801" s="9"/>
      <c r="D801" s="60"/>
      <c r="E801" s="60" t="s">
        <v>123</v>
      </c>
      <c r="F801" s="15">
        <v>3</v>
      </c>
      <c r="G801" s="60">
        <v>1</v>
      </c>
      <c r="H801" s="60">
        <v>8</v>
      </c>
      <c r="I801" s="85"/>
      <c r="J801" s="66"/>
    </row>
    <row r="802" spans="1:10" ht="15.95" customHeight="1" x14ac:dyDescent="0.3">
      <c r="A802" s="169" t="s">
        <v>645</v>
      </c>
      <c r="B802" s="169"/>
      <c r="C802" s="169"/>
      <c r="D802" s="169"/>
      <c r="E802" s="169"/>
      <c r="F802" s="169"/>
      <c r="G802" s="169"/>
      <c r="H802" s="169"/>
      <c r="I802" s="94"/>
    </row>
    <row r="803" spans="1:10" ht="13.5" customHeight="1" thickBot="1" x14ac:dyDescent="0.35">
      <c r="A803" s="179" t="s">
        <v>514</v>
      </c>
      <c r="B803" s="179"/>
      <c r="C803" s="179"/>
      <c r="D803" s="179"/>
      <c r="E803" s="179"/>
      <c r="F803" s="179"/>
      <c r="G803" s="179"/>
      <c r="H803" s="179"/>
      <c r="I803" s="88"/>
    </row>
    <row r="804" spans="1:10" ht="15" customHeight="1" x14ac:dyDescent="0.3">
      <c r="A804" s="71">
        <f>A801+(G801*H801)</f>
        <v>6700</v>
      </c>
      <c r="B804" s="72" t="s">
        <v>203</v>
      </c>
      <c r="C804" s="119" t="s">
        <v>572</v>
      </c>
      <c r="D804" s="73"/>
      <c r="E804" s="74" t="s">
        <v>123</v>
      </c>
      <c r="F804" s="74" t="s">
        <v>1045</v>
      </c>
      <c r="G804" s="74">
        <f t="shared" ref="G804:G818" si="61">IF(OR(E804="U16", E804="S16"),1,IF(E804="TS",6,2))</f>
        <v>1</v>
      </c>
      <c r="H804" s="75">
        <v>1</v>
      </c>
      <c r="I804" s="85"/>
    </row>
    <row r="805" spans="1:10" ht="15" customHeight="1" x14ac:dyDescent="0.3">
      <c r="A805" s="76">
        <f t="shared" ref="A805:A816" si="62">A804+(G804*H804)</f>
        <v>6701</v>
      </c>
      <c r="B805" s="11" t="s">
        <v>204</v>
      </c>
      <c r="C805" s="9" t="s">
        <v>577</v>
      </c>
      <c r="D805" s="33"/>
      <c r="E805" s="15" t="s">
        <v>123</v>
      </c>
      <c r="F805" s="15" t="s">
        <v>1045</v>
      </c>
      <c r="G805" s="15">
        <f t="shared" si="61"/>
        <v>1</v>
      </c>
      <c r="H805" s="77">
        <v>1</v>
      </c>
      <c r="I805" s="85"/>
    </row>
    <row r="806" spans="1:10" ht="40.5" x14ac:dyDescent="0.3">
      <c r="A806" s="76">
        <f t="shared" si="62"/>
        <v>6702</v>
      </c>
      <c r="B806" s="11" t="s">
        <v>207</v>
      </c>
      <c r="C806" s="9" t="s">
        <v>586</v>
      </c>
      <c r="D806" s="33"/>
      <c r="E806" s="15" t="s">
        <v>123</v>
      </c>
      <c r="F806" s="15" t="s">
        <v>1044</v>
      </c>
      <c r="G806" s="15">
        <f t="shared" si="61"/>
        <v>1</v>
      </c>
      <c r="H806" s="77">
        <v>1</v>
      </c>
      <c r="I806" s="85"/>
    </row>
    <row r="807" spans="1:10" ht="15" customHeight="1" x14ac:dyDescent="0.3">
      <c r="A807" s="76">
        <f t="shared" si="62"/>
        <v>6703</v>
      </c>
      <c r="B807" s="11" t="s">
        <v>578</v>
      </c>
      <c r="C807" s="9"/>
      <c r="D807" s="33"/>
      <c r="E807" s="15" t="s">
        <v>123</v>
      </c>
      <c r="F807" s="15" t="s">
        <v>1044</v>
      </c>
      <c r="G807" s="15">
        <f>IF(OR(E807="U16", E807="S16"),1,IF(E807="TS",6,2))</f>
        <v>1</v>
      </c>
      <c r="H807" s="77">
        <v>1</v>
      </c>
      <c r="I807" s="85"/>
    </row>
    <row r="808" spans="1:10" ht="15" customHeight="1" thickBot="1" x14ac:dyDescent="0.35">
      <c r="A808" s="78">
        <f t="shared" si="62"/>
        <v>6704</v>
      </c>
      <c r="B808" s="79" t="s">
        <v>579</v>
      </c>
      <c r="C808" s="126"/>
      <c r="D808" s="80"/>
      <c r="E808" s="81" t="s">
        <v>123</v>
      </c>
      <c r="F808" s="81" t="s">
        <v>1044</v>
      </c>
      <c r="G808" s="81">
        <f>IF(OR(E808="U16", E808="S16"),1,IF(E808="TS",6,2))</f>
        <v>1</v>
      </c>
      <c r="H808" s="82">
        <v>2</v>
      </c>
      <c r="I808" s="85"/>
    </row>
    <row r="809" spans="1:10" ht="15" customHeight="1" x14ac:dyDescent="0.3">
      <c r="A809" s="71">
        <f t="shared" si="62"/>
        <v>6706</v>
      </c>
      <c r="B809" s="72" t="s">
        <v>217</v>
      </c>
      <c r="C809" s="119" t="s">
        <v>574</v>
      </c>
      <c r="D809" s="73"/>
      <c r="E809" s="74" t="s">
        <v>123</v>
      </c>
      <c r="F809" s="74" t="s">
        <v>1044</v>
      </c>
      <c r="G809" s="74">
        <f t="shared" si="61"/>
        <v>1</v>
      </c>
      <c r="H809" s="75">
        <v>1</v>
      </c>
      <c r="I809" s="85"/>
    </row>
    <row r="810" spans="1:10" ht="15" customHeight="1" x14ac:dyDescent="0.3">
      <c r="A810" s="76">
        <f t="shared" si="62"/>
        <v>6707</v>
      </c>
      <c r="B810" s="11" t="s">
        <v>205</v>
      </c>
      <c r="C810" s="9" t="s">
        <v>577</v>
      </c>
      <c r="D810" s="33"/>
      <c r="E810" s="15" t="s">
        <v>123</v>
      </c>
      <c r="F810" s="15" t="s">
        <v>1044</v>
      </c>
      <c r="G810" s="15">
        <f t="shared" si="61"/>
        <v>1</v>
      </c>
      <c r="H810" s="77">
        <v>1</v>
      </c>
      <c r="I810" s="85"/>
    </row>
    <row r="811" spans="1:10" ht="40.5" x14ac:dyDescent="0.3">
      <c r="A811" s="76">
        <f t="shared" si="62"/>
        <v>6708</v>
      </c>
      <c r="B811" s="11" t="s">
        <v>207</v>
      </c>
      <c r="C811" s="9" t="s">
        <v>586</v>
      </c>
      <c r="D811" s="33"/>
      <c r="E811" s="15" t="s">
        <v>123</v>
      </c>
      <c r="F811" s="15" t="s">
        <v>1044</v>
      </c>
      <c r="G811" s="15">
        <f t="shared" si="61"/>
        <v>1</v>
      </c>
      <c r="H811" s="77">
        <v>1</v>
      </c>
      <c r="I811" s="85"/>
    </row>
    <row r="812" spans="1:10" ht="15" customHeight="1" x14ac:dyDescent="0.3">
      <c r="A812" s="76">
        <f t="shared" si="62"/>
        <v>6709</v>
      </c>
      <c r="B812" s="11" t="s">
        <v>578</v>
      </c>
      <c r="C812" s="9"/>
      <c r="D812" s="33"/>
      <c r="E812" s="15" t="s">
        <v>123</v>
      </c>
      <c r="F812" s="15" t="s">
        <v>1044</v>
      </c>
      <c r="G812" s="15">
        <f t="shared" si="61"/>
        <v>1</v>
      </c>
      <c r="H812" s="77">
        <v>1</v>
      </c>
      <c r="I812" s="85"/>
    </row>
    <row r="813" spans="1:10" ht="15" customHeight="1" thickBot="1" x14ac:dyDescent="0.35">
      <c r="A813" s="78">
        <f t="shared" si="62"/>
        <v>6710</v>
      </c>
      <c r="B813" s="79"/>
      <c r="C813" s="126"/>
      <c r="D813" s="80"/>
      <c r="E813" s="81" t="s">
        <v>123</v>
      </c>
      <c r="F813" s="81" t="s">
        <v>1044</v>
      </c>
      <c r="G813" s="81">
        <f t="shared" si="61"/>
        <v>1</v>
      </c>
      <c r="H813" s="82">
        <v>2</v>
      </c>
      <c r="I813" s="85"/>
    </row>
    <row r="814" spans="1:10" ht="15" customHeight="1" x14ac:dyDescent="0.3">
      <c r="A814" s="71">
        <f t="shared" si="62"/>
        <v>6712</v>
      </c>
      <c r="B814" s="72" t="s">
        <v>573</v>
      </c>
      <c r="C814" s="119" t="s">
        <v>575</v>
      </c>
      <c r="D814" s="73"/>
      <c r="E814" s="74" t="s">
        <v>123</v>
      </c>
      <c r="F814" s="74" t="s">
        <v>1044</v>
      </c>
      <c r="G814" s="74">
        <f t="shared" si="61"/>
        <v>1</v>
      </c>
      <c r="H814" s="75">
        <v>1</v>
      </c>
      <c r="I814" s="85"/>
      <c r="J814" s="10" t="s">
        <v>568</v>
      </c>
    </row>
    <row r="815" spans="1:10" ht="15" customHeight="1" x14ac:dyDescent="0.3">
      <c r="A815" s="76">
        <f t="shared" si="62"/>
        <v>6713</v>
      </c>
      <c r="B815" s="11" t="s">
        <v>206</v>
      </c>
      <c r="C815" s="9" t="s">
        <v>577</v>
      </c>
      <c r="D815" s="33"/>
      <c r="E815" s="15" t="s">
        <v>123</v>
      </c>
      <c r="F815" s="15" t="s">
        <v>1044</v>
      </c>
      <c r="G815" s="15">
        <f t="shared" si="61"/>
        <v>1</v>
      </c>
      <c r="H815" s="77">
        <v>1</v>
      </c>
      <c r="I815" s="85"/>
    </row>
    <row r="816" spans="1:10" ht="40.5" x14ac:dyDescent="0.3">
      <c r="A816" s="76">
        <f t="shared" si="62"/>
        <v>6714</v>
      </c>
      <c r="B816" s="11" t="s">
        <v>207</v>
      </c>
      <c r="C816" s="9" t="s">
        <v>586</v>
      </c>
      <c r="D816" s="33"/>
      <c r="E816" s="15" t="s">
        <v>123</v>
      </c>
      <c r="F816" s="15" t="s">
        <v>1044</v>
      </c>
      <c r="G816" s="15">
        <f t="shared" si="61"/>
        <v>1</v>
      </c>
      <c r="H816" s="77">
        <v>1</v>
      </c>
      <c r="I816" s="85"/>
    </row>
    <row r="817" spans="1:9" ht="15" customHeight="1" x14ac:dyDescent="0.3">
      <c r="A817" s="76">
        <f t="shared" ref="A817:A823" si="63">A816+(G816*H816)</f>
        <v>6715</v>
      </c>
      <c r="B817" s="11" t="s">
        <v>578</v>
      </c>
      <c r="C817" s="9"/>
      <c r="D817" s="33"/>
      <c r="E817" s="15" t="s">
        <v>123</v>
      </c>
      <c r="F817" s="15" t="s">
        <v>1044</v>
      </c>
      <c r="G817" s="15">
        <f t="shared" si="61"/>
        <v>1</v>
      </c>
      <c r="H817" s="77">
        <v>1</v>
      </c>
      <c r="I817" s="85"/>
    </row>
    <row r="818" spans="1:9" ht="15" customHeight="1" thickBot="1" x14ac:dyDescent="0.35">
      <c r="A818" s="78">
        <f t="shared" si="63"/>
        <v>6716</v>
      </c>
      <c r="B818" s="79"/>
      <c r="C818" s="126"/>
      <c r="D818" s="80"/>
      <c r="E818" s="81" t="s">
        <v>123</v>
      </c>
      <c r="F818" s="81" t="s">
        <v>1044</v>
      </c>
      <c r="G818" s="81">
        <f t="shared" si="61"/>
        <v>1</v>
      </c>
      <c r="H818" s="82">
        <v>2</v>
      </c>
      <c r="I818" s="85"/>
    </row>
    <row r="819" spans="1:9" ht="15" customHeight="1" x14ac:dyDescent="0.3">
      <c r="A819" s="71">
        <f t="shared" si="63"/>
        <v>6718</v>
      </c>
      <c r="B819" s="72" t="s">
        <v>218</v>
      </c>
      <c r="C819" s="119" t="s">
        <v>576</v>
      </c>
      <c r="D819" s="73"/>
      <c r="E819" s="74" t="s">
        <v>123</v>
      </c>
      <c r="F819" s="74" t="s">
        <v>1044</v>
      </c>
      <c r="G819" s="74">
        <f>IF(OR(E819="U16", E819="S16"),1,IF(E819="TS",6,2))</f>
        <v>1</v>
      </c>
      <c r="H819" s="75">
        <v>1</v>
      </c>
      <c r="I819" s="85"/>
    </row>
    <row r="820" spans="1:9" ht="15" customHeight="1" x14ac:dyDescent="0.3">
      <c r="A820" s="76">
        <f t="shared" si="63"/>
        <v>6719</v>
      </c>
      <c r="B820" s="11" t="s">
        <v>219</v>
      </c>
      <c r="C820" s="9" t="s">
        <v>577</v>
      </c>
      <c r="D820" s="33"/>
      <c r="E820" s="15" t="s">
        <v>123</v>
      </c>
      <c r="F820" s="15" t="s">
        <v>1044</v>
      </c>
      <c r="G820" s="15">
        <f>IF(OR(E820="U16", E820="S16"),1,IF(E820="TS",6,2))</f>
        <v>1</v>
      </c>
      <c r="H820" s="77">
        <v>1</v>
      </c>
      <c r="I820" s="85"/>
    </row>
    <row r="821" spans="1:9" ht="40.5" x14ac:dyDescent="0.3">
      <c r="A821" s="76">
        <f t="shared" si="63"/>
        <v>6720</v>
      </c>
      <c r="B821" s="11" t="s">
        <v>207</v>
      </c>
      <c r="C821" s="9" t="s">
        <v>586</v>
      </c>
      <c r="D821" s="33"/>
      <c r="E821" s="15" t="s">
        <v>123</v>
      </c>
      <c r="F821" s="15" t="s">
        <v>1044</v>
      </c>
      <c r="G821" s="15">
        <f>IF(OR(E821="U16", E821="S16"),1,IF(E821="TS",6,2))</f>
        <v>1</v>
      </c>
      <c r="H821" s="77">
        <v>1</v>
      </c>
      <c r="I821" s="85"/>
    </row>
    <row r="822" spans="1:9" ht="15" customHeight="1" x14ac:dyDescent="0.3">
      <c r="A822" s="76">
        <f t="shared" si="63"/>
        <v>6721</v>
      </c>
      <c r="B822" s="11" t="s">
        <v>578</v>
      </c>
      <c r="C822" s="9"/>
      <c r="D822" s="33"/>
      <c r="E822" s="15" t="s">
        <v>123</v>
      </c>
      <c r="F822" s="15" t="s">
        <v>1044</v>
      </c>
      <c r="G822" s="15">
        <f>IF(OR(E822="U16", E822="S16"),1,IF(E822="TS",6,2))</f>
        <v>1</v>
      </c>
      <c r="H822" s="77">
        <v>1</v>
      </c>
      <c r="I822" s="85"/>
    </row>
    <row r="823" spans="1:9" ht="15" customHeight="1" thickBot="1" x14ac:dyDescent="0.35">
      <c r="A823" s="78">
        <f t="shared" si="63"/>
        <v>6722</v>
      </c>
      <c r="B823" s="79"/>
      <c r="C823" s="126"/>
      <c r="D823" s="83"/>
      <c r="E823" s="81" t="s">
        <v>123</v>
      </c>
      <c r="F823" s="81" t="s">
        <v>1044</v>
      </c>
      <c r="G823" s="81">
        <f>IF(OR(E823="U16", E823="S16"),1,IF(E823="TS",6,2))</f>
        <v>1</v>
      </c>
      <c r="H823" s="82">
        <v>2</v>
      </c>
      <c r="I823" s="85"/>
    </row>
    <row r="824" spans="1:9" ht="13.5" customHeight="1" x14ac:dyDescent="0.3">
      <c r="A824" s="178" t="s">
        <v>384</v>
      </c>
      <c r="B824" s="178"/>
      <c r="C824" s="178"/>
      <c r="D824" s="178"/>
      <c r="E824" s="178"/>
      <c r="F824" s="178"/>
      <c r="G824" s="178"/>
      <c r="H824" s="178"/>
      <c r="I824" s="88"/>
    </row>
    <row r="825" spans="1:9" ht="13.5" customHeight="1" x14ac:dyDescent="0.3">
      <c r="A825" s="60">
        <f>A823+(G823*H823)</f>
        <v>6724</v>
      </c>
      <c r="B825" s="194" t="s">
        <v>389</v>
      </c>
      <c r="C825" s="195" t="s">
        <v>571</v>
      </c>
      <c r="D825" s="196"/>
      <c r="E825" s="197" t="s">
        <v>123</v>
      </c>
      <c r="F825" s="197" t="s">
        <v>1044</v>
      </c>
      <c r="G825" s="197">
        <f t="shared" ref="G825:G833" si="64">IF(OR(E825="U16", E825="S16"),1,IF(E825="TS",6,2))</f>
        <v>1</v>
      </c>
      <c r="H825" s="197">
        <v>1</v>
      </c>
      <c r="I825" s="85"/>
    </row>
    <row r="826" spans="1:9" ht="13.5" customHeight="1" x14ac:dyDescent="0.3">
      <c r="A826" s="60">
        <f>A825+(G825*H825)</f>
        <v>6725</v>
      </c>
      <c r="B826" s="194" t="s">
        <v>390</v>
      </c>
      <c r="C826" s="195" t="s">
        <v>569</v>
      </c>
      <c r="D826" s="196"/>
      <c r="E826" s="197" t="s">
        <v>123</v>
      </c>
      <c r="F826" s="197" t="s">
        <v>1044</v>
      </c>
      <c r="G826" s="197">
        <f t="shared" si="64"/>
        <v>1</v>
      </c>
      <c r="H826" s="197">
        <v>1</v>
      </c>
      <c r="I826" s="85"/>
    </row>
    <row r="827" spans="1:9" ht="13.5" customHeight="1" x14ac:dyDescent="0.3">
      <c r="A827" s="60">
        <f t="shared" ref="A827:A833" si="65">A826+(G826*H826)</f>
        <v>6726</v>
      </c>
      <c r="B827" s="194" t="s">
        <v>391</v>
      </c>
      <c r="C827" s="195" t="s">
        <v>570</v>
      </c>
      <c r="D827" s="196"/>
      <c r="E827" s="197" t="s">
        <v>123</v>
      </c>
      <c r="F827" s="197" t="s">
        <v>1044</v>
      </c>
      <c r="G827" s="197">
        <f t="shared" si="64"/>
        <v>1</v>
      </c>
      <c r="H827" s="197">
        <v>1</v>
      </c>
      <c r="I827" s="85"/>
    </row>
    <row r="828" spans="1:9" ht="40.5" x14ac:dyDescent="0.3">
      <c r="A828" s="60">
        <f t="shared" si="65"/>
        <v>6727</v>
      </c>
      <c r="B828" s="194" t="s">
        <v>392</v>
      </c>
      <c r="C828" s="195" t="s">
        <v>584</v>
      </c>
      <c r="D828" s="196"/>
      <c r="E828" s="197" t="s">
        <v>123</v>
      </c>
      <c r="F828" s="197" t="s">
        <v>1044</v>
      </c>
      <c r="G828" s="197">
        <f t="shared" si="64"/>
        <v>1</v>
      </c>
      <c r="H828" s="197">
        <v>1</v>
      </c>
      <c r="I828" s="85"/>
    </row>
    <row r="829" spans="1:9" ht="13.5" customHeight="1" x14ac:dyDescent="0.3">
      <c r="A829" s="60">
        <f t="shared" si="65"/>
        <v>6728</v>
      </c>
      <c r="B829" s="194" t="s">
        <v>385</v>
      </c>
      <c r="C829" s="195" t="s">
        <v>571</v>
      </c>
      <c r="D829" s="196"/>
      <c r="E829" s="197" t="s">
        <v>123</v>
      </c>
      <c r="F829" s="197" t="s">
        <v>1044</v>
      </c>
      <c r="G829" s="197">
        <f t="shared" si="64"/>
        <v>1</v>
      </c>
      <c r="H829" s="197">
        <v>1</v>
      </c>
      <c r="I829" s="85"/>
    </row>
    <row r="830" spans="1:9" ht="13.5" customHeight="1" x14ac:dyDescent="0.3">
      <c r="A830" s="60">
        <f t="shared" si="65"/>
        <v>6729</v>
      </c>
      <c r="B830" s="194" t="s">
        <v>386</v>
      </c>
      <c r="C830" s="195" t="s">
        <v>569</v>
      </c>
      <c r="D830" s="196"/>
      <c r="E830" s="197" t="s">
        <v>123</v>
      </c>
      <c r="F830" s="197" t="s">
        <v>1044</v>
      </c>
      <c r="G830" s="197">
        <f t="shared" si="64"/>
        <v>1</v>
      </c>
      <c r="H830" s="197">
        <v>1</v>
      </c>
      <c r="I830" s="85"/>
    </row>
    <row r="831" spans="1:9" ht="13.5" customHeight="1" x14ac:dyDescent="0.3">
      <c r="A831" s="60">
        <f t="shared" si="65"/>
        <v>6730</v>
      </c>
      <c r="B831" s="194" t="s">
        <v>387</v>
      </c>
      <c r="C831" s="195" t="s">
        <v>570</v>
      </c>
      <c r="D831" s="196"/>
      <c r="E831" s="197" t="s">
        <v>123</v>
      </c>
      <c r="F831" s="197" t="s">
        <v>1044</v>
      </c>
      <c r="G831" s="197">
        <f t="shared" si="64"/>
        <v>1</v>
      </c>
      <c r="H831" s="197">
        <v>1</v>
      </c>
      <c r="I831" s="85"/>
    </row>
    <row r="832" spans="1:9" ht="40.5" x14ac:dyDescent="0.3">
      <c r="A832" s="60">
        <f t="shared" si="65"/>
        <v>6731</v>
      </c>
      <c r="B832" s="194" t="s">
        <v>388</v>
      </c>
      <c r="C832" s="195" t="s">
        <v>585</v>
      </c>
      <c r="D832" s="196"/>
      <c r="E832" s="197" t="s">
        <v>123</v>
      </c>
      <c r="F832" s="197" t="s">
        <v>1044</v>
      </c>
      <c r="G832" s="197">
        <f t="shared" si="64"/>
        <v>1</v>
      </c>
      <c r="H832" s="197">
        <v>1</v>
      </c>
      <c r="I832" s="85"/>
    </row>
    <row r="833" spans="1:9" ht="13.5" customHeight="1" x14ac:dyDescent="0.3">
      <c r="A833" s="60">
        <f t="shared" si="65"/>
        <v>6732</v>
      </c>
      <c r="B833" s="194"/>
      <c r="C833" s="195"/>
      <c r="D833" s="197"/>
      <c r="E833" s="197" t="s">
        <v>123</v>
      </c>
      <c r="F833" s="197" t="s">
        <v>1044</v>
      </c>
      <c r="G833" s="197">
        <f t="shared" si="64"/>
        <v>1</v>
      </c>
      <c r="H833" s="197">
        <v>12</v>
      </c>
      <c r="I833" s="85"/>
    </row>
    <row r="834" spans="1:9" ht="13.5" customHeight="1" x14ac:dyDescent="0.3">
      <c r="A834" s="162" t="s">
        <v>511</v>
      </c>
      <c r="B834" s="162"/>
      <c r="C834" s="162"/>
      <c r="D834" s="162"/>
      <c r="E834" s="162"/>
      <c r="F834" s="162"/>
      <c r="G834" s="162"/>
      <c r="H834" s="162"/>
      <c r="I834" s="88"/>
    </row>
    <row r="835" spans="1:9" ht="13.5" customHeight="1" x14ac:dyDescent="0.3">
      <c r="A835" s="181" t="s">
        <v>512</v>
      </c>
      <c r="B835" s="181"/>
      <c r="C835" s="181"/>
      <c r="D835" s="181"/>
      <c r="E835" s="181"/>
      <c r="F835" s="181"/>
      <c r="G835" s="181"/>
      <c r="H835" s="181"/>
      <c r="I835" s="95"/>
    </row>
    <row r="836" spans="1:9" ht="13.5" customHeight="1" x14ac:dyDescent="0.3">
      <c r="A836" s="60">
        <f>A833+G833*H833</f>
        <v>6744</v>
      </c>
      <c r="B836" s="195" t="s">
        <v>223</v>
      </c>
      <c r="C836" s="195"/>
      <c r="D836" s="197"/>
      <c r="E836" s="197" t="s">
        <v>123</v>
      </c>
      <c r="F836" s="197" t="s">
        <v>1044</v>
      </c>
      <c r="G836" s="197">
        <f>IF(OR(E836="U16", E836="S16"),1,IF(E836="TS",6,2))</f>
        <v>1</v>
      </c>
      <c r="H836" s="197">
        <v>1</v>
      </c>
      <c r="I836" s="85"/>
    </row>
    <row r="837" spans="1:9" ht="13.5" customHeight="1" x14ac:dyDescent="0.3">
      <c r="A837" s="60">
        <f>A836+(G836*H836)</f>
        <v>6745</v>
      </c>
      <c r="B837" s="195" t="s">
        <v>224</v>
      </c>
      <c r="C837" s="195"/>
      <c r="D837" s="197"/>
      <c r="E837" s="197" t="s">
        <v>123</v>
      </c>
      <c r="F837" s="197" t="s">
        <v>1044</v>
      </c>
      <c r="G837" s="197">
        <f>IF(OR(E837="U16", E837="S16"),1,IF(E837="TS",6,2))</f>
        <v>1</v>
      </c>
      <c r="H837" s="197">
        <v>1</v>
      </c>
      <c r="I837" s="85"/>
    </row>
    <row r="838" spans="1:9" ht="13.5" customHeight="1" x14ac:dyDescent="0.3">
      <c r="A838" s="60">
        <f>A837+(G837*H837)</f>
        <v>6746</v>
      </c>
      <c r="B838" s="12" t="s">
        <v>225</v>
      </c>
      <c r="C838" s="9"/>
      <c r="D838" s="60"/>
      <c r="E838" s="15" t="s">
        <v>123</v>
      </c>
      <c r="F838" s="15" t="s">
        <v>1044</v>
      </c>
      <c r="G838" s="15">
        <f>IF(OR(E838="U16", E838="S16"),1,IF(E838="TS",6,2))</f>
        <v>1</v>
      </c>
      <c r="H838" s="60">
        <v>1</v>
      </c>
      <c r="I838" s="85"/>
    </row>
    <row r="839" spans="1:9" ht="13.5" customHeight="1" x14ac:dyDescent="0.3">
      <c r="A839" s="60">
        <f>A838+(G838*H838)</f>
        <v>6747</v>
      </c>
      <c r="B839" s="12" t="s">
        <v>226</v>
      </c>
      <c r="C839" s="9"/>
      <c r="D839" s="60"/>
      <c r="E839" s="15" t="s">
        <v>123</v>
      </c>
      <c r="F839" s="15" t="s">
        <v>1044</v>
      </c>
      <c r="G839" s="15">
        <f>IF(OR(E839="U16", E839="S16"),1,IF(E839="TS",6,2))</f>
        <v>1</v>
      </c>
      <c r="H839" s="60">
        <v>1</v>
      </c>
      <c r="I839" s="85"/>
    </row>
    <row r="840" spans="1:9" ht="13.5" customHeight="1" x14ac:dyDescent="0.3">
      <c r="A840" s="181" t="s">
        <v>513</v>
      </c>
      <c r="B840" s="181"/>
      <c r="C840" s="181"/>
      <c r="D840" s="181"/>
      <c r="E840" s="181"/>
      <c r="F840" s="181"/>
      <c r="G840" s="181"/>
      <c r="H840" s="181"/>
      <c r="I840" s="95"/>
    </row>
    <row r="841" spans="1:9" ht="13.5" customHeight="1" x14ac:dyDescent="0.3">
      <c r="A841" s="60">
        <f>A839+(G839*H839)</f>
        <v>6748</v>
      </c>
      <c r="B841" s="195" t="s">
        <v>227</v>
      </c>
      <c r="C841" s="195"/>
      <c r="D841" s="197"/>
      <c r="E841" s="197" t="s">
        <v>123</v>
      </c>
      <c r="F841" s="197" t="s">
        <v>1044</v>
      </c>
      <c r="G841" s="197">
        <f>IF(OR(E841="U16", E841="S16"),1,IF(E841="TS",6,2))</f>
        <v>1</v>
      </c>
      <c r="H841" s="197">
        <v>1</v>
      </c>
      <c r="I841" s="85"/>
    </row>
    <row r="842" spans="1:9" ht="13.5" customHeight="1" x14ac:dyDescent="0.3">
      <c r="A842" s="60">
        <f>A841+(G841*H841)</f>
        <v>6749</v>
      </c>
      <c r="B842" s="195" t="s">
        <v>228</v>
      </c>
      <c r="C842" s="195"/>
      <c r="D842" s="197"/>
      <c r="E842" s="197" t="s">
        <v>123</v>
      </c>
      <c r="F842" s="197" t="s">
        <v>1044</v>
      </c>
      <c r="G842" s="197">
        <f>IF(OR(E842="U16", E842="S16"),1,IF(E842="TS",6,2))</f>
        <v>1</v>
      </c>
      <c r="H842" s="197">
        <v>1</v>
      </c>
      <c r="I842" s="85"/>
    </row>
    <row r="843" spans="1:9" ht="13.5" customHeight="1" x14ac:dyDescent="0.3">
      <c r="A843" s="60">
        <f>A842+(G842*H842)</f>
        <v>6750</v>
      </c>
      <c r="B843" s="195" t="s">
        <v>229</v>
      </c>
      <c r="C843" s="195"/>
      <c r="D843" s="197"/>
      <c r="E843" s="197" t="s">
        <v>123</v>
      </c>
      <c r="F843" s="197" t="s">
        <v>1044</v>
      </c>
      <c r="G843" s="197">
        <f>IF(OR(E843="U16", E843="S16"),1,IF(E843="TS",6,2))</f>
        <v>1</v>
      </c>
      <c r="H843" s="197">
        <v>1</v>
      </c>
      <c r="I843" s="85"/>
    </row>
    <row r="844" spans="1:9" ht="13.5" customHeight="1" x14ac:dyDescent="0.3">
      <c r="A844" s="60">
        <f>A843+(G843*H843)</f>
        <v>6751</v>
      </c>
      <c r="B844" s="195" t="s">
        <v>230</v>
      </c>
      <c r="C844" s="195"/>
      <c r="D844" s="197"/>
      <c r="E844" s="197" t="s">
        <v>123</v>
      </c>
      <c r="F844" s="197" t="s">
        <v>1044</v>
      </c>
      <c r="G844" s="197">
        <f>IF(OR(E844="U16", E844="S16"),1,IF(E844="TS",6,2))</f>
        <v>1</v>
      </c>
      <c r="H844" s="197">
        <v>1</v>
      </c>
      <c r="I844" s="85"/>
    </row>
    <row r="845" spans="1:9" ht="13.5" customHeight="1" x14ac:dyDescent="0.3">
      <c r="A845" s="60">
        <f>A844+(G844*H844)</f>
        <v>6752</v>
      </c>
      <c r="B845" s="195"/>
      <c r="C845" s="195"/>
      <c r="D845" s="197"/>
      <c r="E845" s="197" t="s">
        <v>123</v>
      </c>
      <c r="F845" s="197" t="s">
        <v>1044</v>
      </c>
      <c r="G845" s="197">
        <f>IF(OR(E845="U16", E845="S16"),1,IF(E845="TS",6,2))</f>
        <v>1</v>
      </c>
      <c r="H845" s="197">
        <v>12</v>
      </c>
      <c r="I845" s="85"/>
    </row>
    <row r="846" spans="1:9" ht="13.5" customHeight="1" x14ac:dyDescent="0.3">
      <c r="A846" s="162" t="s">
        <v>393</v>
      </c>
      <c r="B846" s="162"/>
      <c r="C846" s="162"/>
      <c r="D846" s="162"/>
      <c r="E846" s="162"/>
      <c r="F846" s="162"/>
      <c r="G846" s="162"/>
      <c r="H846" s="162"/>
      <c r="I846" s="88"/>
    </row>
    <row r="847" spans="1:9" ht="13.5" customHeight="1" x14ac:dyDescent="0.3">
      <c r="A847" s="60">
        <f>A845+(G845*H845)</f>
        <v>6764</v>
      </c>
      <c r="B847" s="9" t="s">
        <v>1241</v>
      </c>
      <c r="C847" s="9" t="s">
        <v>1239</v>
      </c>
      <c r="D847" s="60"/>
      <c r="E847" s="15" t="s">
        <v>123</v>
      </c>
      <c r="F847" s="15" t="s">
        <v>1044</v>
      </c>
      <c r="G847" s="15">
        <f t="shared" ref="G847:G880" si="66">IF(OR(E847="U16", E847="S16"),1,IF(E847="TS",6,2))</f>
        <v>1</v>
      </c>
      <c r="H847" s="60">
        <v>1</v>
      </c>
      <c r="I847" s="85"/>
    </row>
    <row r="848" spans="1:9" ht="121.5" x14ac:dyDescent="0.3">
      <c r="A848" s="60">
        <f t="shared" ref="A848:A912" si="67">A847+(G847*H847)</f>
        <v>6765</v>
      </c>
      <c r="B848" s="9" t="s">
        <v>476</v>
      </c>
      <c r="C848" s="9" t="s">
        <v>1240</v>
      </c>
      <c r="D848" s="60"/>
      <c r="E848" s="15" t="s">
        <v>123</v>
      </c>
      <c r="F848" s="15" t="s">
        <v>1044</v>
      </c>
      <c r="G848" s="15">
        <f>IF(OR(E848="U16", E848="S16"),1,IF(E848="TS",6,2))</f>
        <v>1</v>
      </c>
      <c r="H848" s="60">
        <v>1</v>
      </c>
      <c r="I848" s="85"/>
    </row>
    <row r="849" spans="1:9" ht="13.5" customHeight="1" x14ac:dyDescent="0.3">
      <c r="A849" s="60">
        <f t="shared" si="67"/>
        <v>6766</v>
      </c>
      <c r="B849" s="195" t="s">
        <v>525</v>
      </c>
      <c r="C849" s="195" t="s">
        <v>1243</v>
      </c>
      <c r="D849" s="196"/>
      <c r="E849" s="197" t="s">
        <v>123</v>
      </c>
      <c r="F849" s="197" t="s">
        <v>1044</v>
      </c>
      <c r="G849" s="197">
        <f t="shared" si="66"/>
        <v>1</v>
      </c>
      <c r="H849" s="197">
        <v>1</v>
      </c>
      <c r="I849" s="85"/>
    </row>
    <row r="850" spans="1:9" ht="13.5" customHeight="1" x14ac:dyDescent="0.3">
      <c r="A850" s="60">
        <f t="shared" si="67"/>
        <v>6767</v>
      </c>
      <c r="B850" s="9" t="s">
        <v>443</v>
      </c>
      <c r="C850" s="9" t="s">
        <v>1244</v>
      </c>
      <c r="D850" s="33"/>
      <c r="E850" s="15" t="s">
        <v>123</v>
      </c>
      <c r="F850" s="15" t="s">
        <v>1044</v>
      </c>
      <c r="G850" s="15">
        <f t="shared" si="66"/>
        <v>1</v>
      </c>
      <c r="H850" s="60">
        <v>1</v>
      </c>
      <c r="I850" s="85"/>
    </row>
    <row r="851" spans="1:9" ht="13.5" customHeight="1" x14ac:dyDescent="0.3">
      <c r="A851" s="60">
        <f t="shared" si="67"/>
        <v>6768</v>
      </c>
      <c r="B851" s="9" t="s">
        <v>444</v>
      </c>
      <c r="C851" s="9"/>
      <c r="D851" s="33"/>
      <c r="E851" s="15" t="s">
        <v>123</v>
      </c>
      <c r="F851" s="15" t="s">
        <v>1044</v>
      </c>
      <c r="G851" s="15">
        <f t="shared" si="66"/>
        <v>1</v>
      </c>
      <c r="H851" s="60">
        <v>1</v>
      </c>
      <c r="I851" s="85"/>
    </row>
    <row r="852" spans="1:9" ht="13.5" customHeight="1" x14ac:dyDescent="0.3">
      <c r="A852" s="60">
        <f t="shared" si="67"/>
        <v>6769</v>
      </c>
      <c r="B852" s="9" t="s">
        <v>445</v>
      </c>
      <c r="C852" s="9"/>
      <c r="D852" s="33"/>
      <c r="E852" s="15" t="s">
        <v>123</v>
      </c>
      <c r="F852" s="15" t="s">
        <v>1044</v>
      </c>
      <c r="G852" s="15">
        <f t="shared" si="66"/>
        <v>1</v>
      </c>
      <c r="H852" s="60">
        <v>1</v>
      </c>
      <c r="I852" s="85"/>
    </row>
    <row r="853" spans="1:9" ht="13.5" customHeight="1" x14ac:dyDescent="0.3">
      <c r="A853" s="60">
        <f t="shared" si="67"/>
        <v>6770</v>
      </c>
      <c r="B853" s="9" t="s">
        <v>446</v>
      </c>
      <c r="C853" s="9"/>
      <c r="D853" s="33"/>
      <c r="E853" s="15" t="s">
        <v>123</v>
      </c>
      <c r="F853" s="15" t="s">
        <v>1044</v>
      </c>
      <c r="G853" s="15">
        <f t="shared" si="66"/>
        <v>1</v>
      </c>
      <c r="H853" s="60">
        <v>1</v>
      </c>
      <c r="I853" s="85"/>
    </row>
    <row r="854" spans="1:9" ht="13.5" customHeight="1" x14ac:dyDescent="0.3">
      <c r="A854" s="60">
        <f t="shared" si="67"/>
        <v>6771</v>
      </c>
      <c r="B854" s="9" t="s">
        <v>447</v>
      </c>
      <c r="C854" s="9"/>
      <c r="D854" s="33"/>
      <c r="E854" s="15" t="s">
        <v>123</v>
      </c>
      <c r="F854" s="15" t="s">
        <v>1044</v>
      </c>
      <c r="G854" s="15">
        <f t="shared" si="66"/>
        <v>1</v>
      </c>
      <c r="H854" s="60">
        <v>1</v>
      </c>
      <c r="I854" s="85"/>
    </row>
    <row r="855" spans="1:9" ht="13.5" customHeight="1" x14ac:dyDescent="0.3">
      <c r="A855" s="60">
        <f t="shared" si="67"/>
        <v>6772</v>
      </c>
      <c r="B855" s="9" t="s">
        <v>448</v>
      </c>
      <c r="C855" s="9"/>
      <c r="D855" s="33"/>
      <c r="E855" s="15" t="s">
        <v>123</v>
      </c>
      <c r="F855" s="15" t="s">
        <v>1044</v>
      </c>
      <c r="G855" s="15">
        <f t="shared" si="66"/>
        <v>1</v>
      </c>
      <c r="H855" s="60">
        <v>1</v>
      </c>
      <c r="I855" s="85"/>
    </row>
    <row r="856" spans="1:9" ht="13.5" customHeight="1" x14ac:dyDescent="0.3">
      <c r="A856" s="60">
        <f t="shared" si="67"/>
        <v>6773</v>
      </c>
      <c r="B856" s="9" t="s">
        <v>449</v>
      </c>
      <c r="C856" s="9"/>
      <c r="D856" s="33"/>
      <c r="E856" s="15" t="s">
        <v>123</v>
      </c>
      <c r="F856" s="15" t="s">
        <v>1044</v>
      </c>
      <c r="G856" s="15">
        <f t="shared" si="66"/>
        <v>1</v>
      </c>
      <c r="H856" s="60">
        <v>1</v>
      </c>
      <c r="I856" s="85"/>
    </row>
    <row r="857" spans="1:9" ht="13.5" customHeight="1" x14ac:dyDescent="0.3">
      <c r="A857" s="60">
        <f t="shared" si="67"/>
        <v>6774</v>
      </c>
      <c r="B857" s="9" t="s">
        <v>450</v>
      </c>
      <c r="C857" s="9"/>
      <c r="D857" s="33"/>
      <c r="E857" s="15" t="s">
        <v>123</v>
      </c>
      <c r="F857" s="15" t="s">
        <v>1044</v>
      </c>
      <c r="G857" s="15">
        <f t="shared" si="66"/>
        <v>1</v>
      </c>
      <c r="H857" s="60">
        <v>1</v>
      </c>
      <c r="I857" s="85"/>
    </row>
    <row r="858" spans="1:9" ht="13.5" customHeight="1" x14ac:dyDescent="0.3">
      <c r="A858" s="60">
        <f t="shared" si="67"/>
        <v>6775</v>
      </c>
      <c r="B858" s="9" t="s">
        <v>451</v>
      </c>
      <c r="C858" s="9"/>
      <c r="D858" s="33"/>
      <c r="E858" s="15" t="s">
        <v>123</v>
      </c>
      <c r="F858" s="15" t="s">
        <v>1044</v>
      </c>
      <c r="G858" s="15">
        <f t="shared" si="66"/>
        <v>1</v>
      </c>
      <c r="H858" s="60">
        <v>1</v>
      </c>
      <c r="I858" s="85"/>
    </row>
    <row r="859" spans="1:9" ht="13.5" customHeight="1" x14ac:dyDescent="0.3">
      <c r="A859" s="60">
        <f t="shared" si="67"/>
        <v>6776</v>
      </c>
      <c r="B859" s="9" t="s">
        <v>452</v>
      </c>
      <c r="C859" s="9"/>
      <c r="D859" s="33"/>
      <c r="E859" s="15" t="s">
        <v>123</v>
      </c>
      <c r="F859" s="15" t="s">
        <v>1044</v>
      </c>
      <c r="G859" s="15">
        <f t="shared" si="66"/>
        <v>1</v>
      </c>
      <c r="H859" s="60">
        <v>1</v>
      </c>
      <c r="I859" s="85"/>
    </row>
    <row r="860" spans="1:9" ht="13.5" customHeight="1" x14ac:dyDescent="0.3">
      <c r="A860" s="60">
        <f t="shared" si="67"/>
        <v>6777</v>
      </c>
      <c r="B860" s="9" t="s">
        <v>453</v>
      </c>
      <c r="C860" s="9"/>
      <c r="D860" s="33"/>
      <c r="E860" s="15" t="s">
        <v>123</v>
      </c>
      <c r="F860" s="15" t="s">
        <v>1044</v>
      </c>
      <c r="G860" s="15">
        <f t="shared" si="66"/>
        <v>1</v>
      </c>
      <c r="H860" s="60">
        <v>1</v>
      </c>
      <c r="I860" s="85"/>
    </row>
    <row r="861" spans="1:9" ht="13.5" customHeight="1" x14ac:dyDescent="0.3">
      <c r="A861" s="60">
        <f t="shared" si="67"/>
        <v>6778</v>
      </c>
      <c r="B861" s="9" t="s">
        <v>454</v>
      </c>
      <c r="C861" s="9"/>
      <c r="D861" s="33"/>
      <c r="E861" s="15" t="s">
        <v>123</v>
      </c>
      <c r="F861" s="15" t="s">
        <v>1044</v>
      </c>
      <c r="G861" s="15">
        <f t="shared" si="66"/>
        <v>1</v>
      </c>
      <c r="H861" s="60">
        <v>1</v>
      </c>
      <c r="I861" s="85"/>
    </row>
    <row r="862" spans="1:9" ht="13.5" customHeight="1" x14ac:dyDescent="0.3">
      <c r="A862" s="60">
        <f t="shared" si="67"/>
        <v>6779</v>
      </c>
      <c r="B862" s="9" t="s">
        <v>455</v>
      </c>
      <c r="C862" s="9"/>
      <c r="D862" s="33"/>
      <c r="E862" s="15" t="s">
        <v>123</v>
      </c>
      <c r="F862" s="15" t="s">
        <v>1044</v>
      </c>
      <c r="G862" s="15">
        <f t="shared" si="66"/>
        <v>1</v>
      </c>
      <c r="H862" s="60">
        <v>1</v>
      </c>
      <c r="I862" s="85"/>
    </row>
    <row r="863" spans="1:9" ht="13.5" customHeight="1" x14ac:dyDescent="0.3">
      <c r="A863" s="60">
        <f t="shared" si="67"/>
        <v>6780</v>
      </c>
      <c r="B863" s="9" t="s">
        <v>456</v>
      </c>
      <c r="C863" s="9"/>
      <c r="D863" s="33"/>
      <c r="E863" s="15" t="s">
        <v>123</v>
      </c>
      <c r="F863" s="15" t="s">
        <v>1044</v>
      </c>
      <c r="G863" s="15">
        <f t="shared" si="66"/>
        <v>1</v>
      </c>
      <c r="H863" s="60">
        <v>1</v>
      </c>
      <c r="I863" s="85"/>
    </row>
    <row r="864" spans="1:9" ht="13.5" customHeight="1" x14ac:dyDescent="0.3">
      <c r="A864" s="60">
        <f t="shared" si="67"/>
        <v>6781</v>
      </c>
      <c r="B864" s="9" t="s">
        <v>457</v>
      </c>
      <c r="C864" s="9"/>
      <c r="D864" s="33"/>
      <c r="E864" s="15" t="s">
        <v>123</v>
      </c>
      <c r="F864" s="15" t="s">
        <v>1044</v>
      </c>
      <c r="G864" s="15">
        <f t="shared" si="66"/>
        <v>1</v>
      </c>
      <c r="H864" s="60">
        <v>1</v>
      </c>
      <c r="I864" s="85"/>
    </row>
    <row r="865" spans="1:9" ht="13.5" customHeight="1" x14ac:dyDescent="0.3">
      <c r="A865" s="60">
        <f t="shared" si="67"/>
        <v>6782</v>
      </c>
      <c r="B865" s="9" t="s">
        <v>458</v>
      </c>
      <c r="C865" s="9"/>
      <c r="D865" s="33"/>
      <c r="E865" s="15" t="s">
        <v>123</v>
      </c>
      <c r="F865" s="15" t="s">
        <v>1044</v>
      </c>
      <c r="G865" s="15">
        <f t="shared" si="66"/>
        <v>1</v>
      </c>
      <c r="H865" s="60">
        <v>1</v>
      </c>
      <c r="I865" s="85"/>
    </row>
    <row r="866" spans="1:9" ht="13.5" customHeight="1" x14ac:dyDescent="0.3">
      <c r="A866" s="60">
        <f t="shared" si="67"/>
        <v>6783</v>
      </c>
      <c r="B866" s="9" t="s">
        <v>520</v>
      </c>
      <c r="C866" s="9"/>
      <c r="D866" s="33"/>
      <c r="E866" s="15" t="s">
        <v>123</v>
      </c>
      <c r="F866" s="15" t="s">
        <v>1044</v>
      </c>
      <c r="G866" s="15">
        <f t="shared" si="66"/>
        <v>1</v>
      </c>
      <c r="H866" s="60">
        <v>1</v>
      </c>
      <c r="I866" s="85"/>
    </row>
    <row r="867" spans="1:9" ht="13.5" customHeight="1" x14ac:dyDescent="0.3">
      <c r="A867" s="60">
        <f t="shared" si="67"/>
        <v>6784</v>
      </c>
      <c r="B867" s="9" t="s">
        <v>521</v>
      </c>
      <c r="C867" s="9"/>
      <c r="D867" s="33"/>
      <c r="E867" s="15" t="s">
        <v>123</v>
      </c>
      <c r="F867" s="15" t="s">
        <v>1044</v>
      </c>
      <c r="G867" s="15">
        <f t="shared" si="66"/>
        <v>1</v>
      </c>
      <c r="H867" s="60">
        <v>1</v>
      </c>
      <c r="I867" s="85"/>
    </row>
    <row r="868" spans="1:9" ht="13.5" customHeight="1" x14ac:dyDescent="0.3">
      <c r="A868" s="60">
        <f t="shared" si="67"/>
        <v>6785</v>
      </c>
      <c r="B868" s="195" t="s">
        <v>525</v>
      </c>
      <c r="C868" s="195"/>
      <c r="D868" s="196"/>
      <c r="E868" s="197" t="s">
        <v>123</v>
      </c>
      <c r="F868" s="197" t="s">
        <v>1044</v>
      </c>
      <c r="G868" s="197">
        <f>IF(OR(E868="U16", E868="S16"),1,IF(E868="TS",6,2))</f>
        <v>1</v>
      </c>
      <c r="H868" s="197">
        <v>1</v>
      </c>
      <c r="I868" s="85"/>
    </row>
    <row r="869" spans="1:9" ht="13.5" customHeight="1" x14ac:dyDescent="0.3">
      <c r="A869" s="60">
        <f t="shared" si="67"/>
        <v>6786</v>
      </c>
      <c r="B869" s="9" t="s">
        <v>459</v>
      </c>
      <c r="C869" s="9"/>
      <c r="D869" s="33"/>
      <c r="E869" s="15" t="s">
        <v>123</v>
      </c>
      <c r="F869" s="15" t="s">
        <v>1044</v>
      </c>
      <c r="G869" s="15">
        <f t="shared" si="66"/>
        <v>1</v>
      </c>
      <c r="H869" s="60">
        <v>1</v>
      </c>
      <c r="I869" s="85"/>
    </row>
    <row r="870" spans="1:9" ht="13.5" customHeight="1" x14ac:dyDescent="0.3">
      <c r="A870" s="60">
        <f t="shared" si="67"/>
        <v>6787</v>
      </c>
      <c r="B870" s="9" t="s">
        <v>460</v>
      </c>
      <c r="C870" s="9"/>
      <c r="D870" s="33"/>
      <c r="E870" s="15" t="s">
        <v>123</v>
      </c>
      <c r="F870" s="15" t="s">
        <v>1044</v>
      </c>
      <c r="G870" s="15">
        <f t="shared" si="66"/>
        <v>1</v>
      </c>
      <c r="H870" s="60">
        <v>1</v>
      </c>
      <c r="I870" s="85"/>
    </row>
    <row r="871" spans="1:9" ht="13.5" customHeight="1" x14ac:dyDescent="0.3">
      <c r="A871" s="60">
        <f t="shared" si="67"/>
        <v>6788</v>
      </c>
      <c r="B871" s="9" t="s">
        <v>461</v>
      </c>
      <c r="C871" s="9"/>
      <c r="D871" s="33"/>
      <c r="E871" s="15" t="s">
        <v>123</v>
      </c>
      <c r="F871" s="15" t="s">
        <v>1044</v>
      </c>
      <c r="G871" s="15">
        <f t="shared" si="66"/>
        <v>1</v>
      </c>
      <c r="H871" s="60">
        <v>1</v>
      </c>
      <c r="I871" s="85"/>
    </row>
    <row r="872" spans="1:9" ht="13.5" customHeight="1" x14ac:dyDescent="0.3">
      <c r="A872" s="60">
        <f t="shared" si="67"/>
        <v>6789</v>
      </c>
      <c r="B872" s="9" t="s">
        <v>462</v>
      </c>
      <c r="C872" s="9"/>
      <c r="D872" s="33"/>
      <c r="E872" s="15" t="s">
        <v>123</v>
      </c>
      <c r="F872" s="15" t="s">
        <v>1044</v>
      </c>
      <c r="G872" s="15">
        <f t="shared" si="66"/>
        <v>1</v>
      </c>
      <c r="H872" s="60">
        <v>1</v>
      </c>
      <c r="I872" s="85"/>
    </row>
    <row r="873" spans="1:9" ht="13.5" customHeight="1" x14ac:dyDescent="0.3">
      <c r="A873" s="60">
        <f t="shared" si="67"/>
        <v>6790</v>
      </c>
      <c r="B873" s="9" t="s">
        <v>463</v>
      </c>
      <c r="C873" s="9"/>
      <c r="D873" s="33"/>
      <c r="E873" s="15" t="s">
        <v>123</v>
      </c>
      <c r="F873" s="15" t="s">
        <v>1044</v>
      </c>
      <c r="G873" s="15">
        <f t="shared" si="66"/>
        <v>1</v>
      </c>
      <c r="H873" s="60">
        <v>1</v>
      </c>
      <c r="I873" s="85"/>
    </row>
    <row r="874" spans="1:9" ht="13.5" customHeight="1" x14ac:dyDescent="0.3">
      <c r="A874" s="60">
        <f t="shared" si="67"/>
        <v>6791</v>
      </c>
      <c r="B874" s="9" t="s">
        <v>464</v>
      </c>
      <c r="C874" s="9"/>
      <c r="D874" s="33"/>
      <c r="E874" s="15" t="s">
        <v>123</v>
      </c>
      <c r="F874" s="15" t="s">
        <v>1044</v>
      </c>
      <c r="G874" s="15">
        <f t="shared" si="66"/>
        <v>1</v>
      </c>
      <c r="H874" s="60">
        <v>1</v>
      </c>
      <c r="I874" s="85"/>
    </row>
    <row r="875" spans="1:9" ht="13.5" customHeight="1" x14ac:dyDescent="0.3">
      <c r="A875" s="60">
        <f t="shared" si="67"/>
        <v>6792</v>
      </c>
      <c r="B875" s="9" t="s">
        <v>465</v>
      </c>
      <c r="C875" s="9"/>
      <c r="D875" s="33"/>
      <c r="E875" s="15" t="s">
        <v>123</v>
      </c>
      <c r="F875" s="15" t="s">
        <v>1044</v>
      </c>
      <c r="G875" s="15">
        <f t="shared" si="66"/>
        <v>1</v>
      </c>
      <c r="H875" s="60">
        <v>1</v>
      </c>
      <c r="I875" s="85"/>
    </row>
    <row r="876" spans="1:9" ht="13.5" customHeight="1" x14ac:dyDescent="0.3">
      <c r="A876" s="60">
        <f t="shared" si="67"/>
        <v>6793</v>
      </c>
      <c r="B876" s="9" t="s">
        <v>466</v>
      </c>
      <c r="C876" s="9"/>
      <c r="D876" s="33"/>
      <c r="E876" s="15" t="s">
        <v>123</v>
      </c>
      <c r="F876" s="15" t="s">
        <v>1044</v>
      </c>
      <c r="G876" s="15">
        <f t="shared" si="66"/>
        <v>1</v>
      </c>
      <c r="H876" s="60">
        <v>1</v>
      </c>
      <c r="I876" s="85"/>
    </row>
    <row r="877" spans="1:9" ht="13.5" customHeight="1" x14ac:dyDescent="0.3">
      <c r="A877" s="60">
        <f t="shared" si="67"/>
        <v>6794</v>
      </c>
      <c r="B877" s="9" t="s">
        <v>467</v>
      </c>
      <c r="C877" s="9"/>
      <c r="D877" s="33"/>
      <c r="E877" s="15" t="s">
        <v>123</v>
      </c>
      <c r="F877" s="15" t="s">
        <v>1044</v>
      </c>
      <c r="G877" s="15">
        <f t="shared" si="66"/>
        <v>1</v>
      </c>
      <c r="H877" s="60">
        <v>1</v>
      </c>
      <c r="I877" s="85"/>
    </row>
    <row r="878" spans="1:9" ht="15" customHeight="1" x14ac:dyDescent="0.3">
      <c r="A878" s="60">
        <f t="shared" si="67"/>
        <v>6795</v>
      </c>
      <c r="B878" s="9" t="s">
        <v>468</v>
      </c>
      <c r="C878" s="9"/>
      <c r="D878" s="33"/>
      <c r="E878" s="15" t="s">
        <v>123</v>
      </c>
      <c r="F878" s="15" t="s">
        <v>1044</v>
      </c>
      <c r="G878" s="15">
        <f t="shared" si="66"/>
        <v>1</v>
      </c>
      <c r="H878" s="60">
        <v>1</v>
      </c>
      <c r="I878" s="85"/>
    </row>
    <row r="879" spans="1:9" ht="15" customHeight="1" x14ac:dyDescent="0.3">
      <c r="A879" s="60">
        <f t="shared" si="67"/>
        <v>6796</v>
      </c>
      <c r="B879" s="9" t="s">
        <v>469</v>
      </c>
      <c r="C879" s="9"/>
      <c r="D879" s="33"/>
      <c r="E879" s="15" t="s">
        <v>123</v>
      </c>
      <c r="F879" s="15" t="s">
        <v>1044</v>
      </c>
      <c r="G879" s="15">
        <f t="shared" si="66"/>
        <v>1</v>
      </c>
      <c r="H879" s="60">
        <v>1</v>
      </c>
      <c r="I879" s="85"/>
    </row>
    <row r="880" spans="1:9" ht="15" customHeight="1" x14ac:dyDescent="0.3">
      <c r="A880" s="60">
        <f t="shared" si="67"/>
        <v>6797</v>
      </c>
      <c r="B880" s="9" t="s">
        <v>470</v>
      </c>
      <c r="C880" s="9"/>
      <c r="D880" s="33"/>
      <c r="E880" s="15" t="s">
        <v>123</v>
      </c>
      <c r="F880" s="15" t="s">
        <v>1044</v>
      </c>
      <c r="G880" s="15">
        <f t="shared" si="66"/>
        <v>1</v>
      </c>
      <c r="H880" s="60">
        <v>1</v>
      </c>
      <c r="I880" s="85"/>
    </row>
    <row r="881" spans="1:9" ht="15" customHeight="1" x14ac:dyDescent="0.3">
      <c r="A881" s="60">
        <f t="shared" si="67"/>
        <v>6798</v>
      </c>
      <c r="B881" s="9" t="s">
        <v>471</v>
      </c>
      <c r="C881" s="9"/>
      <c r="D881" s="33"/>
      <c r="E881" s="15" t="s">
        <v>123</v>
      </c>
      <c r="F881" s="15" t="s">
        <v>1044</v>
      </c>
      <c r="G881" s="15">
        <f t="shared" ref="G881:G912" si="68">IF(OR(E881="U16", E881="S16"),1,IF(E881="TS",6,2))</f>
        <v>1</v>
      </c>
      <c r="H881" s="60">
        <v>1</v>
      </c>
      <c r="I881" s="85"/>
    </row>
    <row r="882" spans="1:9" ht="15" customHeight="1" x14ac:dyDescent="0.3">
      <c r="A882" s="60">
        <f t="shared" si="67"/>
        <v>6799</v>
      </c>
      <c r="B882" s="9" t="s">
        <v>472</v>
      </c>
      <c r="C882" s="9"/>
      <c r="D882" s="33"/>
      <c r="E882" s="15" t="s">
        <v>123</v>
      </c>
      <c r="F882" s="15" t="s">
        <v>1044</v>
      </c>
      <c r="G882" s="15">
        <f t="shared" si="68"/>
        <v>1</v>
      </c>
      <c r="H882" s="60">
        <v>1</v>
      </c>
      <c r="I882" s="85"/>
    </row>
    <row r="883" spans="1:9" ht="15" customHeight="1" x14ac:dyDescent="0.3">
      <c r="A883" s="60">
        <f t="shared" si="67"/>
        <v>6800</v>
      </c>
      <c r="B883" s="9" t="s">
        <v>473</v>
      </c>
      <c r="C883" s="9"/>
      <c r="D883" s="33"/>
      <c r="E883" s="15" t="s">
        <v>123</v>
      </c>
      <c r="F883" s="15" t="s">
        <v>1044</v>
      </c>
      <c r="G883" s="15">
        <f t="shared" si="68"/>
        <v>1</v>
      </c>
      <c r="H883" s="60">
        <v>1</v>
      </c>
      <c r="I883" s="85"/>
    </row>
    <row r="884" spans="1:9" ht="15" customHeight="1" x14ac:dyDescent="0.3">
      <c r="A884" s="60">
        <f t="shared" si="67"/>
        <v>6801</v>
      </c>
      <c r="B884" s="9" t="s">
        <v>474</v>
      </c>
      <c r="C884" s="9"/>
      <c r="D884" s="33"/>
      <c r="E884" s="15" t="s">
        <v>123</v>
      </c>
      <c r="F884" s="15" t="s">
        <v>1044</v>
      </c>
      <c r="G884" s="15">
        <f t="shared" si="68"/>
        <v>1</v>
      </c>
      <c r="H884" s="60">
        <v>1</v>
      </c>
      <c r="I884" s="85"/>
    </row>
    <row r="885" spans="1:9" ht="15" customHeight="1" x14ac:dyDescent="0.3">
      <c r="A885" s="60">
        <f t="shared" si="67"/>
        <v>6802</v>
      </c>
      <c r="B885" s="9" t="s">
        <v>523</v>
      </c>
      <c r="C885" s="9"/>
      <c r="D885" s="33"/>
      <c r="E885" s="15" t="s">
        <v>123</v>
      </c>
      <c r="F885" s="15" t="s">
        <v>1044</v>
      </c>
      <c r="G885" s="15">
        <f t="shared" si="68"/>
        <v>1</v>
      </c>
      <c r="H885" s="60">
        <v>1</v>
      </c>
      <c r="I885" s="85"/>
    </row>
    <row r="886" spans="1:9" ht="15" customHeight="1" x14ac:dyDescent="0.3">
      <c r="A886" s="60">
        <f t="shared" si="67"/>
        <v>6803</v>
      </c>
      <c r="B886" s="9" t="s">
        <v>524</v>
      </c>
      <c r="C886" s="9"/>
      <c r="D886" s="33"/>
      <c r="E886" s="15" t="s">
        <v>123</v>
      </c>
      <c r="F886" s="15" t="s">
        <v>1044</v>
      </c>
      <c r="G886" s="15">
        <f t="shared" si="68"/>
        <v>1</v>
      </c>
      <c r="H886" s="60">
        <v>1</v>
      </c>
      <c r="I886" s="85"/>
    </row>
    <row r="887" spans="1:9" ht="15" customHeight="1" x14ac:dyDescent="0.3">
      <c r="A887" s="60">
        <f t="shared" si="67"/>
        <v>6804</v>
      </c>
      <c r="B887" s="195" t="s">
        <v>522</v>
      </c>
      <c r="C887" s="195"/>
      <c r="D887" s="196"/>
      <c r="E887" s="197" t="s">
        <v>123</v>
      </c>
      <c r="F887" s="197" t="s">
        <v>1044</v>
      </c>
      <c r="G887" s="197">
        <f t="shared" si="68"/>
        <v>1</v>
      </c>
      <c r="H887" s="197">
        <v>1</v>
      </c>
      <c r="I887" s="85"/>
    </row>
    <row r="888" spans="1:9" ht="15" customHeight="1" x14ac:dyDescent="0.3">
      <c r="A888" s="60">
        <f t="shared" si="67"/>
        <v>6805</v>
      </c>
      <c r="B888" s="9" t="s">
        <v>477</v>
      </c>
      <c r="C888" s="9"/>
      <c r="D888" s="33"/>
      <c r="E888" s="15" t="s">
        <v>123</v>
      </c>
      <c r="F888" s="15" t="s">
        <v>1044</v>
      </c>
      <c r="G888" s="15">
        <f t="shared" si="68"/>
        <v>1</v>
      </c>
      <c r="H888" s="60">
        <v>1</v>
      </c>
      <c r="I888" s="85"/>
    </row>
    <row r="889" spans="1:9" ht="15" customHeight="1" x14ac:dyDescent="0.3">
      <c r="A889" s="60">
        <f t="shared" si="67"/>
        <v>6806</v>
      </c>
      <c r="B889" s="9" t="s">
        <v>478</v>
      </c>
      <c r="C889" s="9"/>
      <c r="D889" s="33"/>
      <c r="E889" s="15" t="s">
        <v>123</v>
      </c>
      <c r="F889" s="15" t="s">
        <v>1044</v>
      </c>
      <c r="G889" s="15">
        <f t="shared" si="68"/>
        <v>1</v>
      </c>
      <c r="H889" s="60">
        <v>1</v>
      </c>
      <c r="I889" s="85"/>
    </row>
    <row r="890" spans="1:9" ht="15" customHeight="1" x14ac:dyDescent="0.3">
      <c r="A890" s="60">
        <f t="shared" si="67"/>
        <v>6807</v>
      </c>
      <c r="B890" s="9" t="s">
        <v>479</v>
      </c>
      <c r="C890" s="9"/>
      <c r="D890" s="33"/>
      <c r="E890" s="15" t="s">
        <v>123</v>
      </c>
      <c r="F890" s="15" t="s">
        <v>1044</v>
      </c>
      <c r="G890" s="15">
        <f t="shared" si="68"/>
        <v>1</v>
      </c>
      <c r="H890" s="60">
        <v>1</v>
      </c>
      <c r="I890" s="85"/>
    </row>
    <row r="891" spans="1:9" ht="15" customHeight="1" x14ac:dyDescent="0.3">
      <c r="A891" s="60">
        <f t="shared" si="67"/>
        <v>6808</v>
      </c>
      <c r="B891" s="9" t="s">
        <v>480</v>
      </c>
      <c r="C891" s="9"/>
      <c r="D891" s="33"/>
      <c r="E891" s="15" t="s">
        <v>123</v>
      </c>
      <c r="F891" s="15" t="s">
        <v>1044</v>
      </c>
      <c r="G891" s="15">
        <f t="shared" si="68"/>
        <v>1</v>
      </c>
      <c r="H891" s="60">
        <v>1</v>
      </c>
      <c r="I891" s="85"/>
    </row>
    <row r="892" spans="1:9" ht="15" customHeight="1" x14ac:dyDescent="0.3">
      <c r="A892" s="60">
        <f t="shared" si="67"/>
        <v>6809</v>
      </c>
      <c r="B892" s="9" t="s">
        <v>481</v>
      </c>
      <c r="C892" s="9"/>
      <c r="D892" s="33"/>
      <c r="E892" s="15" t="s">
        <v>123</v>
      </c>
      <c r="F892" s="15" t="s">
        <v>1044</v>
      </c>
      <c r="G892" s="15">
        <f t="shared" si="68"/>
        <v>1</v>
      </c>
      <c r="H892" s="60">
        <v>1</v>
      </c>
      <c r="I892" s="85"/>
    </row>
    <row r="893" spans="1:9" ht="15" customHeight="1" x14ac:dyDescent="0.3">
      <c r="A893" s="60">
        <f t="shared" si="67"/>
        <v>6810</v>
      </c>
      <c r="B893" s="9" t="s">
        <v>482</v>
      </c>
      <c r="C893" s="9"/>
      <c r="D893" s="33"/>
      <c r="E893" s="15" t="s">
        <v>123</v>
      </c>
      <c r="F893" s="15" t="s">
        <v>1044</v>
      </c>
      <c r="G893" s="15">
        <f t="shared" si="68"/>
        <v>1</v>
      </c>
      <c r="H893" s="60">
        <v>1</v>
      </c>
      <c r="I893" s="85"/>
    </row>
    <row r="894" spans="1:9" ht="15" customHeight="1" x14ac:dyDescent="0.3">
      <c r="A894" s="60">
        <f t="shared" si="67"/>
        <v>6811</v>
      </c>
      <c r="B894" s="9" t="s">
        <v>483</v>
      </c>
      <c r="C894" s="9"/>
      <c r="D894" s="33"/>
      <c r="E894" s="15" t="s">
        <v>123</v>
      </c>
      <c r="F894" s="15" t="s">
        <v>1044</v>
      </c>
      <c r="G894" s="15">
        <f t="shared" si="68"/>
        <v>1</v>
      </c>
      <c r="H894" s="60">
        <v>1</v>
      </c>
      <c r="I894" s="85"/>
    </row>
    <row r="895" spans="1:9" ht="15" customHeight="1" x14ac:dyDescent="0.3">
      <c r="A895" s="60">
        <f t="shared" si="67"/>
        <v>6812</v>
      </c>
      <c r="B895" s="9" t="s">
        <v>484</v>
      </c>
      <c r="C895" s="9"/>
      <c r="D895" s="33"/>
      <c r="E895" s="15" t="s">
        <v>123</v>
      </c>
      <c r="F895" s="15" t="s">
        <v>1044</v>
      </c>
      <c r="G895" s="15">
        <f t="shared" si="68"/>
        <v>1</v>
      </c>
      <c r="H895" s="60">
        <v>1</v>
      </c>
      <c r="I895" s="85"/>
    </row>
    <row r="896" spans="1:9" ht="15" customHeight="1" x14ac:dyDescent="0.3">
      <c r="A896" s="60">
        <f t="shared" si="67"/>
        <v>6813</v>
      </c>
      <c r="B896" s="9" t="s">
        <v>485</v>
      </c>
      <c r="C896" s="9"/>
      <c r="D896" s="33"/>
      <c r="E896" s="15" t="s">
        <v>123</v>
      </c>
      <c r="F896" s="15" t="s">
        <v>1044</v>
      </c>
      <c r="G896" s="15">
        <f t="shared" si="68"/>
        <v>1</v>
      </c>
      <c r="H896" s="60">
        <v>1</v>
      </c>
      <c r="I896" s="85"/>
    </row>
    <row r="897" spans="1:9" ht="15" customHeight="1" x14ac:dyDescent="0.3">
      <c r="A897" s="60">
        <f t="shared" si="67"/>
        <v>6814</v>
      </c>
      <c r="B897" s="9" t="s">
        <v>486</v>
      </c>
      <c r="C897" s="9"/>
      <c r="D897" s="33"/>
      <c r="E897" s="15" t="s">
        <v>123</v>
      </c>
      <c r="F897" s="15" t="s">
        <v>1044</v>
      </c>
      <c r="G897" s="15">
        <f t="shared" si="68"/>
        <v>1</v>
      </c>
      <c r="H897" s="60">
        <v>1</v>
      </c>
      <c r="I897" s="85"/>
    </row>
    <row r="898" spans="1:9" ht="15" customHeight="1" x14ac:dyDescent="0.3">
      <c r="A898" s="60">
        <f t="shared" si="67"/>
        <v>6815</v>
      </c>
      <c r="B898" s="9" t="s">
        <v>487</v>
      </c>
      <c r="C898" s="9"/>
      <c r="D898" s="33"/>
      <c r="E898" s="15" t="s">
        <v>123</v>
      </c>
      <c r="F898" s="15" t="s">
        <v>1044</v>
      </c>
      <c r="G898" s="15">
        <f t="shared" si="68"/>
        <v>1</v>
      </c>
      <c r="H898" s="60">
        <v>1</v>
      </c>
      <c r="I898" s="85"/>
    </row>
    <row r="899" spans="1:9" ht="15" customHeight="1" x14ac:dyDescent="0.3">
      <c r="A899" s="60">
        <f t="shared" si="67"/>
        <v>6816</v>
      </c>
      <c r="B899" s="9" t="s">
        <v>488</v>
      </c>
      <c r="C899" s="9"/>
      <c r="D899" s="33"/>
      <c r="E899" s="15" t="s">
        <v>123</v>
      </c>
      <c r="F899" s="15" t="s">
        <v>1044</v>
      </c>
      <c r="G899" s="15">
        <f t="shared" si="68"/>
        <v>1</v>
      </c>
      <c r="H899" s="60">
        <v>1</v>
      </c>
      <c r="I899" s="85"/>
    </row>
    <row r="900" spans="1:9" ht="15" customHeight="1" x14ac:dyDescent="0.3">
      <c r="A900" s="60">
        <f t="shared" si="67"/>
        <v>6817</v>
      </c>
      <c r="B900" s="9" t="s">
        <v>489</v>
      </c>
      <c r="C900" s="9"/>
      <c r="D900" s="33"/>
      <c r="E900" s="15" t="s">
        <v>123</v>
      </c>
      <c r="F900" s="15" t="s">
        <v>1044</v>
      </c>
      <c r="G900" s="15">
        <f t="shared" si="68"/>
        <v>1</v>
      </c>
      <c r="H900" s="60">
        <v>1</v>
      </c>
      <c r="I900" s="85"/>
    </row>
    <row r="901" spans="1:9" ht="15" customHeight="1" x14ac:dyDescent="0.3">
      <c r="A901" s="60">
        <f t="shared" si="67"/>
        <v>6818</v>
      </c>
      <c r="B901" s="9" t="s">
        <v>490</v>
      </c>
      <c r="C901" s="9"/>
      <c r="D901" s="33"/>
      <c r="E901" s="15" t="s">
        <v>123</v>
      </c>
      <c r="F901" s="15" t="s">
        <v>1044</v>
      </c>
      <c r="G901" s="15">
        <f t="shared" si="68"/>
        <v>1</v>
      </c>
      <c r="H901" s="60">
        <v>1</v>
      </c>
      <c r="I901" s="85"/>
    </row>
    <row r="902" spans="1:9" ht="15" customHeight="1" x14ac:dyDescent="0.3">
      <c r="A902" s="60">
        <f t="shared" si="67"/>
        <v>6819</v>
      </c>
      <c r="B902" s="9" t="s">
        <v>491</v>
      </c>
      <c r="C902" s="9"/>
      <c r="D902" s="33"/>
      <c r="E902" s="15" t="s">
        <v>123</v>
      </c>
      <c r="F902" s="15" t="s">
        <v>1044</v>
      </c>
      <c r="G902" s="15">
        <f t="shared" si="68"/>
        <v>1</v>
      </c>
      <c r="H902" s="60">
        <v>1</v>
      </c>
      <c r="I902" s="85"/>
    </row>
    <row r="903" spans="1:9" ht="15" customHeight="1" x14ac:dyDescent="0.3">
      <c r="A903" s="60">
        <f t="shared" si="67"/>
        <v>6820</v>
      </c>
      <c r="B903" s="9" t="s">
        <v>492</v>
      </c>
      <c r="C903" s="9"/>
      <c r="D903" s="33"/>
      <c r="E903" s="15" t="s">
        <v>123</v>
      </c>
      <c r="F903" s="15" t="s">
        <v>1044</v>
      </c>
      <c r="G903" s="15">
        <f t="shared" si="68"/>
        <v>1</v>
      </c>
      <c r="H903" s="60">
        <v>1</v>
      </c>
      <c r="I903" s="85"/>
    </row>
    <row r="904" spans="1:9" ht="15" customHeight="1" x14ac:dyDescent="0.3">
      <c r="A904" s="60">
        <f t="shared" si="67"/>
        <v>6821</v>
      </c>
      <c r="B904" s="9" t="s">
        <v>509</v>
      </c>
      <c r="C904" s="9"/>
      <c r="D904" s="33"/>
      <c r="E904" s="15" t="s">
        <v>123</v>
      </c>
      <c r="F904" s="15" t="s">
        <v>1044</v>
      </c>
      <c r="G904" s="15">
        <f t="shared" si="68"/>
        <v>1</v>
      </c>
      <c r="H904" s="60">
        <v>1</v>
      </c>
      <c r="I904" s="85"/>
    </row>
    <row r="905" spans="1:9" ht="15" customHeight="1" x14ac:dyDescent="0.3">
      <c r="A905" s="60">
        <f t="shared" si="67"/>
        <v>6822</v>
      </c>
      <c r="B905" s="9" t="s">
        <v>510</v>
      </c>
      <c r="C905" s="9"/>
      <c r="D905" s="33"/>
      <c r="E905" s="15" t="s">
        <v>123</v>
      </c>
      <c r="F905" s="15" t="s">
        <v>1044</v>
      </c>
      <c r="G905" s="15">
        <f t="shared" si="68"/>
        <v>1</v>
      </c>
      <c r="H905" s="60">
        <v>1</v>
      </c>
      <c r="I905" s="85"/>
    </row>
    <row r="906" spans="1:9" ht="15" customHeight="1" x14ac:dyDescent="0.3">
      <c r="A906" s="60">
        <f t="shared" si="67"/>
        <v>6823</v>
      </c>
      <c r="B906" s="195" t="s">
        <v>522</v>
      </c>
      <c r="C906" s="195"/>
      <c r="D906" s="196"/>
      <c r="E906" s="197" t="s">
        <v>123</v>
      </c>
      <c r="F906" s="197" t="s">
        <v>1044</v>
      </c>
      <c r="G906" s="197">
        <f t="shared" si="68"/>
        <v>1</v>
      </c>
      <c r="H906" s="197">
        <v>1</v>
      </c>
      <c r="I906" s="85"/>
    </row>
    <row r="907" spans="1:9" ht="15" customHeight="1" x14ac:dyDescent="0.3">
      <c r="A907" s="60">
        <f t="shared" si="67"/>
        <v>6824</v>
      </c>
      <c r="B907" s="9" t="s">
        <v>493</v>
      </c>
      <c r="C907" s="9"/>
      <c r="D907" s="33"/>
      <c r="E907" s="15" t="s">
        <v>123</v>
      </c>
      <c r="F907" s="15" t="s">
        <v>1044</v>
      </c>
      <c r="G907" s="15">
        <f t="shared" si="68"/>
        <v>1</v>
      </c>
      <c r="H907" s="60">
        <v>1</v>
      </c>
      <c r="I907" s="85"/>
    </row>
    <row r="908" spans="1:9" ht="15" customHeight="1" x14ac:dyDescent="0.3">
      <c r="A908" s="60">
        <f t="shared" si="67"/>
        <v>6825</v>
      </c>
      <c r="B908" s="9" t="s">
        <v>494</v>
      </c>
      <c r="C908" s="9"/>
      <c r="D908" s="33"/>
      <c r="E908" s="15" t="s">
        <v>123</v>
      </c>
      <c r="F908" s="15" t="s">
        <v>1044</v>
      </c>
      <c r="G908" s="15">
        <f t="shared" si="68"/>
        <v>1</v>
      </c>
      <c r="H908" s="60">
        <v>1</v>
      </c>
      <c r="I908" s="85"/>
    </row>
    <row r="909" spans="1:9" ht="15" customHeight="1" x14ac:dyDescent="0.3">
      <c r="A909" s="60">
        <f t="shared" si="67"/>
        <v>6826</v>
      </c>
      <c r="B909" s="9" t="s">
        <v>495</v>
      </c>
      <c r="C909" s="9"/>
      <c r="D909" s="33"/>
      <c r="E909" s="15" t="s">
        <v>123</v>
      </c>
      <c r="F909" s="15" t="s">
        <v>1044</v>
      </c>
      <c r="G909" s="15">
        <f t="shared" si="68"/>
        <v>1</v>
      </c>
      <c r="H909" s="60">
        <v>1</v>
      </c>
      <c r="I909" s="85"/>
    </row>
    <row r="910" spans="1:9" ht="15" customHeight="1" x14ac:dyDescent="0.3">
      <c r="A910" s="60">
        <f t="shared" si="67"/>
        <v>6827</v>
      </c>
      <c r="B910" s="9" t="s">
        <v>496</v>
      </c>
      <c r="C910" s="9"/>
      <c r="D910" s="33"/>
      <c r="E910" s="15" t="s">
        <v>123</v>
      </c>
      <c r="F910" s="15" t="s">
        <v>1044</v>
      </c>
      <c r="G910" s="15">
        <f t="shared" si="68"/>
        <v>1</v>
      </c>
      <c r="H910" s="60">
        <v>1</v>
      </c>
      <c r="I910" s="85"/>
    </row>
    <row r="911" spans="1:9" ht="15" customHeight="1" x14ac:dyDescent="0.3">
      <c r="A911" s="60">
        <f t="shared" si="67"/>
        <v>6828</v>
      </c>
      <c r="B911" s="9" t="s">
        <v>497</v>
      </c>
      <c r="C911" s="9"/>
      <c r="D911" s="33"/>
      <c r="E911" s="15" t="s">
        <v>123</v>
      </c>
      <c r="F911" s="15" t="s">
        <v>1044</v>
      </c>
      <c r="G911" s="15">
        <f t="shared" si="68"/>
        <v>1</v>
      </c>
      <c r="H911" s="60">
        <v>1</v>
      </c>
      <c r="I911" s="85"/>
    </row>
    <row r="912" spans="1:9" ht="15" customHeight="1" x14ac:dyDescent="0.3">
      <c r="A912" s="60">
        <f t="shared" si="67"/>
        <v>6829</v>
      </c>
      <c r="B912" s="9" t="s">
        <v>498</v>
      </c>
      <c r="C912" s="9"/>
      <c r="D912" s="33"/>
      <c r="E912" s="15" t="s">
        <v>123</v>
      </c>
      <c r="F912" s="15" t="s">
        <v>1044</v>
      </c>
      <c r="G912" s="15">
        <f t="shared" si="68"/>
        <v>1</v>
      </c>
      <c r="H912" s="60">
        <v>1</v>
      </c>
      <c r="I912" s="85"/>
    </row>
    <row r="913" spans="1:9" ht="15" customHeight="1" x14ac:dyDescent="0.3">
      <c r="A913" s="60">
        <f t="shared" ref="A913:A923" si="69">A912+(G912*H912)</f>
        <v>6830</v>
      </c>
      <c r="B913" s="9" t="s">
        <v>499</v>
      </c>
      <c r="C913" s="9"/>
      <c r="D913" s="33"/>
      <c r="E913" s="15" t="s">
        <v>123</v>
      </c>
      <c r="F913" s="15" t="s">
        <v>1044</v>
      </c>
      <c r="G913" s="15">
        <f>IF(OR(E913="U16", E913="S16"),1,IF(E913="TS",6,2))</f>
        <v>1</v>
      </c>
      <c r="H913" s="60">
        <v>1</v>
      </c>
      <c r="I913" s="85"/>
    </row>
    <row r="914" spans="1:9" ht="15" customHeight="1" x14ac:dyDescent="0.3">
      <c r="A914" s="60">
        <f t="shared" si="69"/>
        <v>6831</v>
      </c>
      <c r="B914" s="9" t="s">
        <v>500</v>
      </c>
      <c r="C914" s="9"/>
      <c r="D914" s="60"/>
      <c r="E914" s="15" t="s">
        <v>123</v>
      </c>
      <c r="F914" s="15" t="s">
        <v>1044</v>
      </c>
      <c r="G914" s="15">
        <f t="shared" ref="G914:G919" si="70">IF(OR(E914="U16", E914="S16"),1,IF(E914="TS",6,2))</f>
        <v>1</v>
      </c>
      <c r="H914" s="60">
        <v>1</v>
      </c>
      <c r="I914" s="85"/>
    </row>
    <row r="915" spans="1:9" ht="15" customHeight="1" x14ac:dyDescent="0.3">
      <c r="A915" s="60">
        <f t="shared" si="69"/>
        <v>6832</v>
      </c>
      <c r="B915" s="9" t="s">
        <v>501</v>
      </c>
      <c r="C915" s="9"/>
      <c r="D915" s="60"/>
      <c r="E915" s="15" t="s">
        <v>123</v>
      </c>
      <c r="F915" s="15" t="s">
        <v>1044</v>
      </c>
      <c r="G915" s="15">
        <f t="shared" si="70"/>
        <v>1</v>
      </c>
      <c r="H915" s="60">
        <v>1</v>
      </c>
      <c r="I915" s="85"/>
    </row>
    <row r="916" spans="1:9" ht="15" customHeight="1" x14ac:dyDescent="0.3">
      <c r="A916" s="60">
        <f t="shared" si="69"/>
        <v>6833</v>
      </c>
      <c r="B916" s="9" t="s">
        <v>502</v>
      </c>
      <c r="C916" s="9"/>
      <c r="D916" s="60"/>
      <c r="E916" s="15" t="s">
        <v>123</v>
      </c>
      <c r="F916" s="15" t="s">
        <v>1044</v>
      </c>
      <c r="G916" s="15">
        <f t="shared" si="70"/>
        <v>1</v>
      </c>
      <c r="H916" s="60">
        <v>1</v>
      </c>
      <c r="I916" s="85"/>
    </row>
    <row r="917" spans="1:9" ht="15" customHeight="1" x14ac:dyDescent="0.3">
      <c r="A917" s="60">
        <f t="shared" si="69"/>
        <v>6834</v>
      </c>
      <c r="B917" s="9" t="s">
        <v>503</v>
      </c>
      <c r="C917" s="9"/>
      <c r="D917" s="60"/>
      <c r="E917" s="15" t="s">
        <v>123</v>
      </c>
      <c r="F917" s="15" t="s">
        <v>1044</v>
      </c>
      <c r="G917" s="15">
        <f t="shared" si="70"/>
        <v>1</v>
      </c>
      <c r="H917" s="60">
        <v>1</v>
      </c>
      <c r="I917" s="85"/>
    </row>
    <row r="918" spans="1:9" ht="15" customHeight="1" x14ac:dyDescent="0.3">
      <c r="A918" s="60">
        <f t="shared" si="69"/>
        <v>6835</v>
      </c>
      <c r="B918" s="9" t="s">
        <v>504</v>
      </c>
      <c r="C918" s="9"/>
      <c r="D918" s="60"/>
      <c r="E918" s="15" t="s">
        <v>123</v>
      </c>
      <c r="F918" s="15" t="s">
        <v>1044</v>
      </c>
      <c r="G918" s="15">
        <f t="shared" si="70"/>
        <v>1</v>
      </c>
      <c r="H918" s="60">
        <v>1</v>
      </c>
      <c r="I918" s="85"/>
    </row>
    <row r="919" spans="1:9" ht="15" customHeight="1" x14ac:dyDescent="0.3">
      <c r="A919" s="60">
        <f t="shared" si="69"/>
        <v>6836</v>
      </c>
      <c r="B919" s="9" t="s">
        <v>505</v>
      </c>
      <c r="C919" s="9"/>
      <c r="D919" s="60"/>
      <c r="E919" s="15" t="s">
        <v>123</v>
      </c>
      <c r="F919" s="15" t="s">
        <v>1044</v>
      </c>
      <c r="G919" s="15">
        <f t="shared" si="70"/>
        <v>1</v>
      </c>
      <c r="H919" s="60">
        <v>1</v>
      </c>
      <c r="I919" s="85"/>
    </row>
    <row r="920" spans="1:9" ht="15" customHeight="1" x14ac:dyDescent="0.3">
      <c r="A920" s="60">
        <f t="shared" si="69"/>
        <v>6837</v>
      </c>
      <c r="B920" s="9" t="s">
        <v>506</v>
      </c>
      <c r="C920" s="9"/>
      <c r="D920" s="60"/>
      <c r="E920" s="15" t="s">
        <v>123</v>
      </c>
      <c r="F920" s="15" t="s">
        <v>1044</v>
      </c>
      <c r="G920" s="15">
        <f>IF(OR(E920="U16", E920="S16"),1,IF(E920="TS",6,2))</f>
        <v>1</v>
      </c>
      <c r="H920" s="60">
        <v>1</v>
      </c>
      <c r="I920" s="85"/>
    </row>
    <row r="921" spans="1:9" ht="15" customHeight="1" x14ac:dyDescent="0.3">
      <c r="A921" s="60">
        <f t="shared" si="69"/>
        <v>6838</v>
      </c>
      <c r="B921" s="9" t="s">
        <v>507</v>
      </c>
      <c r="C921" s="9"/>
      <c r="D921" s="60"/>
      <c r="E921" s="15" t="s">
        <v>123</v>
      </c>
      <c r="F921" s="15" t="s">
        <v>1044</v>
      </c>
      <c r="G921" s="15">
        <f>IF(OR(E921="U16", E921="S16"),1,IF(E921="TS",6,2))</f>
        <v>1</v>
      </c>
      <c r="H921" s="60">
        <v>1</v>
      </c>
      <c r="I921" s="85"/>
    </row>
    <row r="922" spans="1:9" ht="15" customHeight="1" x14ac:dyDescent="0.3">
      <c r="A922" s="60">
        <f t="shared" si="69"/>
        <v>6839</v>
      </c>
      <c r="B922" s="9" t="s">
        <v>508</v>
      </c>
      <c r="C922" s="9"/>
      <c r="D922" s="60"/>
      <c r="E922" s="15" t="s">
        <v>123</v>
      </c>
      <c r="F922" s="15" t="s">
        <v>1044</v>
      </c>
      <c r="G922" s="15">
        <f>IF(OR(E922="U16", E922="S16"),1,IF(E922="TS",6,2))</f>
        <v>1</v>
      </c>
      <c r="H922" s="60">
        <v>1</v>
      </c>
      <c r="I922" s="85"/>
    </row>
    <row r="923" spans="1:9" ht="15" customHeight="1" x14ac:dyDescent="0.3">
      <c r="A923" s="60">
        <f t="shared" si="69"/>
        <v>6840</v>
      </c>
      <c r="B923" s="9"/>
      <c r="C923" s="9"/>
      <c r="D923" s="60"/>
      <c r="E923" s="15" t="s">
        <v>123</v>
      </c>
      <c r="F923" s="15" t="s">
        <v>1044</v>
      </c>
      <c r="G923" s="15">
        <f>IF(OR(E923="U16", E923="S16"),1,IF(E923="TS",6,2))</f>
        <v>1</v>
      </c>
      <c r="H923" s="60">
        <v>4</v>
      </c>
      <c r="I923" s="85"/>
    </row>
    <row r="924" spans="1:9" ht="15" customHeight="1" x14ac:dyDescent="0.3">
      <c r="A924" s="162" t="s">
        <v>221</v>
      </c>
      <c r="B924" s="162"/>
      <c r="C924" s="162"/>
      <c r="D924" s="162"/>
      <c r="E924" s="162"/>
      <c r="F924" s="162"/>
      <c r="G924" s="162"/>
      <c r="H924" s="162"/>
      <c r="I924" s="88"/>
    </row>
    <row r="925" spans="1:9" ht="15" customHeight="1" x14ac:dyDescent="0.3">
      <c r="A925" s="60">
        <f>A923+(G923*H923)</f>
        <v>6844</v>
      </c>
      <c r="B925" s="12" t="s">
        <v>220</v>
      </c>
      <c r="C925" s="161" t="s">
        <v>1239</v>
      </c>
      <c r="D925" s="60"/>
      <c r="E925" s="15" t="s">
        <v>123</v>
      </c>
      <c r="F925" s="15" t="s">
        <v>1044</v>
      </c>
      <c r="G925" s="15">
        <f>IF(OR(E925="U16", E925="S16"),1,IF(E925="TS",6,2))</f>
        <v>1</v>
      </c>
      <c r="H925" s="60">
        <v>1</v>
      </c>
      <c r="I925" s="85"/>
    </row>
    <row r="926" spans="1:9" ht="15" customHeight="1" x14ac:dyDescent="0.3">
      <c r="A926" s="60">
        <f>A925+(G925*H925)</f>
        <v>6845</v>
      </c>
      <c r="B926" s="12" t="s">
        <v>222</v>
      </c>
      <c r="C926" s="9" t="s">
        <v>1242</v>
      </c>
      <c r="D926" s="60"/>
      <c r="E926" s="15" t="s">
        <v>123</v>
      </c>
      <c r="F926" s="15" t="s">
        <v>1044</v>
      </c>
      <c r="G926" s="15">
        <f>IF(OR(E926="U16", E926="S16"),1,IF(E926="TS",6,2))</f>
        <v>1</v>
      </c>
      <c r="H926" s="60">
        <v>1</v>
      </c>
      <c r="I926" s="85"/>
    </row>
    <row r="927" spans="1:9" ht="15" customHeight="1" x14ac:dyDescent="0.3">
      <c r="A927" s="60">
        <f>A926+(G926*H926)</f>
        <v>6846</v>
      </c>
      <c r="B927" s="12" t="s">
        <v>41</v>
      </c>
      <c r="C927" s="9"/>
      <c r="D927" s="60"/>
      <c r="E927" s="15" t="s">
        <v>123</v>
      </c>
      <c r="F927" s="15"/>
      <c r="G927" s="15">
        <f>IF(OR(E927="U16", E927="S16"),1,IF(E927="TS",6,2))</f>
        <v>1</v>
      </c>
      <c r="H927" s="60">
        <v>8</v>
      </c>
      <c r="I927" s="85"/>
    </row>
    <row r="928" spans="1:9" ht="15" customHeight="1" x14ac:dyDescent="0.3">
      <c r="A928" s="162" t="s">
        <v>235</v>
      </c>
      <c r="B928" s="162"/>
      <c r="C928" s="162"/>
      <c r="D928" s="162"/>
      <c r="E928" s="162"/>
      <c r="F928" s="162"/>
      <c r="G928" s="162"/>
      <c r="H928" s="162"/>
      <c r="I928" s="88"/>
    </row>
    <row r="929" spans="1:9" ht="15" customHeight="1" x14ac:dyDescent="0.3">
      <c r="A929" s="60">
        <f>A927+(G927*H927)</f>
        <v>6854</v>
      </c>
      <c r="B929" s="9" t="s">
        <v>432</v>
      </c>
      <c r="C929" s="9"/>
      <c r="D929" s="60"/>
      <c r="E929" s="15" t="s">
        <v>123</v>
      </c>
      <c r="F929" s="15" t="s">
        <v>1044</v>
      </c>
      <c r="G929" s="15">
        <f t="shared" ref="G929:G939" si="71">IF(OR(E929="U16", E929="S16"),1,IF(E929="TS",6,2))</f>
        <v>1</v>
      </c>
      <c r="H929" s="60">
        <v>1</v>
      </c>
      <c r="I929" s="85"/>
    </row>
    <row r="930" spans="1:9" ht="15" customHeight="1" x14ac:dyDescent="0.3">
      <c r="A930" s="60">
        <f t="shared" ref="A930:A970" si="72">A929+(G929*H929)</f>
        <v>6855</v>
      </c>
      <c r="B930" s="9" t="s">
        <v>196</v>
      </c>
      <c r="C930" s="9"/>
      <c r="D930" s="60"/>
      <c r="E930" s="15" t="s">
        <v>123</v>
      </c>
      <c r="F930" s="15"/>
      <c r="G930" s="15">
        <f t="shared" si="71"/>
        <v>1</v>
      </c>
      <c r="H930" s="60">
        <v>1</v>
      </c>
      <c r="I930" s="85"/>
    </row>
    <row r="931" spans="1:9" ht="15" customHeight="1" x14ac:dyDescent="0.3">
      <c r="A931" s="60">
        <f t="shared" si="72"/>
        <v>6856</v>
      </c>
      <c r="B931" s="9"/>
      <c r="C931" s="9"/>
      <c r="D931" s="60"/>
      <c r="E931" s="15" t="s">
        <v>123</v>
      </c>
      <c r="F931" s="15"/>
      <c r="G931" s="15">
        <f>IF(OR(E931="U16", E931="S16"),1,IF(E931="TS",6,2))</f>
        <v>1</v>
      </c>
      <c r="H931" s="60">
        <v>1</v>
      </c>
      <c r="I931" s="85"/>
    </row>
    <row r="932" spans="1:9" ht="15" customHeight="1" x14ac:dyDescent="0.3">
      <c r="A932" s="60">
        <f t="shared" si="72"/>
        <v>6857</v>
      </c>
      <c r="B932" s="9"/>
      <c r="C932" s="9"/>
      <c r="D932" s="60"/>
      <c r="E932" s="15" t="s">
        <v>123</v>
      </c>
      <c r="F932" s="15"/>
      <c r="G932" s="15">
        <f>IF(OR(E932="U16", E932="S16"),1,IF(E932="TS",6,2))</f>
        <v>1</v>
      </c>
      <c r="H932" s="60">
        <v>1</v>
      </c>
      <c r="I932" s="85"/>
    </row>
    <row r="933" spans="1:9" ht="15" customHeight="1" x14ac:dyDescent="0.3">
      <c r="A933" s="181" t="s">
        <v>350</v>
      </c>
      <c r="B933" s="181"/>
      <c r="C933" s="181"/>
      <c r="D933" s="181"/>
      <c r="E933" s="181"/>
      <c r="F933" s="181"/>
      <c r="G933" s="181"/>
      <c r="H933" s="181"/>
      <c r="I933" s="95"/>
    </row>
    <row r="934" spans="1:9" ht="15" customHeight="1" x14ac:dyDescent="0.3">
      <c r="A934" s="28">
        <f>A932+(G932*H932)</f>
        <v>6858</v>
      </c>
      <c r="B934" s="29" t="s">
        <v>435</v>
      </c>
      <c r="C934" s="180"/>
      <c r="D934" s="28"/>
      <c r="E934" s="28" t="s">
        <v>123</v>
      </c>
      <c r="F934" s="28" t="s">
        <v>1045</v>
      </c>
      <c r="G934" s="28">
        <f t="shared" si="71"/>
        <v>1</v>
      </c>
      <c r="H934" s="28">
        <v>1</v>
      </c>
      <c r="I934" s="96"/>
    </row>
    <row r="935" spans="1:9" ht="15" customHeight="1" x14ac:dyDescent="0.3">
      <c r="A935" s="28">
        <f t="shared" si="72"/>
        <v>6859</v>
      </c>
      <c r="B935" s="29" t="s">
        <v>518</v>
      </c>
      <c r="C935" s="180"/>
      <c r="D935" s="28"/>
      <c r="E935" s="28" t="s">
        <v>123</v>
      </c>
      <c r="F935" s="28" t="s">
        <v>1045</v>
      </c>
      <c r="G935" s="28">
        <f t="shared" si="71"/>
        <v>1</v>
      </c>
      <c r="H935" s="28">
        <v>1</v>
      </c>
      <c r="I935" s="96"/>
    </row>
    <row r="936" spans="1:9" ht="15" customHeight="1" x14ac:dyDescent="0.3">
      <c r="A936" s="28">
        <f t="shared" si="72"/>
        <v>6860</v>
      </c>
      <c r="B936" s="29" t="s">
        <v>519</v>
      </c>
      <c r="C936" s="180"/>
      <c r="D936" s="28"/>
      <c r="E936" s="28" t="s">
        <v>123</v>
      </c>
      <c r="F936" s="28" t="s">
        <v>1044</v>
      </c>
      <c r="G936" s="28">
        <f t="shared" si="71"/>
        <v>1</v>
      </c>
      <c r="H936" s="28">
        <v>1</v>
      </c>
      <c r="I936" s="96"/>
    </row>
    <row r="937" spans="1:9" ht="15" customHeight="1" x14ac:dyDescent="0.3">
      <c r="A937" s="28">
        <f t="shared" si="72"/>
        <v>6861</v>
      </c>
      <c r="B937" s="29" t="s">
        <v>434</v>
      </c>
      <c r="C937" s="180"/>
      <c r="D937" s="28"/>
      <c r="E937" s="28" t="s">
        <v>123</v>
      </c>
      <c r="F937" s="28" t="s">
        <v>1044</v>
      </c>
      <c r="G937" s="28">
        <f t="shared" si="71"/>
        <v>1</v>
      </c>
      <c r="H937" s="28">
        <v>1</v>
      </c>
      <c r="I937" s="96"/>
    </row>
    <row r="938" spans="1:9" ht="15" customHeight="1" x14ac:dyDescent="0.3">
      <c r="A938" s="28">
        <f t="shared" si="72"/>
        <v>6862</v>
      </c>
      <c r="B938" s="29" t="s">
        <v>517</v>
      </c>
      <c r="C938" s="180"/>
      <c r="D938" s="28"/>
      <c r="E938" s="28" t="s">
        <v>516</v>
      </c>
      <c r="F938" s="28" t="s">
        <v>1044</v>
      </c>
      <c r="G938" s="28">
        <f t="shared" si="71"/>
        <v>2</v>
      </c>
      <c r="H938" s="28">
        <v>1</v>
      </c>
      <c r="I938" s="96"/>
    </row>
    <row r="939" spans="1:9" ht="15" customHeight="1" x14ac:dyDescent="0.3">
      <c r="A939" s="60">
        <f t="shared" si="72"/>
        <v>6864</v>
      </c>
      <c r="B939" s="9" t="s">
        <v>349</v>
      </c>
      <c r="C939" s="9"/>
      <c r="D939" s="60"/>
      <c r="E939" s="15" t="s">
        <v>433</v>
      </c>
      <c r="F939" s="15" t="s">
        <v>1044</v>
      </c>
      <c r="G939" s="15">
        <f t="shared" si="71"/>
        <v>1</v>
      </c>
      <c r="H939" s="60">
        <v>6</v>
      </c>
      <c r="I939" s="85"/>
    </row>
    <row r="940" spans="1:9" ht="15" customHeight="1" x14ac:dyDescent="0.3">
      <c r="A940" s="60">
        <f t="shared" si="72"/>
        <v>6870</v>
      </c>
      <c r="B940" s="9" t="s">
        <v>351</v>
      </c>
      <c r="C940" s="9"/>
      <c r="D940" s="60"/>
      <c r="E940" s="15" t="s">
        <v>123</v>
      </c>
      <c r="F940" s="15" t="s">
        <v>1044</v>
      </c>
      <c r="G940" s="15">
        <f t="shared" ref="G940:G945" si="73">IF(OR(E940="U16", E940="S16"),1,IF(E940="TS",6,2))</f>
        <v>1</v>
      </c>
      <c r="H940" s="60">
        <v>6</v>
      </c>
      <c r="I940" s="85"/>
    </row>
    <row r="941" spans="1:9" ht="15" customHeight="1" x14ac:dyDescent="0.3">
      <c r="A941" s="60">
        <f t="shared" si="72"/>
        <v>6876</v>
      </c>
      <c r="B941" s="9" t="s">
        <v>352</v>
      </c>
      <c r="C941" s="9"/>
      <c r="D941" s="60"/>
      <c r="E941" s="15" t="s">
        <v>123</v>
      </c>
      <c r="F941" s="15" t="s">
        <v>1044</v>
      </c>
      <c r="G941" s="15">
        <f t="shared" si="73"/>
        <v>1</v>
      </c>
      <c r="H941" s="60">
        <v>6</v>
      </c>
      <c r="I941" s="85"/>
    </row>
    <row r="942" spans="1:9" ht="15" customHeight="1" x14ac:dyDescent="0.3">
      <c r="A942" s="60">
        <f t="shared" si="72"/>
        <v>6882</v>
      </c>
      <c r="B942" s="9" t="s">
        <v>353</v>
      </c>
      <c r="C942" s="9"/>
      <c r="D942" s="60"/>
      <c r="E942" s="15" t="s">
        <v>123</v>
      </c>
      <c r="F942" s="15" t="s">
        <v>1044</v>
      </c>
      <c r="G942" s="15">
        <f t="shared" si="73"/>
        <v>1</v>
      </c>
      <c r="H942" s="60">
        <v>6</v>
      </c>
      <c r="I942" s="85"/>
    </row>
    <row r="943" spans="1:9" ht="15" customHeight="1" x14ac:dyDescent="0.3">
      <c r="A943" s="60">
        <f t="shared" si="72"/>
        <v>6888</v>
      </c>
      <c r="B943" s="9" t="s">
        <v>354</v>
      </c>
      <c r="C943" s="9"/>
      <c r="D943" s="60"/>
      <c r="E943" s="15" t="s">
        <v>123</v>
      </c>
      <c r="F943" s="15" t="s">
        <v>1044</v>
      </c>
      <c r="G943" s="15">
        <f t="shared" si="73"/>
        <v>1</v>
      </c>
      <c r="H943" s="60">
        <v>6</v>
      </c>
      <c r="I943" s="85"/>
    </row>
    <row r="944" spans="1:9" ht="15" customHeight="1" x14ac:dyDescent="0.3">
      <c r="A944" s="60">
        <f t="shared" si="72"/>
        <v>6894</v>
      </c>
      <c r="B944" s="9" t="s">
        <v>355</v>
      </c>
      <c r="C944" s="9"/>
      <c r="D944" s="60"/>
      <c r="E944" s="15" t="s">
        <v>123</v>
      </c>
      <c r="F944" s="15" t="s">
        <v>1044</v>
      </c>
      <c r="G944" s="15">
        <f t="shared" si="73"/>
        <v>1</v>
      </c>
      <c r="H944" s="60">
        <v>6</v>
      </c>
      <c r="I944" s="85"/>
    </row>
    <row r="945" spans="1:9" ht="15" customHeight="1" x14ac:dyDescent="0.3">
      <c r="A945" s="60">
        <f t="shared" si="72"/>
        <v>6900</v>
      </c>
      <c r="B945" s="9" t="s">
        <v>356</v>
      </c>
      <c r="C945" s="9"/>
      <c r="D945" s="60"/>
      <c r="E945" s="15" t="s">
        <v>123</v>
      </c>
      <c r="F945" s="15" t="s">
        <v>1044</v>
      </c>
      <c r="G945" s="15">
        <f t="shared" si="73"/>
        <v>1</v>
      </c>
      <c r="H945" s="60">
        <v>6</v>
      </c>
      <c r="I945" s="85"/>
    </row>
    <row r="946" spans="1:9" ht="15" customHeight="1" x14ac:dyDescent="0.3">
      <c r="A946" s="60">
        <f t="shared" si="72"/>
        <v>6906</v>
      </c>
      <c r="B946" s="9" t="s">
        <v>357</v>
      </c>
      <c r="C946" s="9"/>
      <c r="D946" s="60"/>
      <c r="E946" s="15" t="s">
        <v>123</v>
      </c>
      <c r="F946" s="15" t="s">
        <v>1044</v>
      </c>
      <c r="G946" s="15">
        <f t="shared" ref="G946:G953" si="74">IF(OR(E946="U16", E946="S16"),1,IF(E946="TS",6,2))</f>
        <v>1</v>
      </c>
      <c r="H946" s="60">
        <v>6</v>
      </c>
      <c r="I946" s="85"/>
    </row>
    <row r="947" spans="1:9" ht="15" customHeight="1" x14ac:dyDescent="0.3">
      <c r="A947" s="60">
        <f t="shared" si="72"/>
        <v>6912</v>
      </c>
      <c r="B947" s="9" t="s">
        <v>358</v>
      </c>
      <c r="C947" s="9"/>
      <c r="D947" s="60"/>
      <c r="E947" s="15" t="s">
        <v>123</v>
      </c>
      <c r="F947" s="15" t="s">
        <v>1044</v>
      </c>
      <c r="G947" s="15">
        <f t="shared" si="74"/>
        <v>1</v>
      </c>
      <c r="H947" s="60">
        <v>6</v>
      </c>
      <c r="I947" s="85"/>
    </row>
    <row r="948" spans="1:9" ht="15" customHeight="1" x14ac:dyDescent="0.3">
      <c r="A948" s="60">
        <f t="shared" si="72"/>
        <v>6918</v>
      </c>
      <c r="B948" s="9" t="s">
        <v>359</v>
      </c>
      <c r="C948" s="9"/>
      <c r="D948" s="60"/>
      <c r="E948" s="15" t="s">
        <v>123</v>
      </c>
      <c r="F948" s="15" t="s">
        <v>1044</v>
      </c>
      <c r="G948" s="15">
        <f t="shared" si="74"/>
        <v>1</v>
      </c>
      <c r="H948" s="60">
        <v>6</v>
      </c>
      <c r="I948" s="85"/>
    </row>
    <row r="949" spans="1:9" ht="15" customHeight="1" x14ac:dyDescent="0.3">
      <c r="A949" s="60">
        <f t="shared" si="72"/>
        <v>6924</v>
      </c>
      <c r="B949" s="9" t="s">
        <v>360</v>
      </c>
      <c r="C949" s="9"/>
      <c r="D949" s="60"/>
      <c r="E949" s="15" t="s">
        <v>123</v>
      </c>
      <c r="F949" s="15" t="s">
        <v>1044</v>
      </c>
      <c r="G949" s="15">
        <f t="shared" si="74"/>
        <v>1</v>
      </c>
      <c r="H949" s="60">
        <v>6</v>
      </c>
      <c r="I949" s="85"/>
    </row>
    <row r="950" spans="1:9" ht="15" customHeight="1" x14ac:dyDescent="0.3">
      <c r="A950" s="60">
        <f t="shared" si="72"/>
        <v>6930</v>
      </c>
      <c r="B950" s="9" t="s">
        <v>361</v>
      </c>
      <c r="C950" s="9"/>
      <c r="D950" s="60"/>
      <c r="E950" s="15" t="s">
        <v>123</v>
      </c>
      <c r="F950" s="15" t="s">
        <v>1044</v>
      </c>
      <c r="G950" s="15">
        <f t="shared" si="74"/>
        <v>1</v>
      </c>
      <c r="H950" s="60">
        <v>6</v>
      </c>
      <c r="I950" s="85"/>
    </row>
    <row r="951" spans="1:9" ht="15" customHeight="1" x14ac:dyDescent="0.3">
      <c r="A951" s="60">
        <f t="shared" si="72"/>
        <v>6936</v>
      </c>
      <c r="B951" s="9" t="s">
        <v>362</v>
      </c>
      <c r="C951" s="9"/>
      <c r="D951" s="60"/>
      <c r="E951" s="15" t="s">
        <v>123</v>
      </c>
      <c r="F951" s="15" t="s">
        <v>1044</v>
      </c>
      <c r="G951" s="15">
        <f t="shared" si="74"/>
        <v>1</v>
      </c>
      <c r="H951" s="60">
        <v>6</v>
      </c>
      <c r="I951" s="85"/>
    </row>
    <row r="952" spans="1:9" ht="15" customHeight="1" x14ac:dyDescent="0.3">
      <c r="A952" s="60">
        <f t="shared" si="72"/>
        <v>6942</v>
      </c>
      <c r="B952" s="9" t="s">
        <v>363</v>
      </c>
      <c r="C952" s="9"/>
      <c r="D952" s="60"/>
      <c r="E952" s="15" t="s">
        <v>123</v>
      </c>
      <c r="F952" s="15" t="s">
        <v>1044</v>
      </c>
      <c r="G952" s="15">
        <f t="shared" si="74"/>
        <v>1</v>
      </c>
      <c r="H952" s="60">
        <v>6</v>
      </c>
      <c r="I952" s="85"/>
    </row>
    <row r="953" spans="1:9" ht="15" customHeight="1" x14ac:dyDescent="0.3">
      <c r="A953" s="60">
        <f t="shared" si="72"/>
        <v>6948</v>
      </c>
      <c r="B953" s="9" t="s">
        <v>364</v>
      </c>
      <c r="C953" s="9"/>
      <c r="D953" s="60"/>
      <c r="E953" s="15" t="s">
        <v>123</v>
      </c>
      <c r="F953" s="15" t="s">
        <v>1044</v>
      </c>
      <c r="G953" s="15">
        <f t="shared" si="74"/>
        <v>1</v>
      </c>
      <c r="H953" s="60">
        <v>6</v>
      </c>
      <c r="I953" s="85"/>
    </row>
    <row r="954" spans="1:9" ht="15" customHeight="1" x14ac:dyDescent="0.3">
      <c r="A954" s="60">
        <f t="shared" si="72"/>
        <v>6954</v>
      </c>
      <c r="B954" s="9" t="s">
        <v>365</v>
      </c>
      <c r="C954" s="9"/>
      <c r="D954" s="60"/>
      <c r="E954" s="15" t="s">
        <v>123</v>
      </c>
      <c r="F954" s="15" t="s">
        <v>1044</v>
      </c>
      <c r="G954" s="15">
        <f t="shared" ref="G954:G969" si="75">IF(OR(E954="U16", E954="S16"),1,IF(E954="TS",6,2))</f>
        <v>1</v>
      </c>
      <c r="H954" s="60">
        <v>6</v>
      </c>
      <c r="I954" s="85"/>
    </row>
    <row r="955" spans="1:9" ht="15" customHeight="1" x14ac:dyDescent="0.3">
      <c r="A955" s="60">
        <f t="shared" si="72"/>
        <v>6960</v>
      </c>
      <c r="B955" s="9" t="s">
        <v>366</v>
      </c>
      <c r="C955" s="9"/>
      <c r="D955" s="60"/>
      <c r="E955" s="15" t="s">
        <v>123</v>
      </c>
      <c r="F955" s="15" t="s">
        <v>1044</v>
      </c>
      <c r="G955" s="15">
        <f t="shared" si="75"/>
        <v>1</v>
      </c>
      <c r="H955" s="60">
        <v>6</v>
      </c>
      <c r="I955" s="85"/>
    </row>
    <row r="956" spans="1:9" ht="15" customHeight="1" x14ac:dyDescent="0.3">
      <c r="A956" s="60">
        <f t="shared" si="72"/>
        <v>6966</v>
      </c>
      <c r="B956" s="9" t="s">
        <v>367</v>
      </c>
      <c r="C956" s="9"/>
      <c r="D956" s="60"/>
      <c r="E956" s="15" t="s">
        <v>123</v>
      </c>
      <c r="F956" s="15" t="s">
        <v>1044</v>
      </c>
      <c r="G956" s="15">
        <f t="shared" si="75"/>
        <v>1</v>
      </c>
      <c r="H956" s="60">
        <v>6</v>
      </c>
      <c r="I956" s="85"/>
    </row>
    <row r="957" spans="1:9" ht="15" customHeight="1" x14ac:dyDescent="0.3">
      <c r="A957" s="60">
        <f t="shared" si="72"/>
        <v>6972</v>
      </c>
      <c r="B957" s="9" t="s">
        <v>368</v>
      </c>
      <c r="C957" s="9"/>
      <c r="D957" s="60"/>
      <c r="E957" s="15" t="s">
        <v>123</v>
      </c>
      <c r="F957" s="15" t="s">
        <v>1044</v>
      </c>
      <c r="G957" s="15">
        <f t="shared" si="75"/>
        <v>1</v>
      </c>
      <c r="H957" s="60">
        <v>6</v>
      </c>
      <c r="I957" s="85"/>
    </row>
    <row r="958" spans="1:9" ht="15" customHeight="1" x14ac:dyDescent="0.3">
      <c r="A958" s="60">
        <f t="shared" si="72"/>
        <v>6978</v>
      </c>
      <c r="B958" s="9" t="s">
        <v>369</v>
      </c>
      <c r="C958" s="9"/>
      <c r="D958" s="60"/>
      <c r="E958" s="15" t="s">
        <v>123</v>
      </c>
      <c r="F958" s="15" t="s">
        <v>1044</v>
      </c>
      <c r="G958" s="15">
        <f t="shared" si="75"/>
        <v>1</v>
      </c>
      <c r="H958" s="60">
        <v>6</v>
      </c>
      <c r="I958" s="85"/>
    </row>
    <row r="959" spans="1:9" ht="15" customHeight="1" x14ac:dyDescent="0.3">
      <c r="A959" s="60">
        <f t="shared" si="72"/>
        <v>6984</v>
      </c>
      <c r="B959" s="9" t="s">
        <v>370</v>
      </c>
      <c r="C959" s="9"/>
      <c r="D959" s="60"/>
      <c r="E959" s="15" t="s">
        <v>123</v>
      </c>
      <c r="F959" s="15" t="s">
        <v>1044</v>
      </c>
      <c r="G959" s="15">
        <f t="shared" si="75"/>
        <v>1</v>
      </c>
      <c r="H959" s="60">
        <v>6</v>
      </c>
      <c r="I959" s="85"/>
    </row>
    <row r="960" spans="1:9" ht="15" customHeight="1" x14ac:dyDescent="0.3">
      <c r="A960" s="60">
        <f t="shared" si="72"/>
        <v>6990</v>
      </c>
      <c r="B960" s="9" t="s">
        <v>371</v>
      </c>
      <c r="C960" s="9"/>
      <c r="D960" s="60"/>
      <c r="E960" s="15" t="s">
        <v>123</v>
      </c>
      <c r="F960" s="15" t="s">
        <v>1044</v>
      </c>
      <c r="G960" s="15">
        <f t="shared" si="75"/>
        <v>1</v>
      </c>
      <c r="H960" s="60">
        <v>6</v>
      </c>
      <c r="I960" s="85"/>
    </row>
    <row r="961" spans="1:9" ht="15" customHeight="1" x14ac:dyDescent="0.3">
      <c r="A961" s="60">
        <f t="shared" si="72"/>
        <v>6996</v>
      </c>
      <c r="B961" s="9" t="s">
        <v>372</v>
      </c>
      <c r="C961" s="9"/>
      <c r="D961" s="60"/>
      <c r="E961" s="15" t="s">
        <v>123</v>
      </c>
      <c r="F961" s="15" t="s">
        <v>1044</v>
      </c>
      <c r="G961" s="15">
        <f t="shared" si="75"/>
        <v>1</v>
      </c>
      <c r="H961" s="60">
        <v>6</v>
      </c>
      <c r="I961" s="85"/>
    </row>
    <row r="962" spans="1:9" ht="15" customHeight="1" x14ac:dyDescent="0.3">
      <c r="A962" s="60">
        <f t="shared" si="72"/>
        <v>7002</v>
      </c>
      <c r="B962" s="9" t="s">
        <v>373</v>
      </c>
      <c r="C962" s="9"/>
      <c r="D962" s="60"/>
      <c r="E962" s="15" t="s">
        <v>123</v>
      </c>
      <c r="F962" s="15" t="s">
        <v>1044</v>
      </c>
      <c r="G962" s="15">
        <f t="shared" si="75"/>
        <v>1</v>
      </c>
      <c r="H962" s="60">
        <v>6</v>
      </c>
      <c r="I962" s="85"/>
    </row>
    <row r="963" spans="1:9" ht="15" customHeight="1" x14ac:dyDescent="0.3">
      <c r="A963" s="60">
        <f t="shared" si="72"/>
        <v>7008</v>
      </c>
      <c r="B963" s="9" t="s">
        <v>374</v>
      </c>
      <c r="C963" s="9"/>
      <c r="D963" s="60"/>
      <c r="E963" s="15" t="s">
        <v>123</v>
      </c>
      <c r="F963" s="15" t="s">
        <v>1044</v>
      </c>
      <c r="G963" s="15">
        <f t="shared" si="75"/>
        <v>1</v>
      </c>
      <c r="H963" s="60">
        <v>6</v>
      </c>
      <c r="I963" s="85"/>
    </row>
    <row r="964" spans="1:9" ht="15" customHeight="1" x14ac:dyDescent="0.3">
      <c r="A964" s="60">
        <f t="shared" si="72"/>
        <v>7014</v>
      </c>
      <c r="B964" s="9" t="s">
        <v>375</v>
      </c>
      <c r="C964" s="9"/>
      <c r="D964" s="60"/>
      <c r="E964" s="15" t="s">
        <v>123</v>
      </c>
      <c r="F964" s="15" t="s">
        <v>1044</v>
      </c>
      <c r="G964" s="15">
        <f t="shared" si="75"/>
        <v>1</v>
      </c>
      <c r="H964" s="60">
        <v>6</v>
      </c>
      <c r="I964" s="85"/>
    </row>
    <row r="965" spans="1:9" ht="15" customHeight="1" x14ac:dyDescent="0.3">
      <c r="A965" s="60">
        <f t="shared" si="72"/>
        <v>7020</v>
      </c>
      <c r="B965" s="9" t="s">
        <v>376</v>
      </c>
      <c r="C965" s="9"/>
      <c r="D965" s="60"/>
      <c r="E965" s="15" t="s">
        <v>123</v>
      </c>
      <c r="F965" s="15" t="s">
        <v>1044</v>
      </c>
      <c r="G965" s="15">
        <f t="shared" si="75"/>
        <v>1</v>
      </c>
      <c r="H965" s="60">
        <v>6</v>
      </c>
      <c r="I965" s="85"/>
    </row>
    <row r="966" spans="1:9" ht="15" customHeight="1" x14ac:dyDescent="0.3">
      <c r="A966" s="60">
        <f t="shared" si="72"/>
        <v>7026</v>
      </c>
      <c r="B966" s="9" t="s">
        <v>377</v>
      </c>
      <c r="C966" s="9"/>
      <c r="D966" s="60"/>
      <c r="E966" s="15" t="s">
        <v>123</v>
      </c>
      <c r="F966" s="15" t="s">
        <v>1044</v>
      </c>
      <c r="G966" s="15">
        <f t="shared" si="75"/>
        <v>1</v>
      </c>
      <c r="H966" s="60">
        <v>6</v>
      </c>
      <c r="I966" s="85"/>
    </row>
    <row r="967" spans="1:9" ht="15" customHeight="1" x14ac:dyDescent="0.3">
      <c r="A967" s="60">
        <f t="shared" si="72"/>
        <v>7032</v>
      </c>
      <c r="B967" s="9" t="s">
        <v>378</v>
      </c>
      <c r="C967" s="9"/>
      <c r="D967" s="60"/>
      <c r="E967" s="15" t="s">
        <v>123</v>
      </c>
      <c r="F967" s="15" t="s">
        <v>1044</v>
      </c>
      <c r="G967" s="15">
        <f t="shared" si="75"/>
        <v>1</v>
      </c>
      <c r="H967" s="60">
        <v>6</v>
      </c>
      <c r="I967" s="85"/>
    </row>
    <row r="968" spans="1:9" ht="15" customHeight="1" x14ac:dyDescent="0.3">
      <c r="A968" s="60">
        <f t="shared" si="72"/>
        <v>7038</v>
      </c>
      <c r="B968" s="9" t="s">
        <v>379</v>
      </c>
      <c r="C968" s="9"/>
      <c r="D968" s="60"/>
      <c r="E968" s="15" t="s">
        <v>123</v>
      </c>
      <c r="F968" s="15" t="s">
        <v>1044</v>
      </c>
      <c r="G968" s="15">
        <f t="shared" si="75"/>
        <v>1</v>
      </c>
      <c r="H968" s="60">
        <v>6</v>
      </c>
      <c r="I968" s="85"/>
    </row>
    <row r="969" spans="1:9" ht="15" customHeight="1" x14ac:dyDescent="0.3">
      <c r="A969" s="60">
        <f t="shared" si="72"/>
        <v>7044</v>
      </c>
      <c r="B969" s="9" t="s">
        <v>380</v>
      </c>
      <c r="C969" s="9"/>
      <c r="D969" s="60"/>
      <c r="E969" s="15" t="s">
        <v>123</v>
      </c>
      <c r="F969" s="15" t="s">
        <v>1044</v>
      </c>
      <c r="G969" s="15">
        <f t="shared" si="75"/>
        <v>1</v>
      </c>
      <c r="H969" s="60">
        <v>6</v>
      </c>
      <c r="I969" s="85"/>
    </row>
    <row r="970" spans="1:9" ht="13.5" customHeight="1" x14ac:dyDescent="0.3">
      <c r="A970" s="101">
        <f t="shared" si="72"/>
        <v>7050</v>
      </c>
      <c r="B970" s="8"/>
      <c r="E970" s="8"/>
      <c r="F970" s="8"/>
      <c r="G970" s="8"/>
    </row>
    <row r="971" spans="1:9" ht="13.5" customHeight="1" x14ac:dyDescent="0.3">
      <c r="B971" s="8"/>
      <c r="E971" s="8"/>
      <c r="F971" s="8"/>
      <c r="G971" s="8"/>
    </row>
  </sheetData>
  <mergeCells count="101">
    <mergeCell ref="D84:D87"/>
    <mergeCell ref="B446:B450"/>
    <mergeCell ref="B490:B494"/>
    <mergeCell ref="C206:C207"/>
    <mergeCell ref="A2:H2"/>
    <mergeCell ref="A203:H203"/>
    <mergeCell ref="A124:H124"/>
    <mergeCell ref="A270:H270"/>
    <mergeCell ref="C18:C20"/>
    <mergeCell ref="C21:C23"/>
    <mergeCell ref="C41:C42"/>
    <mergeCell ref="C43:C44"/>
    <mergeCell ref="C45:C46"/>
    <mergeCell ref="C24:C25"/>
    <mergeCell ref="C26:C27"/>
    <mergeCell ref="C28:C29"/>
    <mergeCell ref="C47:C49"/>
    <mergeCell ref="C216:C217"/>
    <mergeCell ref="C208:C209"/>
    <mergeCell ref="C210:C211"/>
    <mergeCell ref="A241:H241"/>
    <mergeCell ref="A485:H485"/>
    <mergeCell ref="C306:C309"/>
    <mergeCell ref="C310:C313"/>
    <mergeCell ref="A597:H597"/>
    <mergeCell ref="A647:H647"/>
    <mergeCell ref="A573:H573"/>
    <mergeCell ref="A527:H527"/>
    <mergeCell ref="A584:H584"/>
    <mergeCell ref="C335:C337"/>
    <mergeCell ref="C338:C340"/>
    <mergeCell ref="B393:B396"/>
    <mergeCell ref="C314:C317"/>
    <mergeCell ref="C341:C343"/>
    <mergeCell ref="C344:C346"/>
    <mergeCell ref="C347:C350"/>
    <mergeCell ref="A442:H442"/>
    <mergeCell ref="A389:H389"/>
    <mergeCell ref="C325:C327"/>
    <mergeCell ref="C328:C330"/>
    <mergeCell ref="C332:C334"/>
    <mergeCell ref="A318:H318"/>
    <mergeCell ref="C359:C362"/>
    <mergeCell ref="J84:J87"/>
    <mergeCell ref="J88:J90"/>
    <mergeCell ref="J584:J595"/>
    <mergeCell ref="C212:C213"/>
    <mergeCell ref="C214:C215"/>
    <mergeCell ref="C289:C291"/>
    <mergeCell ref="C292:C294"/>
    <mergeCell ref="C295:C297"/>
    <mergeCell ref="C283:C285"/>
    <mergeCell ref="C286:C288"/>
    <mergeCell ref="C351:C354"/>
    <mergeCell ref="C355:C358"/>
    <mergeCell ref="C218:C219"/>
    <mergeCell ref="A378:H378"/>
    <mergeCell ref="A367:H367"/>
    <mergeCell ref="C276:C278"/>
    <mergeCell ref="C279:C281"/>
    <mergeCell ref="C298:C301"/>
    <mergeCell ref="C302:C305"/>
    <mergeCell ref="D92:D115"/>
    <mergeCell ref="D88:D90"/>
    <mergeCell ref="D116:D119"/>
    <mergeCell ref="C84:C87"/>
    <mergeCell ref="C363:C366"/>
    <mergeCell ref="A924:H924"/>
    <mergeCell ref="A928:H928"/>
    <mergeCell ref="A824:H824"/>
    <mergeCell ref="A803:H803"/>
    <mergeCell ref="A834:H834"/>
    <mergeCell ref="C934:C938"/>
    <mergeCell ref="A933:H933"/>
    <mergeCell ref="A840:H840"/>
    <mergeCell ref="A835:H835"/>
    <mergeCell ref="A846:H846"/>
    <mergeCell ref="A802:H802"/>
    <mergeCell ref="A532:H532"/>
    <mergeCell ref="A710:H710"/>
    <mergeCell ref="B715:B723"/>
    <mergeCell ref="A756:H756"/>
    <mergeCell ref="B761:B769"/>
    <mergeCell ref="D8:D15"/>
    <mergeCell ref="D16:D17"/>
    <mergeCell ref="D33:D37"/>
    <mergeCell ref="D50:D51"/>
    <mergeCell ref="D52:D59"/>
    <mergeCell ref="D60:D67"/>
    <mergeCell ref="D68:D75"/>
    <mergeCell ref="D76:D79"/>
    <mergeCell ref="D80:D83"/>
    <mergeCell ref="C64:C67"/>
    <mergeCell ref="C72:C75"/>
    <mergeCell ref="C80:C83"/>
    <mergeCell ref="C88:C91"/>
    <mergeCell ref="C92:C94"/>
    <mergeCell ref="C95:C97"/>
    <mergeCell ref="C204:C205"/>
    <mergeCell ref="D120:D123"/>
    <mergeCell ref="A706:H706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71"/>
  <sheetViews>
    <sheetView zoomScaleNormal="100" workbookViewId="0">
      <selection activeCell="A4" sqref="A4"/>
    </sheetView>
  </sheetViews>
  <sheetFormatPr defaultColWidth="9" defaultRowHeight="13.5" customHeight="1" x14ac:dyDescent="0.3"/>
  <cols>
    <col min="1" max="1" width="7.375" style="8" customWidth="1"/>
    <col min="2" max="2" width="40.875" style="139" bestFit="1" customWidth="1"/>
    <col min="3" max="3" width="32.5" style="139" bestFit="1" customWidth="1"/>
    <col min="4" max="4" width="6.875" style="8" bestFit="1" customWidth="1"/>
    <col min="5" max="5" width="5.25" style="16" bestFit="1" customWidth="1"/>
    <col min="6" max="6" width="4.5" style="16" bestFit="1" customWidth="1"/>
    <col min="7" max="7" width="6" style="16" bestFit="1" customWidth="1"/>
    <col min="8" max="8" width="6" style="8" bestFit="1" customWidth="1"/>
    <col min="9" max="9" width="6" style="8" customWidth="1"/>
    <col min="10" max="10" width="75.25" style="139" customWidth="1"/>
    <col min="11" max="16384" width="9" style="8"/>
  </cols>
  <sheetData>
    <row r="1" spans="1:10" ht="27.75" customHeight="1" x14ac:dyDescent="0.3">
      <c r="A1" s="42" t="s">
        <v>634</v>
      </c>
      <c r="B1" s="42" t="s">
        <v>632</v>
      </c>
      <c r="C1" s="125" t="s">
        <v>633</v>
      </c>
      <c r="D1" s="42" t="s">
        <v>638</v>
      </c>
      <c r="E1" s="42" t="s">
        <v>635</v>
      </c>
      <c r="F1" s="42" t="s">
        <v>1041</v>
      </c>
      <c r="G1" s="42" t="s">
        <v>636</v>
      </c>
      <c r="H1" s="42" t="s">
        <v>637</v>
      </c>
      <c r="I1" s="87"/>
    </row>
    <row r="2" spans="1:10" ht="15.95" customHeight="1" x14ac:dyDescent="0.3">
      <c r="A2" s="162" t="s">
        <v>139</v>
      </c>
      <c r="B2" s="162"/>
      <c r="C2" s="162"/>
      <c r="D2" s="162"/>
      <c r="E2" s="162"/>
      <c r="F2" s="162"/>
      <c r="G2" s="162"/>
      <c r="H2" s="162"/>
      <c r="I2" s="88"/>
    </row>
    <row r="3" spans="1:10" ht="15.95" customHeight="1" x14ac:dyDescent="0.3">
      <c r="A3" s="131">
        <v>10000</v>
      </c>
      <c r="B3" s="138" t="s">
        <v>90</v>
      </c>
      <c r="C3" s="138"/>
      <c r="D3" s="131"/>
      <c r="E3" s="15" t="s">
        <v>91</v>
      </c>
      <c r="F3" s="15">
        <v>3</v>
      </c>
      <c r="G3" s="15">
        <f>IF(OR(E3="U16",E3="S16"),1,IF(E3="TS",6,IF(E3="U64",4,2)))</f>
        <v>2</v>
      </c>
      <c r="H3" s="131">
        <v>1</v>
      </c>
      <c r="I3" s="85"/>
    </row>
    <row r="4" spans="1:10" ht="81" x14ac:dyDescent="0.3">
      <c r="A4" s="143">
        <f>A3+(G3*H3)</f>
        <v>10002</v>
      </c>
      <c r="B4" s="144" t="s">
        <v>635</v>
      </c>
      <c r="C4" s="138" t="s">
        <v>1178</v>
      </c>
      <c r="D4" s="131"/>
      <c r="E4" s="15" t="s">
        <v>123</v>
      </c>
      <c r="F4" s="15">
        <v>3</v>
      </c>
      <c r="G4" s="15">
        <v>1</v>
      </c>
      <c r="H4" s="131">
        <v>1</v>
      </c>
      <c r="I4" s="85"/>
    </row>
    <row r="5" spans="1:10" ht="15.95" customHeight="1" x14ac:dyDescent="0.3">
      <c r="A5" s="143">
        <f t="shared" ref="A5:A68" si="0">A4+(G4*H4)</f>
        <v>10003</v>
      </c>
      <c r="B5" s="144" t="s">
        <v>963</v>
      </c>
      <c r="C5" s="138" t="s">
        <v>964</v>
      </c>
      <c r="D5" s="131"/>
      <c r="E5" s="15" t="s">
        <v>123</v>
      </c>
      <c r="F5" s="15">
        <v>3</v>
      </c>
      <c r="G5" s="15">
        <v>1</v>
      </c>
      <c r="H5" s="131">
        <v>1</v>
      </c>
      <c r="I5" s="85"/>
      <c r="J5" s="139" t="s">
        <v>1186</v>
      </c>
    </row>
    <row r="6" spans="1:10" ht="15.95" customHeight="1" x14ac:dyDescent="0.3">
      <c r="A6" s="143">
        <f t="shared" si="0"/>
        <v>10004</v>
      </c>
      <c r="B6" s="144" t="s">
        <v>30</v>
      </c>
      <c r="C6" s="138" t="s">
        <v>598</v>
      </c>
      <c r="D6" s="131" t="s">
        <v>639</v>
      </c>
      <c r="E6" s="15" t="s">
        <v>58</v>
      </c>
      <c r="F6" s="15">
        <v>3</v>
      </c>
      <c r="G6" s="15">
        <f t="shared" ref="G6:G69" si="1">IF(OR(E6="U16",E6="S16"),1,IF(E6="TS",6,IF(E6="U64",4,2)))</f>
        <v>2</v>
      </c>
      <c r="H6" s="131">
        <v>1</v>
      </c>
      <c r="I6" s="85"/>
    </row>
    <row r="7" spans="1:10" ht="15.95" customHeight="1" x14ac:dyDescent="0.3">
      <c r="A7" s="143">
        <f t="shared" si="0"/>
        <v>10006</v>
      </c>
      <c r="B7" s="144" t="s">
        <v>147</v>
      </c>
      <c r="C7" s="138"/>
      <c r="D7" s="43" t="s">
        <v>640</v>
      </c>
      <c r="E7" s="15" t="s">
        <v>58</v>
      </c>
      <c r="F7" s="15">
        <v>3</v>
      </c>
      <c r="G7" s="15">
        <f t="shared" si="1"/>
        <v>2</v>
      </c>
      <c r="H7" s="131">
        <v>1</v>
      </c>
      <c r="I7" s="85"/>
    </row>
    <row r="8" spans="1:10" ht="15.95" customHeight="1" x14ac:dyDescent="0.3">
      <c r="A8" s="143">
        <f t="shared" si="0"/>
        <v>10008</v>
      </c>
      <c r="B8" s="144" t="s">
        <v>154</v>
      </c>
      <c r="C8" s="144" t="s">
        <v>618</v>
      </c>
      <c r="D8" s="171" t="s">
        <v>142</v>
      </c>
      <c r="E8" s="143" t="s">
        <v>58</v>
      </c>
      <c r="F8" s="15">
        <v>3</v>
      </c>
      <c r="G8" s="15">
        <f t="shared" si="1"/>
        <v>2</v>
      </c>
      <c r="H8" s="131">
        <v>1</v>
      </c>
      <c r="I8" s="85"/>
    </row>
    <row r="9" spans="1:10" ht="15.95" customHeight="1" x14ac:dyDescent="0.3">
      <c r="A9" s="143">
        <f t="shared" si="0"/>
        <v>10010</v>
      </c>
      <c r="B9" s="144" t="s">
        <v>155</v>
      </c>
      <c r="C9" s="144" t="s">
        <v>619</v>
      </c>
      <c r="D9" s="171"/>
      <c r="E9" s="143" t="s">
        <v>58</v>
      </c>
      <c r="F9" s="15">
        <v>3</v>
      </c>
      <c r="G9" s="15">
        <f t="shared" si="1"/>
        <v>2</v>
      </c>
      <c r="H9" s="131">
        <v>1</v>
      </c>
      <c r="I9" s="85"/>
    </row>
    <row r="10" spans="1:10" ht="15.95" customHeight="1" x14ac:dyDescent="0.3">
      <c r="A10" s="143">
        <f t="shared" si="0"/>
        <v>10012</v>
      </c>
      <c r="B10" s="144" t="s">
        <v>156</v>
      </c>
      <c r="C10" s="144" t="s">
        <v>620</v>
      </c>
      <c r="D10" s="171"/>
      <c r="E10" s="143" t="s">
        <v>58</v>
      </c>
      <c r="F10" s="15">
        <v>3</v>
      </c>
      <c r="G10" s="15">
        <f t="shared" si="1"/>
        <v>2</v>
      </c>
      <c r="H10" s="131">
        <v>1</v>
      </c>
      <c r="I10" s="85"/>
    </row>
    <row r="11" spans="1:10" ht="15.95" customHeight="1" x14ac:dyDescent="0.3">
      <c r="A11" s="143">
        <f t="shared" si="0"/>
        <v>10014</v>
      </c>
      <c r="B11" s="144" t="s">
        <v>157</v>
      </c>
      <c r="C11" s="144" t="s">
        <v>621</v>
      </c>
      <c r="D11" s="171"/>
      <c r="E11" s="143" t="s">
        <v>58</v>
      </c>
      <c r="F11" s="15">
        <v>3</v>
      </c>
      <c r="G11" s="15">
        <f t="shared" si="1"/>
        <v>2</v>
      </c>
      <c r="H11" s="131">
        <v>1</v>
      </c>
      <c r="I11" s="85"/>
    </row>
    <row r="12" spans="1:10" ht="15.95" customHeight="1" x14ac:dyDescent="0.3">
      <c r="A12" s="143">
        <f t="shared" si="0"/>
        <v>10016</v>
      </c>
      <c r="B12" s="144" t="s">
        <v>158</v>
      </c>
      <c r="C12" s="144" t="s">
        <v>599</v>
      </c>
      <c r="D12" s="171"/>
      <c r="E12" s="143" t="s">
        <v>58</v>
      </c>
      <c r="F12" s="15">
        <v>3</v>
      </c>
      <c r="G12" s="15">
        <f t="shared" si="1"/>
        <v>2</v>
      </c>
      <c r="H12" s="131">
        <v>1</v>
      </c>
      <c r="I12" s="85"/>
    </row>
    <row r="13" spans="1:10" ht="15.95" customHeight="1" x14ac:dyDescent="0.3">
      <c r="A13" s="143">
        <f t="shared" si="0"/>
        <v>10018</v>
      </c>
      <c r="B13" s="144" t="s">
        <v>159</v>
      </c>
      <c r="C13" s="144" t="s">
        <v>600</v>
      </c>
      <c r="D13" s="171"/>
      <c r="E13" s="143" t="s">
        <v>58</v>
      </c>
      <c r="F13" s="15">
        <v>3</v>
      </c>
      <c r="G13" s="15">
        <f t="shared" si="1"/>
        <v>2</v>
      </c>
      <c r="H13" s="131">
        <v>1</v>
      </c>
      <c r="I13" s="85"/>
    </row>
    <row r="14" spans="1:10" ht="15.95" customHeight="1" x14ac:dyDescent="0.3">
      <c r="A14" s="143">
        <f t="shared" si="0"/>
        <v>10020</v>
      </c>
      <c r="B14" s="144" t="s">
        <v>160</v>
      </c>
      <c r="C14" s="144" t="s">
        <v>601</v>
      </c>
      <c r="D14" s="171"/>
      <c r="E14" s="143" t="s">
        <v>58</v>
      </c>
      <c r="F14" s="15">
        <v>3</v>
      </c>
      <c r="G14" s="15">
        <f t="shared" si="1"/>
        <v>2</v>
      </c>
      <c r="H14" s="131">
        <v>1</v>
      </c>
      <c r="I14" s="85"/>
    </row>
    <row r="15" spans="1:10" ht="15.95" customHeight="1" x14ac:dyDescent="0.3">
      <c r="A15" s="143">
        <f t="shared" si="0"/>
        <v>10022</v>
      </c>
      <c r="B15" s="144" t="s">
        <v>161</v>
      </c>
      <c r="C15" s="144" t="s">
        <v>622</v>
      </c>
      <c r="D15" s="171"/>
      <c r="E15" s="143" t="s">
        <v>58</v>
      </c>
      <c r="F15" s="15">
        <v>3</v>
      </c>
      <c r="G15" s="15">
        <f t="shared" si="1"/>
        <v>2</v>
      </c>
      <c r="H15" s="131">
        <v>1</v>
      </c>
      <c r="I15" s="85"/>
    </row>
    <row r="16" spans="1:10" ht="15.95" customHeight="1" x14ac:dyDescent="0.3">
      <c r="A16" s="131">
        <f t="shared" si="0"/>
        <v>10024</v>
      </c>
      <c r="B16" s="138" t="s">
        <v>189</v>
      </c>
      <c r="C16" s="138"/>
      <c r="D16" s="163" t="s">
        <v>146</v>
      </c>
      <c r="E16" s="15" t="s">
        <v>58</v>
      </c>
      <c r="F16" s="15">
        <v>3</v>
      </c>
      <c r="G16" s="15">
        <f t="shared" si="1"/>
        <v>2</v>
      </c>
      <c r="H16" s="131">
        <v>1</v>
      </c>
      <c r="I16" s="85"/>
      <c r="J16" s="139" t="s">
        <v>180</v>
      </c>
    </row>
    <row r="17" spans="1:10" ht="15.95" customHeight="1" x14ac:dyDescent="0.3">
      <c r="A17" s="131">
        <f t="shared" si="0"/>
        <v>10026</v>
      </c>
      <c r="B17" s="138" t="s">
        <v>190</v>
      </c>
      <c r="C17" s="138"/>
      <c r="D17" s="163"/>
      <c r="E17" s="15" t="s">
        <v>58</v>
      </c>
      <c r="F17" s="15">
        <v>3</v>
      </c>
      <c r="G17" s="15">
        <f t="shared" si="1"/>
        <v>2</v>
      </c>
      <c r="H17" s="131">
        <v>1</v>
      </c>
      <c r="I17" s="85"/>
      <c r="J17" s="139" t="s">
        <v>181</v>
      </c>
    </row>
    <row r="18" spans="1:10" ht="15.95" customHeight="1" x14ac:dyDescent="0.3">
      <c r="A18" s="131">
        <f t="shared" si="0"/>
        <v>10028</v>
      </c>
      <c r="B18" s="138" t="s">
        <v>169</v>
      </c>
      <c r="C18" s="173"/>
      <c r="D18" s="33"/>
      <c r="E18" s="15" t="s">
        <v>58</v>
      </c>
      <c r="F18" s="15">
        <v>3</v>
      </c>
      <c r="G18" s="15">
        <f t="shared" si="1"/>
        <v>2</v>
      </c>
      <c r="H18" s="131">
        <v>1</v>
      </c>
      <c r="I18" s="85"/>
    </row>
    <row r="19" spans="1:10" ht="15.95" customHeight="1" x14ac:dyDescent="0.3">
      <c r="A19" s="131">
        <f t="shared" si="0"/>
        <v>10030</v>
      </c>
      <c r="B19" s="138" t="s">
        <v>170</v>
      </c>
      <c r="C19" s="173"/>
      <c r="D19" s="33"/>
      <c r="E19" s="15" t="s">
        <v>58</v>
      </c>
      <c r="F19" s="15">
        <v>3</v>
      </c>
      <c r="G19" s="15">
        <f t="shared" si="1"/>
        <v>2</v>
      </c>
      <c r="H19" s="131">
        <v>1</v>
      </c>
      <c r="I19" s="85"/>
    </row>
    <row r="20" spans="1:10" ht="15.95" customHeight="1" x14ac:dyDescent="0.3">
      <c r="A20" s="131">
        <f t="shared" si="0"/>
        <v>10032</v>
      </c>
      <c r="B20" s="138" t="s">
        <v>171</v>
      </c>
      <c r="C20" s="173"/>
      <c r="D20" s="33"/>
      <c r="E20" s="15" t="s">
        <v>58</v>
      </c>
      <c r="F20" s="15">
        <v>3</v>
      </c>
      <c r="G20" s="15">
        <f t="shared" si="1"/>
        <v>2</v>
      </c>
      <c r="H20" s="131">
        <v>1</v>
      </c>
      <c r="I20" s="85"/>
    </row>
    <row r="21" spans="1:10" ht="15.95" customHeight="1" x14ac:dyDescent="0.3">
      <c r="A21" s="131">
        <f t="shared" si="0"/>
        <v>10034</v>
      </c>
      <c r="B21" s="138" t="s">
        <v>172</v>
      </c>
      <c r="C21" s="173"/>
      <c r="D21" s="33"/>
      <c r="E21" s="15" t="s">
        <v>58</v>
      </c>
      <c r="F21" s="15">
        <v>3</v>
      </c>
      <c r="G21" s="15">
        <f t="shared" si="1"/>
        <v>2</v>
      </c>
      <c r="H21" s="131">
        <v>1</v>
      </c>
      <c r="I21" s="85"/>
    </row>
    <row r="22" spans="1:10" ht="15.95" customHeight="1" x14ac:dyDescent="0.3">
      <c r="A22" s="131">
        <f t="shared" si="0"/>
        <v>10036</v>
      </c>
      <c r="B22" s="138" t="s">
        <v>173</v>
      </c>
      <c r="C22" s="173"/>
      <c r="D22" s="33"/>
      <c r="E22" s="15" t="s">
        <v>58</v>
      </c>
      <c r="F22" s="15">
        <v>3</v>
      </c>
      <c r="G22" s="15">
        <f t="shared" si="1"/>
        <v>2</v>
      </c>
      <c r="H22" s="131">
        <v>1</v>
      </c>
      <c r="I22" s="85"/>
    </row>
    <row r="23" spans="1:10" ht="15.95" customHeight="1" x14ac:dyDescent="0.3">
      <c r="A23" s="131">
        <f t="shared" si="0"/>
        <v>10038</v>
      </c>
      <c r="B23" s="138" t="s">
        <v>177</v>
      </c>
      <c r="C23" s="173"/>
      <c r="D23" s="33"/>
      <c r="E23" s="15" t="s">
        <v>58</v>
      </c>
      <c r="F23" s="15">
        <v>3</v>
      </c>
      <c r="G23" s="15">
        <f t="shared" si="1"/>
        <v>2</v>
      </c>
      <c r="H23" s="131">
        <v>1</v>
      </c>
      <c r="I23" s="85"/>
    </row>
    <row r="24" spans="1:10" ht="15.95" customHeight="1" x14ac:dyDescent="0.3">
      <c r="A24" s="131">
        <f t="shared" si="0"/>
        <v>10040</v>
      </c>
      <c r="B24" s="138" t="s">
        <v>174</v>
      </c>
      <c r="C24" s="173"/>
      <c r="D24" s="33"/>
      <c r="E24" s="15" t="s">
        <v>58</v>
      </c>
      <c r="F24" s="15">
        <v>3</v>
      </c>
      <c r="G24" s="15">
        <f t="shared" si="1"/>
        <v>2</v>
      </c>
      <c r="H24" s="131">
        <v>1</v>
      </c>
      <c r="I24" s="85"/>
    </row>
    <row r="25" spans="1:10" ht="15.95" customHeight="1" x14ac:dyDescent="0.3">
      <c r="A25" s="131">
        <f t="shared" si="0"/>
        <v>10042</v>
      </c>
      <c r="B25" s="138" t="s">
        <v>175</v>
      </c>
      <c r="C25" s="173"/>
      <c r="D25" s="33"/>
      <c r="E25" s="15" t="s">
        <v>58</v>
      </c>
      <c r="F25" s="15">
        <v>3</v>
      </c>
      <c r="G25" s="15">
        <f t="shared" si="1"/>
        <v>2</v>
      </c>
      <c r="H25" s="131">
        <v>1</v>
      </c>
      <c r="I25" s="85"/>
    </row>
    <row r="26" spans="1:10" ht="15.95" customHeight="1" x14ac:dyDescent="0.3">
      <c r="A26" s="131">
        <f t="shared" si="0"/>
        <v>10044</v>
      </c>
      <c r="B26" s="138" t="s">
        <v>176</v>
      </c>
      <c r="C26" s="173"/>
      <c r="D26" s="33"/>
      <c r="E26" s="15" t="s">
        <v>58</v>
      </c>
      <c r="F26" s="15">
        <v>3</v>
      </c>
      <c r="G26" s="15">
        <f t="shared" si="1"/>
        <v>2</v>
      </c>
      <c r="H26" s="131">
        <v>1</v>
      </c>
      <c r="I26" s="85"/>
    </row>
    <row r="27" spans="1:10" ht="15.95" customHeight="1" x14ac:dyDescent="0.3">
      <c r="A27" s="131">
        <f t="shared" si="0"/>
        <v>10046</v>
      </c>
      <c r="B27" s="138" t="s">
        <v>163</v>
      </c>
      <c r="C27" s="173"/>
      <c r="D27" s="131" t="s">
        <v>146</v>
      </c>
      <c r="E27" s="15" t="s">
        <v>58</v>
      </c>
      <c r="F27" s="15">
        <v>3</v>
      </c>
      <c r="G27" s="15">
        <f t="shared" si="1"/>
        <v>2</v>
      </c>
      <c r="H27" s="131">
        <v>1</v>
      </c>
      <c r="I27" s="85"/>
    </row>
    <row r="28" spans="1:10" ht="15.95" customHeight="1" x14ac:dyDescent="0.3">
      <c r="A28" s="131">
        <f t="shared" si="0"/>
        <v>10048</v>
      </c>
      <c r="B28" s="138" t="s">
        <v>164</v>
      </c>
      <c r="C28" s="173"/>
      <c r="D28" s="131" t="s">
        <v>146</v>
      </c>
      <c r="E28" s="15" t="s">
        <v>58</v>
      </c>
      <c r="F28" s="15">
        <v>3</v>
      </c>
      <c r="G28" s="15">
        <f t="shared" si="1"/>
        <v>2</v>
      </c>
      <c r="H28" s="131">
        <v>1</v>
      </c>
      <c r="I28" s="85"/>
    </row>
    <row r="29" spans="1:10" ht="15.95" customHeight="1" x14ac:dyDescent="0.3">
      <c r="A29" s="131">
        <f t="shared" si="0"/>
        <v>10050</v>
      </c>
      <c r="B29" s="138" t="s">
        <v>165</v>
      </c>
      <c r="C29" s="173"/>
      <c r="D29" s="131" t="s">
        <v>146</v>
      </c>
      <c r="E29" s="15" t="s">
        <v>58</v>
      </c>
      <c r="F29" s="15">
        <v>3</v>
      </c>
      <c r="G29" s="15">
        <f t="shared" si="1"/>
        <v>2</v>
      </c>
      <c r="H29" s="131">
        <v>1</v>
      </c>
      <c r="I29" s="85"/>
    </row>
    <row r="30" spans="1:10" ht="15.95" customHeight="1" x14ac:dyDescent="0.3">
      <c r="A30" s="131">
        <f t="shared" si="0"/>
        <v>10052</v>
      </c>
      <c r="B30" s="138" t="s">
        <v>166</v>
      </c>
      <c r="C30" s="138"/>
      <c r="D30" s="131" t="s">
        <v>146</v>
      </c>
      <c r="E30" s="15" t="s">
        <v>58</v>
      </c>
      <c r="F30" s="15">
        <v>3</v>
      </c>
      <c r="G30" s="15">
        <f t="shared" si="1"/>
        <v>2</v>
      </c>
      <c r="H30" s="131">
        <v>1</v>
      </c>
      <c r="I30" s="85"/>
    </row>
    <row r="31" spans="1:10" ht="15.95" customHeight="1" x14ac:dyDescent="0.3">
      <c r="A31" s="131">
        <f t="shared" si="0"/>
        <v>10054</v>
      </c>
      <c r="B31" s="138" t="s">
        <v>167</v>
      </c>
      <c r="C31" s="138"/>
      <c r="D31" s="131" t="s">
        <v>146</v>
      </c>
      <c r="E31" s="15" t="s">
        <v>58</v>
      </c>
      <c r="F31" s="15">
        <v>3</v>
      </c>
      <c r="G31" s="15">
        <f t="shared" si="1"/>
        <v>2</v>
      </c>
      <c r="H31" s="131">
        <v>1</v>
      </c>
      <c r="I31" s="85"/>
    </row>
    <row r="32" spans="1:10" ht="15.95" customHeight="1" x14ac:dyDescent="0.3">
      <c r="A32" s="131">
        <f t="shared" si="0"/>
        <v>10056</v>
      </c>
      <c r="B32" s="138" t="s">
        <v>168</v>
      </c>
      <c r="C32" s="138"/>
      <c r="D32" s="131" t="s">
        <v>146</v>
      </c>
      <c r="E32" s="15" t="s">
        <v>58</v>
      </c>
      <c r="F32" s="15">
        <v>3</v>
      </c>
      <c r="G32" s="15">
        <f t="shared" si="1"/>
        <v>2</v>
      </c>
      <c r="H32" s="131">
        <v>1</v>
      </c>
      <c r="I32" s="85"/>
    </row>
    <row r="33" spans="1:10" ht="15.95" customHeight="1" x14ac:dyDescent="0.3">
      <c r="A33" s="131">
        <f t="shared" si="0"/>
        <v>10058</v>
      </c>
      <c r="B33" s="144" t="s">
        <v>0</v>
      </c>
      <c r="C33" s="144" t="s">
        <v>623</v>
      </c>
      <c r="D33" s="171" t="s">
        <v>641</v>
      </c>
      <c r="E33" s="143" t="s">
        <v>58</v>
      </c>
      <c r="F33" s="15">
        <v>3</v>
      </c>
      <c r="G33" s="15">
        <f t="shared" si="1"/>
        <v>2</v>
      </c>
      <c r="H33" s="131">
        <v>1</v>
      </c>
      <c r="I33" s="85"/>
    </row>
    <row r="34" spans="1:10" ht="15.95" customHeight="1" x14ac:dyDescent="0.3">
      <c r="A34" s="131">
        <f t="shared" si="0"/>
        <v>10060</v>
      </c>
      <c r="B34" s="144" t="s">
        <v>1</v>
      </c>
      <c r="C34" s="144" t="s">
        <v>624</v>
      </c>
      <c r="D34" s="171"/>
      <c r="E34" s="143" t="s">
        <v>58</v>
      </c>
      <c r="F34" s="15">
        <v>3</v>
      </c>
      <c r="G34" s="15">
        <f t="shared" si="1"/>
        <v>2</v>
      </c>
      <c r="H34" s="131">
        <v>1</v>
      </c>
      <c r="I34" s="85"/>
    </row>
    <row r="35" spans="1:10" ht="15.95" customHeight="1" x14ac:dyDescent="0.3">
      <c r="A35" s="143">
        <f t="shared" si="0"/>
        <v>10062</v>
      </c>
      <c r="B35" s="144" t="s">
        <v>2</v>
      </c>
      <c r="C35" s="144" t="s">
        <v>625</v>
      </c>
      <c r="D35" s="171"/>
      <c r="E35" s="143" t="s">
        <v>58</v>
      </c>
      <c r="F35" s="15">
        <v>3</v>
      </c>
      <c r="G35" s="15">
        <f t="shared" si="1"/>
        <v>2</v>
      </c>
      <c r="H35" s="131">
        <v>1</v>
      </c>
      <c r="I35" s="85"/>
    </row>
    <row r="36" spans="1:10" ht="15.95" customHeight="1" x14ac:dyDescent="0.3">
      <c r="A36" s="143">
        <f t="shared" si="0"/>
        <v>10064</v>
      </c>
      <c r="B36" s="144" t="s">
        <v>129</v>
      </c>
      <c r="C36" s="144"/>
      <c r="D36" s="171"/>
      <c r="E36" s="143" t="s">
        <v>58</v>
      </c>
      <c r="F36" s="15">
        <v>3</v>
      </c>
      <c r="G36" s="15">
        <f t="shared" si="1"/>
        <v>2</v>
      </c>
      <c r="H36" s="131">
        <v>1</v>
      </c>
      <c r="I36" s="85"/>
    </row>
    <row r="37" spans="1:10" ht="15.95" customHeight="1" x14ac:dyDescent="0.3">
      <c r="A37" s="143">
        <f t="shared" si="0"/>
        <v>10066</v>
      </c>
      <c r="B37" s="144" t="s">
        <v>5</v>
      </c>
      <c r="C37" s="144"/>
      <c r="D37" s="171"/>
      <c r="E37" s="143" t="s">
        <v>58</v>
      </c>
      <c r="F37" s="15">
        <v>3</v>
      </c>
      <c r="G37" s="15">
        <f t="shared" si="1"/>
        <v>2</v>
      </c>
      <c r="H37" s="131">
        <v>1</v>
      </c>
      <c r="I37" s="85"/>
    </row>
    <row r="38" spans="1:10" ht="15.95" customHeight="1" x14ac:dyDescent="0.3">
      <c r="A38" s="143">
        <f t="shared" si="0"/>
        <v>10068</v>
      </c>
      <c r="B38" s="144" t="s">
        <v>40</v>
      </c>
      <c r="C38" s="144"/>
      <c r="D38" s="143"/>
      <c r="E38" s="143" t="s">
        <v>58</v>
      </c>
      <c r="F38" s="15">
        <v>3</v>
      </c>
      <c r="G38" s="15">
        <f t="shared" si="1"/>
        <v>2</v>
      </c>
      <c r="H38" s="131">
        <v>1</v>
      </c>
      <c r="I38" s="131"/>
      <c r="J38" s="138" t="s">
        <v>582</v>
      </c>
    </row>
    <row r="39" spans="1:10" ht="15.95" customHeight="1" x14ac:dyDescent="0.3">
      <c r="A39" s="143">
        <f t="shared" si="0"/>
        <v>10070</v>
      </c>
      <c r="B39" s="144" t="s">
        <v>580</v>
      </c>
      <c r="C39" s="144" t="s">
        <v>581</v>
      </c>
      <c r="D39" s="143"/>
      <c r="E39" s="143" t="s">
        <v>58</v>
      </c>
      <c r="F39" s="15">
        <v>3</v>
      </c>
      <c r="G39" s="15">
        <f t="shared" si="1"/>
        <v>2</v>
      </c>
      <c r="H39" s="131">
        <v>1</v>
      </c>
      <c r="I39" s="85"/>
      <c r="J39" s="139" t="s">
        <v>583</v>
      </c>
    </row>
    <row r="40" spans="1:10" ht="15.95" customHeight="1" x14ac:dyDescent="0.3">
      <c r="A40" s="143">
        <f t="shared" si="0"/>
        <v>10072</v>
      </c>
      <c r="B40" s="144" t="s">
        <v>655</v>
      </c>
      <c r="C40" s="144"/>
      <c r="D40" s="143"/>
      <c r="E40" s="143" t="s">
        <v>58</v>
      </c>
      <c r="F40" s="15">
        <v>3</v>
      </c>
      <c r="G40" s="15">
        <f t="shared" si="1"/>
        <v>2</v>
      </c>
      <c r="H40" s="131">
        <v>1</v>
      </c>
      <c r="I40" s="85"/>
    </row>
    <row r="41" spans="1:10" ht="15.95" customHeight="1" x14ac:dyDescent="0.3">
      <c r="A41" s="131">
        <f t="shared" si="0"/>
        <v>10074</v>
      </c>
      <c r="B41" s="138" t="s">
        <v>182</v>
      </c>
      <c r="C41" s="173"/>
      <c r="D41" s="131"/>
      <c r="E41" s="15" t="s">
        <v>58</v>
      </c>
      <c r="F41" s="15">
        <v>3</v>
      </c>
      <c r="G41" s="15">
        <f t="shared" si="1"/>
        <v>2</v>
      </c>
      <c r="H41" s="131">
        <v>1</v>
      </c>
      <c r="I41" s="85"/>
    </row>
    <row r="42" spans="1:10" ht="15.95" customHeight="1" x14ac:dyDescent="0.3">
      <c r="A42" s="131">
        <f t="shared" si="0"/>
        <v>10076</v>
      </c>
      <c r="B42" s="138" t="s">
        <v>183</v>
      </c>
      <c r="C42" s="173"/>
      <c r="D42" s="131"/>
      <c r="E42" s="15" t="s">
        <v>58</v>
      </c>
      <c r="F42" s="15">
        <v>3</v>
      </c>
      <c r="G42" s="15">
        <f t="shared" si="1"/>
        <v>2</v>
      </c>
      <c r="H42" s="131">
        <v>1</v>
      </c>
      <c r="I42" s="85"/>
    </row>
    <row r="43" spans="1:10" ht="15.95" customHeight="1" x14ac:dyDescent="0.3">
      <c r="A43" s="131">
        <f t="shared" si="0"/>
        <v>10078</v>
      </c>
      <c r="B43" s="138" t="s">
        <v>184</v>
      </c>
      <c r="C43" s="173"/>
      <c r="D43" s="131"/>
      <c r="E43" s="15" t="s">
        <v>58</v>
      </c>
      <c r="F43" s="15">
        <v>3</v>
      </c>
      <c r="G43" s="15">
        <f t="shared" si="1"/>
        <v>2</v>
      </c>
      <c r="H43" s="131">
        <v>1</v>
      </c>
      <c r="I43" s="85"/>
    </row>
    <row r="44" spans="1:10" ht="15.95" customHeight="1" x14ac:dyDescent="0.3">
      <c r="A44" s="131">
        <f t="shared" si="0"/>
        <v>10080</v>
      </c>
      <c r="B44" s="138" t="s">
        <v>185</v>
      </c>
      <c r="C44" s="173"/>
      <c r="D44" s="131"/>
      <c r="E44" s="15" t="s">
        <v>58</v>
      </c>
      <c r="F44" s="15">
        <v>3</v>
      </c>
      <c r="G44" s="15">
        <f t="shared" si="1"/>
        <v>2</v>
      </c>
      <c r="H44" s="131">
        <v>1</v>
      </c>
      <c r="I44" s="85"/>
    </row>
    <row r="45" spans="1:10" ht="15.95" customHeight="1" x14ac:dyDescent="0.3">
      <c r="A45" s="131">
        <f t="shared" si="0"/>
        <v>10082</v>
      </c>
      <c r="B45" s="138" t="s">
        <v>186</v>
      </c>
      <c r="C45" s="173"/>
      <c r="D45" s="131"/>
      <c r="E45" s="15" t="s">
        <v>58</v>
      </c>
      <c r="F45" s="15">
        <v>3</v>
      </c>
      <c r="G45" s="15">
        <f t="shared" si="1"/>
        <v>2</v>
      </c>
      <c r="H45" s="131">
        <v>1</v>
      </c>
      <c r="I45" s="85"/>
    </row>
    <row r="46" spans="1:10" ht="15.95" customHeight="1" x14ac:dyDescent="0.3">
      <c r="A46" s="131">
        <f t="shared" si="0"/>
        <v>10084</v>
      </c>
      <c r="B46" s="138" t="s">
        <v>187</v>
      </c>
      <c r="C46" s="173"/>
      <c r="D46" s="131"/>
      <c r="E46" s="15" t="s">
        <v>58</v>
      </c>
      <c r="F46" s="15">
        <v>3</v>
      </c>
      <c r="G46" s="15">
        <f t="shared" si="1"/>
        <v>2</v>
      </c>
      <c r="H46" s="131">
        <v>1</v>
      </c>
      <c r="I46" s="85"/>
    </row>
    <row r="47" spans="1:10" ht="15.95" customHeight="1" x14ac:dyDescent="0.3">
      <c r="A47" s="131">
        <f t="shared" si="0"/>
        <v>10086</v>
      </c>
      <c r="B47" s="138" t="s">
        <v>191</v>
      </c>
      <c r="C47" s="173"/>
      <c r="D47" s="131"/>
      <c r="E47" s="15" t="s">
        <v>58</v>
      </c>
      <c r="F47" s="15">
        <v>3</v>
      </c>
      <c r="G47" s="15">
        <f t="shared" si="1"/>
        <v>2</v>
      </c>
      <c r="H47" s="131">
        <v>1</v>
      </c>
      <c r="I47" s="85"/>
    </row>
    <row r="48" spans="1:10" ht="15.95" customHeight="1" x14ac:dyDescent="0.3">
      <c r="A48" s="131">
        <f t="shared" si="0"/>
        <v>10088</v>
      </c>
      <c r="B48" s="138" t="s">
        <v>192</v>
      </c>
      <c r="C48" s="173"/>
      <c r="D48" s="131"/>
      <c r="E48" s="15" t="s">
        <v>58</v>
      </c>
      <c r="F48" s="15">
        <v>3</v>
      </c>
      <c r="G48" s="15">
        <f t="shared" si="1"/>
        <v>2</v>
      </c>
      <c r="H48" s="131">
        <v>1</v>
      </c>
      <c r="I48" s="85"/>
    </row>
    <row r="49" spans="1:9" ht="15.95" customHeight="1" x14ac:dyDescent="0.3">
      <c r="A49" s="131">
        <f t="shared" si="0"/>
        <v>10090</v>
      </c>
      <c r="B49" s="138" t="s">
        <v>193</v>
      </c>
      <c r="C49" s="173"/>
      <c r="D49" s="131"/>
      <c r="E49" s="15" t="s">
        <v>58</v>
      </c>
      <c r="F49" s="15">
        <v>3</v>
      </c>
      <c r="G49" s="15">
        <f t="shared" si="1"/>
        <v>2</v>
      </c>
      <c r="H49" s="131">
        <v>1</v>
      </c>
      <c r="I49" s="85"/>
    </row>
    <row r="50" spans="1:9" ht="15.95" customHeight="1" x14ac:dyDescent="0.3">
      <c r="A50" s="131">
        <f t="shared" si="0"/>
        <v>10092</v>
      </c>
      <c r="B50" s="138" t="s">
        <v>194</v>
      </c>
      <c r="C50" s="138"/>
      <c r="D50" s="163" t="s">
        <v>146</v>
      </c>
      <c r="E50" s="15" t="s">
        <v>58</v>
      </c>
      <c r="F50" s="15">
        <v>3</v>
      </c>
      <c r="G50" s="15">
        <f t="shared" si="1"/>
        <v>2</v>
      </c>
      <c r="H50" s="131">
        <v>1</v>
      </c>
      <c r="I50" s="85"/>
    </row>
    <row r="51" spans="1:9" ht="15.95" customHeight="1" x14ac:dyDescent="0.3">
      <c r="A51" s="131">
        <f t="shared" si="0"/>
        <v>10094</v>
      </c>
      <c r="B51" s="138" t="s">
        <v>188</v>
      </c>
      <c r="C51" s="138"/>
      <c r="D51" s="163"/>
      <c r="E51" s="15" t="s">
        <v>58</v>
      </c>
      <c r="F51" s="15">
        <v>3</v>
      </c>
      <c r="G51" s="15">
        <f t="shared" si="1"/>
        <v>2</v>
      </c>
      <c r="H51" s="131">
        <v>1</v>
      </c>
      <c r="I51" s="85"/>
    </row>
    <row r="52" spans="1:9" ht="15.95" customHeight="1" x14ac:dyDescent="0.3">
      <c r="A52" s="131">
        <f t="shared" si="0"/>
        <v>10096</v>
      </c>
      <c r="B52" s="144" t="s">
        <v>60</v>
      </c>
      <c r="C52" s="144" t="s">
        <v>602</v>
      </c>
      <c r="D52" s="171" t="s">
        <v>594</v>
      </c>
      <c r="E52" s="143" t="s">
        <v>58</v>
      </c>
      <c r="F52" s="15">
        <v>3</v>
      </c>
      <c r="G52" s="15">
        <f t="shared" si="1"/>
        <v>2</v>
      </c>
      <c r="H52" s="131">
        <v>1</v>
      </c>
      <c r="I52" s="85"/>
    </row>
    <row r="53" spans="1:9" ht="15.95" customHeight="1" x14ac:dyDescent="0.3">
      <c r="A53" s="143">
        <f t="shared" si="0"/>
        <v>10098</v>
      </c>
      <c r="B53" s="144" t="s">
        <v>148</v>
      </c>
      <c r="C53" s="144" t="s">
        <v>603</v>
      </c>
      <c r="D53" s="171"/>
      <c r="E53" s="143" t="s">
        <v>58</v>
      </c>
      <c r="F53" s="15">
        <v>3</v>
      </c>
      <c r="G53" s="15">
        <f t="shared" si="1"/>
        <v>2</v>
      </c>
      <c r="H53" s="131">
        <v>1</v>
      </c>
      <c r="I53" s="85"/>
    </row>
    <row r="54" spans="1:9" ht="15.95" customHeight="1" x14ac:dyDescent="0.3">
      <c r="A54" s="143">
        <f t="shared" si="0"/>
        <v>10100</v>
      </c>
      <c r="B54" s="144" t="s">
        <v>4</v>
      </c>
      <c r="C54" s="144" t="s">
        <v>604</v>
      </c>
      <c r="D54" s="171"/>
      <c r="E54" s="143" t="s">
        <v>58</v>
      </c>
      <c r="F54" s="15">
        <v>3</v>
      </c>
      <c r="G54" s="15">
        <f t="shared" si="1"/>
        <v>2</v>
      </c>
      <c r="H54" s="131">
        <v>1</v>
      </c>
      <c r="I54" s="85"/>
    </row>
    <row r="55" spans="1:9" ht="15.95" customHeight="1" x14ac:dyDescent="0.3">
      <c r="A55" s="143">
        <f t="shared" si="0"/>
        <v>10102</v>
      </c>
      <c r="B55" s="144" t="s">
        <v>61</v>
      </c>
      <c r="C55" s="144" t="s">
        <v>605</v>
      </c>
      <c r="D55" s="171"/>
      <c r="E55" s="143" t="s">
        <v>58</v>
      </c>
      <c r="F55" s="15">
        <v>3</v>
      </c>
      <c r="G55" s="15">
        <f t="shared" si="1"/>
        <v>2</v>
      </c>
      <c r="H55" s="131">
        <v>1</v>
      </c>
      <c r="I55" s="85"/>
    </row>
    <row r="56" spans="1:9" ht="15.95" customHeight="1" x14ac:dyDescent="0.3">
      <c r="A56" s="143">
        <f t="shared" si="0"/>
        <v>10104</v>
      </c>
      <c r="B56" s="144" t="s">
        <v>68</v>
      </c>
      <c r="C56" s="144"/>
      <c r="D56" s="171"/>
      <c r="E56" s="143" t="s">
        <v>58</v>
      </c>
      <c r="F56" s="15">
        <v>3</v>
      </c>
      <c r="G56" s="15">
        <f t="shared" si="1"/>
        <v>2</v>
      </c>
      <c r="H56" s="131">
        <v>1</v>
      </c>
      <c r="I56" s="85"/>
    </row>
    <row r="57" spans="1:9" ht="15.95" customHeight="1" x14ac:dyDescent="0.3">
      <c r="A57" s="143">
        <f t="shared" si="0"/>
        <v>10106</v>
      </c>
      <c r="B57" s="144" t="s">
        <v>69</v>
      </c>
      <c r="C57" s="144"/>
      <c r="D57" s="171"/>
      <c r="E57" s="143" t="s">
        <v>58</v>
      </c>
      <c r="F57" s="15">
        <v>3</v>
      </c>
      <c r="G57" s="15">
        <f t="shared" si="1"/>
        <v>2</v>
      </c>
      <c r="H57" s="131">
        <v>1</v>
      </c>
      <c r="I57" s="85"/>
    </row>
    <row r="58" spans="1:9" ht="15.95" customHeight="1" x14ac:dyDescent="0.3">
      <c r="A58" s="143">
        <f t="shared" si="0"/>
        <v>10108</v>
      </c>
      <c r="B58" s="144" t="s">
        <v>70</v>
      </c>
      <c r="C58" s="144"/>
      <c r="D58" s="171"/>
      <c r="E58" s="143" t="s">
        <v>58</v>
      </c>
      <c r="F58" s="15">
        <v>3</v>
      </c>
      <c r="G58" s="15">
        <f t="shared" si="1"/>
        <v>2</v>
      </c>
      <c r="H58" s="131">
        <v>1</v>
      </c>
      <c r="I58" s="85"/>
    </row>
    <row r="59" spans="1:9" ht="15.95" customHeight="1" x14ac:dyDescent="0.3">
      <c r="A59" s="143">
        <f t="shared" si="0"/>
        <v>10110</v>
      </c>
      <c r="B59" s="144" t="s">
        <v>71</v>
      </c>
      <c r="C59" s="144"/>
      <c r="D59" s="171"/>
      <c r="E59" s="143" t="s">
        <v>58</v>
      </c>
      <c r="F59" s="15">
        <v>3</v>
      </c>
      <c r="G59" s="15">
        <f t="shared" si="1"/>
        <v>2</v>
      </c>
      <c r="H59" s="131">
        <v>1</v>
      </c>
      <c r="I59" s="85"/>
    </row>
    <row r="60" spans="1:9" ht="15.95" customHeight="1" x14ac:dyDescent="0.3">
      <c r="A60" s="143">
        <f t="shared" si="0"/>
        <v>10112</v>
      </c>
      <c r="B60" s="144" t="s">
        <v>62</v>
      </c>
      <c r="C60" s="144" t="s">
        <v>606</v>
      </c>
      <c r="D60" s="171" t="s">
        <v>595</v>
      </c>
      <c r="E60" s="143" t="s">
        <v>58</v>
      </c>
      <c r="F60" s="15">
        <v>3</v>
      </c>
      <c r="G60" s="15">
        <f t="shared" si="1"/>
        <v>2</v>
      </c>
      <c r="H60" s="131">
        <v>1</v>
      </c>
      <c r="I60" s="85"/>
    </row>
    <row r="61" spans="1:9" ht="15.95" customHeight="1" x14ac:dyDescent="0.3">
      <c r="A61" s="143">
        <f t="shared" si="0"/>
        <v>10114</v>
      </c>
      <c r="B61" s="144" t="s">
        <v>63</v>
      </c>
      <c r="C61" s="144" t="s">
        <v>607</v>
      </c>
      <c r="D61" s="171"/>
      <c r="E61" s="143" t="s">
        <v>58</v>
      </c>
      <c r="F61" s="15">
        <v>3</v>
      </c>
      <c r="G61" s="15">
        <f t="shared" si="1"/>
        <v>2</v>
      </c>
      <c r="H61" s="131">
        <v>1</v>
      </c>
      <c r="I61" s="85"/>
    </row>
    <row r="62" spans="1:9" ht="15.95" customHeight="1" x14ac:dyDescent="0.3">
      <c r="A62" s="143">
        <f t="shared" si="0"/>
        <v>10116</v>
      </c>
      <c r="B62" s="144" t="s">
        <v>64</v>
      </c>
      <c r="C62" s="144" t="s">
        <v>608</v>
      </c>
      <c r="D62" s="171"/>
      <c r="E62" s="143" t="s">
        <v>58</v>
      </c>
      <c r="F62" s="15">
        <v>3</v>
      </c>
      <c r="G62" s="15">
        <f t="shared" si="1"/>
        <v>2</v>
      </c>
      <c r="H62" s="131">
        <v>1</v>
      </c>
      <c r="I62" s="85"/>
    </row>
    <row r="63" spans="1:9" ht="15.95" customHeight="1" x14ac:dyDescent="0.3">
      <c r="A63" s="143">
        <f t="shared" si="0"/>
        <v>10118</v>
      </c>
      <c r="B63" s="144" t="s">
        <v>65</v>
      </c>
      <c r="C63" s="144" t="s">
        <v>609</v>
      </c>
      <c r="D63" s="171"/>
      <c r="E63" s="143" t="s">
        <v>58</v>
      </c>
      <c r="F63" s="15">
        <v>3</v>
      </c>
      <c r="G63" s="15">
        <f t="shared" si="1"/>
        <v>2</v>
      </c>
      <c r="H63" s="131">
        <v>1</v>
      </c>
      <c r="I63" s="85"/>
    </row>
    <row r="64" spans="1:9" ht="15.95" customHeight="1" x14ac:dyDescent="0.3">
      <c r="A64" s="143">
        <f t="shared" si="0"/>
        <v>10120</v>
      </c>
      <c r="B64" s="144" t="s">
        <v>72</v>
      </c>
      <c r="C64" s="172"/>
      <c r="D64" s="171"/>
      <c r="E64" s="143" t="s">
        <v>58</v>
      </c>
      <c r="F64" s="15">
        <v>3</v>
      </c>
      <c r="G64" s="15">
        <f t="shared" si="1"/>
        <v>2</v>
      </c>
      <c r="H64" s="131">
        <v>1</v>
      </c>
      <c r="I64" s="85"/>
    </row>
    <row r="65" spans="1:10" ht="15.95" customHeight="1" x14ac:dyDescent="0.3">
      <c r="A65" s="143">
        <f t="shared" si="0"/>
        <v>10122</v>
      </c>
      <c r="B65" s="144" t="s">
        <v>73</v>
      </c>
      <c r="C65" s="172"/>
      <c r="D65" s="171"/>
      <c r="E65" s="143" t="s">
        <v>58</v>
      </c>
      <c r="F65" s="15">
        <v>3</v>
      </c>
      <c r="G65" s="15">
        <f t="shared" si="1"/>
        <v>2</v>
      </c>
      <c r="H65" s="131">
        <v>1</v>
      </c>
      <c r="I65" s="85"/>
    </row>
    <row r="66" spans="1:10" ht="15.95" customHeight="1" x14ac:dyDescent="0.3">
      <c r="A66" s="143">
        <f t="shared" si="0"/>
        <v>10124</v>
      </c>
      <c r="B66" s="144" t="s">
        <v>74</v>
      </c>
      <c r="C66" s="172"/>
      <c r="D66" s="171"/>
      <c r="E66" s="143" t="s">
        <v>58</v>
      </c>
      <c r="F66" s="15">
        <v>3</v>
      </c>
      <c r="G66" s="15">
        <f t="shared" si="1"/>
        <v>2</v>
      </c>
      <c r="H66" s="131">
        <v>1</v>
      </c>
      <c r="I66" s="85"/>
    </row>
    <row r="67" spans="1:10" ht="15.95" customHeight="1" x14ac:dyDescent="0.3">
      <c r="A67" s="143">
        <f t="shared" si="0"/>
        <v>10126</v>
      </c>
      <c r="B67" s="144" t="s">
        <v>75</v>
      </c>
      <c r="C67" s="172"/>
      <c r="D67" s="171"/>
      <c r="E67" s="143" t="s">
        <v>58</v>
      </c>
      <c r="F67" s="15">
        <v>3</v>
      </c>
      <c r="G67" s="15">
        <f t="shared" si="1"/>
        <v>2</v>
      </c>
      <c r="H67" s="131">
        <v>1</v>
      </c>
      <c r="I67" s="85"/>
    </row>
    <row r="68" spans="1:10" ht="15.95" customHeight="1" x14ac:dyDescent="0.3">
      <c r="A68" s="143">
        <f t="shared" si="0"/>
        <v>10128</v>
      </c>
      <c r="B68" s="144" t="s">
        <v>66</v>
      </c>
      <c r="C68" s="144" t="s">
        <v>610</v>
      </c>
      <c r="D68" s="171" t="s">
        <v>596</v>
      </c>
      <c r="E68" s="143" t="s">
        <v>58</v>
      </c>
      <c r="F68" s="15">
        <v>3</v>
      </c>
      <c r="G68" s="15">
        <f t="shared" si="1"/>
        <v>2</v>
      </c>
      <c r="H68" s="131">
        <v>1</v>
      </c>
      <c r="I68" s="85"/>
    </row>
    <row r="69" spans="1:10" ht="15.95" customHeight="1" x14ac:dyDescent="0.3">
      <c r="A69" s="143">
        <f t="shared" ref="A69:A123" si="2">A68+(G68*H68)</f>
        <v>10130</v>
      </c>
      <c r="B69" s="144" t="s">
        <v>6</v>
      </c>
      <c r="C69" s="144" t="s">
        <v>611</v>
      </c>
      <c r="D69" s="171"/>
      <c r="E69" s="143" t="s">
        <v>58</v>
      </c>
      <c r="F69" s="15">
        <v>3</v>
      </c>
      <c r="G69" s="15">
        <f t="shared" si="1"/>
        <v>2</v>
      </c>
      <c r="H69" s="131">
        <v>1</v>
      </c>
      <c r="I69" s="85"/>
    </row>
    <row r="70" spans="1:10" ht="15.95" customHeight="1" x14ac:dyDescent="0.3">
      <c r="A70" s="143">
        <f t="shared" si="2"/>
        <v>10132</v>
      </c>
      <c r="B70" s="144" t="s">
        <v>7</v>
      </c>
      <c r="C70" s="144" t="s">
        <v>612</v>
      </c>
      <c r="D70" s="171"/>
      <c r="E70" s="143" t="s">
        <v>58</v>
      </c>
      <c r="F70" s="15">
        <v>3</v>
      </c>
      <c r="G70" s="15">
        <f t="shared" ref="G70:G91" si="3">IF(OR(E70="U16",E70="S16"),1,IF(E70="TS",6,IF(E70="U64",4,2)))</f>
        <v>2</v>
      </c>
      <c r="H70" s="131">
        <v>1</v>
      </c>
      <c r="I70" s="85"/>
      <c r="J70" s="27"/>
    </row>
    <row r="71" spans="1:10" ht="15.95" customHeight="1" x14ac:dyDescent="0.3">
      <c r="A71" s="143">
        <f t="shared" si="2"/>
        <v>10134</v>
      </c>
      <c r="B71" s="144" t="s">
        <v>67</v>
      </c>
      <c r="C71" s="144" t="s">
        <v>613</v>
      </c>
      <c r="D71" s="171"/>
      <c r="E71" s="143" t="s">
        <v>58</v>
      </c>
      <c r="F71" s="15">
        <v>3</v>
      </c>
      <c r="G71" s="15">
        <f t="shared" si="3"/>
        <v>2</v>
      </c>
      <c r="H71" s="131">
        <v>1</v>
      </c>
      <c r="I71" s="85"/>
    </row>
    <row r="72" spans="1:10" ht="15.95" customHeight="1" x14ac:dyDescent="0.3">
      <c r="A72" s="143">
        <f t="shared" si="2"/>
        <v>10136</v>
      </c>
      <c r="B72" s="144" t="s">
        <v>76</v>
      </c>
      <c r="C72" s="172"/>
      <c r="D72" s="171"/>
      <c r="E72" s="143" t="s">
        <v>58</v>
      </c>
      <c r="F72" s="15">
        <v>3</v>
      </c>
      <c r="G72" s="15">
        <f t="shared" si="3"/>
        <v>2</v>
      </c>
      <c r="H72" s="131">
        <v>1</v>
      </c>
      <c r="I72" s="85"/>
    </row>
    <row r="73" spans="1:10" ht="15.95" customHeight="1" x14ac:dyDescent="0.3">
      <c r="A73" s="143">
        <f t="shared" si="2"/>
        <v>10138</v>
      </c>
      <c r="B73" s="144" t="s">
        <v>77</v>
      </c>
      <c r="C73" s="172"/>
      <c r="D73" s="171"/>
      <c r="E73" s="143" t="s">
        <v>58</v>
      </c>
      <c r="F73" s="15">
        <v>3</v>
      </c>
      <c r="G73" s="15">
        <f t="shared" si="3"/>
        <v>2</v>
      </c>
      <c r="H73" s="131">
        <v>1</v>
      </c>
      <c r="I73" s="85"/>
    </row>
    <row r="74" spans="1:10" ht="15.95" customHeight="1" x14ac:dyDescent="0.3">
      <c r="A74" s="143">
        <f t="shared" si="2"/>
        <v>10140</v>
      </c>
      <c r="B74" s="144" t="s">
        <v>78</v>
      </c>
      <c r="C74" s="172"/>
      <c r="D74" s="171"/>
      <c r="E74" s="143" t="s">
        <v>58</v>
      </c>
      <c r="F74" s="15">
        <v>3</v>
      </c>
      <c r="G74" s="15">
        <f t="shared" si="3"/>
        <v>2</v>
      </c>
      <c r="H74" s="131">
        <v>1</v>
      </c>
      <c r="I74" s="85"/>
    </row>
    <row r="75" spans="1:10" ht="15.95" customHeight="1" x14ac:dyDescent="0.3">
      <c r="A75" s="143">
        <f t="shared" si="2"/>
        <v>10142</v>
      </c>
      <c r="B75" s="144" t="s">
        <v>79</v>
      </c>
      <c r="C75" s="172"/>
      <c r="D75" s="171"/>
      <c r="E75" s="143" t="s">
        <v>58</v>
      </c>
      <c r="F75" s="15">
        <v>3</v>
      </c>
      <c r="G75" s="15">
        <f t="shared" si="3"/>
        <v>2</v>
      </c>
      <c r="H75" s="131">
        <v>1</v>
      </c>
      <c r="I75" s="85"/>
    </row>
    <row r="76" spans="1:10" ht="15.95" customHeight="1" x14ac:dyDescent="0.3">
      <c r="A76" s="143">
        <f t="shared" si="2"/>
        <v>10144</v>
      </c>
      <c r="B76" s="144" t="s">
        <v>80</v>
      </c>
      <c r="C76" s="144" t="s">
        <v>615</v>
      </c>
      <c r="D76" s="171" t="s">
        <v>146</v>
      </c>
      <c r="E76" s="143" t="s">
        <v>58</v>
      </c>
      <c r="F76" s="143">
        <v>3</v>
      </c>
      <c r="G76" s="143">
        <f t="shared" si="3"/>
        <v>2</v>
      </c>
      <c r="H76" s="131">
        <v>1</v>
      </c>
      <c r="I76" s="85"/>
    </row>
    <row r="77" spans="1:10" ht="15.95" customHeight="1" x14ac:dyDescent="0.3">
      <c r="A77" s="143">
        <f t="shared" si="2"/>
        <v>10146</v>
      </c>
      <c r="B77" s="144" t="s">
        <v>8</v>
      </c>
      <c r="C77" s="144" t="s">
        <v>616</v>
      </c>
      <c r="D77" s="171"/>
      <c r="E77" s="143" t="s">
        <v>58</v>
      </c>
      <c r="F77" s="143">
        <v>3</v>
      </c>
      <c r="G77" s="143">
        <f t="shared" si="3"/>
        <v>2</v>
      </c>
      <c r="H77" s="131">
        <v>1</v>
      </c>
      <c r="I77" s="85"/>
    </row>
    <row r="78" spans="1:10" ht="15.95" customHeight="1" x14ac:dyDescent="0.3">
      <c r="A78" s="143">
        <f t="shared" si="2"/>
        <v>10148</v>
      </c>
      <c r="B78" s="144" t="s">
        <v>9</v>
      </c>
      <c r="C78" s="144" t="s">
        <v>617</v>
      </c>
      <c r="D78" s="171"/>
      <c r="E78" s="143" t="s">
        <v>58</v>
      </c>
      <c r="F78" s="143">
        <v>3</v>
      </c>
      <c r="G78" s="143">
        <f t="shared" si="3"/>
        <v>2</v>
      </c>
      <c r="H78" s="131">
        <v>1</v>
      </c>
      <c r="I78" s="85"/>
    </row>
    <row r="79" spans="1:10" ht="15.95" customHeight="1" x14ac:dyDescent="0.3">
      <c r="A79" s="143">
        <f t="shared" si="2"/>
        <v>10150</v>
      </c>
      <c r="B79" s="144" t="s">
        <v>81</v>
      </c>
      <c r="C79" s="144" t="s">
        <v>614</v>
      </c>
      <c r="D79" s="171"/>
      <c r="E79" s="143" t="s">
        <v>58</v>
      </c>
      <c r="F79" s="143">
        <v>3</v>
      </c>
      <c r="G79" s="143">
        <f t="shared" si="3"/>
        <v>2</v>
      </c>
      <c r="H79" s="131">
        <v>1</v>
      </c>
      <c r="I79" s="85"/>
    </row>
    <row r="80" spans="1:10" ht="15.95" customHeight="1" x14ac:dyDescent="0.3">
      <c r="A80" s="131">
        <f t="shared" si="2"/>
        <v>10152</v>
      </c>
      <c r="B80" s="138" t="s">
        <v>82</v>
      </c>
      <c r="C80" s="173"/>
      <c r="D80" s="163" t="s">
        <v>146</v>
      </c>
      <c r="E80" s="15" t="s">
        <v>58</v>
      </c>
      <c r="F80" s="15">
        <v>3</v>
      </c>
      <c r="G80" s="15">
        <f t="shared" si="3"/>
        <v>2</v>
      </c>
      <c r="H80" s="131">
        <v>1</v>
      </c>
      <c r="I80" s="85"/>
    </row>
    <row r="81" spans="1:10" ht="15.95" customHeight="1" x14ac:dyDescent="0.3">
      <c r="A81" s="131">
        <f t="shared" si="2"/>
        <v>10154</v>
      </c>
      <c r="B81" s="138" t="s">
        <v>83</v>
      </c>
      <c r="C81" s="173"/>
      <c r="D81" s="163"/>
      <c r="E81" s="15" t="s">
        <v>58</v>
      </c>
      <c r="F81" s="15">
        <v>3</v>
      </c>
      <c r="G81" s="15">
        <f t="shared" si="3"/>
        <v>2</v>
      </c>
      <c r="H81" s="131">
        <v>1</v>
      </c>
      <c r="I81" s="85"/>
    </row>
    <row r="82" spans="1:10" ht="15.95" customHeight="1" x14ac:dyDescent="0.3">
      <c r="A82" s="131">
        <f t="shared" si="2"/>
        <v>10156</v>
      </c>
      <c r="B82" s="138" t="s">
        <v>84</v>
      </c>
      <c r="C82" s="173"/>
      <c r="D82" s="163"/>
      <c r="E82" s="15" t="s">
        <v>58</v>
      </c>
      <c r="F82" s="15">
        <v>3</v>
      </c>
      <c r="G82" s="15">
        <f t="shared" si="3"/>
        <v>2</v>
      </c>
      <c r="H82" s="131">
        <v>1</v>
      </c>
      <c r="I82" s="85"/>
    </row>
    <row r="83" spans="1:10" ht="15.95" customHeight="1" x14ac:dyDescent="0.3">
      <c r="A83" s="131">
        <f t="shared" si="2"/>
        <v>10158</v>
      </c>
      <c r="B83" s="138" t="s">
        <v>85</v>
      </c>
      <c r="C83" s="173"/>
      <c r="D83" s="163"/>
      <c r="E83" s="15" t="s">
        <v>58</v>
      </c>
      <c r="F83" s="15">
        <v>3</v>
      </c>
      <c r="G83" s="15">
        <f t="shared" si="3"/>
        <v>2</v>
      </c>
      <c r="H83" s="131">
        <v>1</v>
      </c>
      <c r="I83" s="85"/>
    </row>
    <row r="84" spans="1:10" ht="15.95" customHeight="1" x14ac:dyDescent="0.3">
      <c r="A84" s="131">
        <f t="shared" si="2"/>
        <v>10160</v>
      </c>
      <c r="B84" s="138" t="s">
        <v>108</v>
      </c>
      <c r="C84" s="173"/>
      <c r="D84" s="163" t="s">
        <v>594</v>
      </c>
      <c r="E84" s="15" t="s">
        <v>58</v>
      </c>
      <c r="F84" s="15">
        <v>3</v>
      </c>
      <c r="G84" s="15">
        <f t="shared" si="3"/>
        <v>2</v>
      </c>
      <c r="H84" s="131">
        <v>1</v>
      </c>
      <c r="I84" s="85"/>
      <c r="J84" s="182" t="s">
        <v>112</v>
      </c>
    </row>
    <row r="85" spans="1:10" ht="15.95" customHeight="1" x14ac:dyDescent="0.3">
      <c r="A85" s="131">
        <f t="shared" si="2"/>
        <v>10162</v>
      </c>
      <c r="B85" s="138" t="s">
        <v>109</v>
      </c>
      <c r="C85" s="173"/>
      <c r="D85" s="163"/>
      <c r="E85" s="15" t="s">
        <v>58</v>
      </c>
      <c r="F85" s="15">
        <v>3</v>
      </c>
      <c r="G85" s="15">
        <f t="shared" si="3"/>
        <v>2</v>
      </c>
      <c r="H85" s="131">
        <v>1</v>
      </c>
      <c r="I85" s="85"/>
      <c r="J85" s="182"/>
    </row>
    <row r="86" spans="1:10" ht="15.95" customHeight="1" x14ac:dyDescent="0.3">
      <c r="A86" s="131">
        <f t="shared" si="2"/>
        <v>10164</v>
      </c>
      <c r="B86" s="138" t="s">
        <v>110</v>
      </c>
      <c r="C86" s="173"/>
      <c r="D86" s="163"/>
      <c r="E86" s="15" t="s">
        <v>58</v>
      </c>
      <c r="F86" s="15">
        <v>3</v>
      </c>
      <c r="G86" s="15">
        <f t="shared" si="3"/>
        <v>2</v>
      </c>
      <c r="H86" s="131">
        <v>1</v>
      </c>
      <c r="I86" s="85"/>
      <c r="J86" s="182"/>
    </row>
    <row r="87" spans="1:10" ht="15.95" customHeight="1" x14ac:dyDescent="0.3">
      <c r="A87" s="131">
        <f t="shared" si="2"/>
        <v>10166</v>
      </c>
      <c r="B87" s="138" t="s">
        <v>111</v>
      </c>
      <c r="C87" s="173"/>
      <c r="D87" s="163"/>
      <c r="E87" s="15" t="s">
        <v>58</v>
      </c>
      <c r="F87" s="15">
        <v>3</v>
      </c>
      <c r="G87" s="15">
        <f t="shared" si="3"/>
        <v>2</v>
      </c>
      <c r="H87" s="131">
        <v>1</v>
      </c>
      <c r="I87" s="85"/>
      <c r="J87" s="182"/>
    </row>
    <row r="88" spans="1:10" ht="15.95" customHeight="1" x14ac:dyDescent="0.3">
      <c r="A88" s="131">
        <f t="shared" si="2"/>
        <v>10168</v>
      </c>
      <c r="B88" s="138" t="s">
        <v>105</v>
      </c>
      <c r="C88" s="173"/>
      <c r="D88" s="163" t="s">
        <v>642</v>
      </c>
      <c r="E88" s="15" t="s">
        <v>58</v>
      </c>
      <c r="F88" s="15">
        <v>3</v>
      </c>
      <c r="G88" s="15">
        <f t="shared" si="3"/>
        <v>2</v>
      </c>
      <c r="H88" s="131">
        <v>1</v>
      </c>
      <c r="I88" s="85"/>
      <c r="J88" s="182" t="s">
        <v>394</v>
      </c>
    </row>
    <row r="89" spans="1:10" ht="15.95" customHeight="1" x14ac:dyDescent="0.3">
      <c r="A89" s="131">
        <f t="shared" si="2"/>
        <v>10170</v>
      </c>
      <c r="B89" s="138" t="s">
        <v>106</v>
      </c>
      <c r="C89" s="173"/>
      <c r="D89" s="163"/>
      <c r="E89" s="15" t="s">
        <v>58</v>
      </c>
      <c r="F89" s="15">
        <v>3</v>
      </c>
      <c r="G89" s="15">
        <f t="shared" si="3"/>
        <v>2</v>
      </c>
      <c r="H89" s="131">
        <v>1</v>
      </c>
      <c r="I89" s="85"/>
      <c r="J89" s="182"/>
    </row>
    <row r="90" spans="1:10" ht="15.95" customHeight="1" x14ac:dyDescent="0.3">
      <c r="A90" s="131">
        <f t="shared" si="2"/>
        <v>10172</v>
      </c>
      <c r="B90" s="138" t="s">
        <v>107</v>
      </c>
      <c r="C90" s="173"/>
      <c r="D90" s="163"/>
      <c r="E90" s="15" t="s">
        <v>58</v>
      </c>
      <c r="F90" s="15">
        <v>3</v>
      </c>
      <c r="G90" s="15">
        <f t="shared" si="3"/>
        <v>2</v>
      </c>
      <c r="H90" s="131">
        <v>1</v>
      </c>
      <c r="I90" s="85"/>
      <c r="J90" s="182"/>
    </row>
    <row r="91" spans="1:10" ht="15.95" customHeight="1" x14ac:dyDescent="0.3">
      <c r="A91" s="131">
        <f t="shared" si="2"/>
        <v>10174</v>
      </c>
      <c r="B91" s="138" t="s">
        <v>41</v>
      </c>
      <c r="C91" s="173"/>
      <c r="D91" s="131"/>
      <c r="E91" s="15" t="s">
        <v>58</v>
      </c>
      <c r="F91" s="15">
        <v>3</v>
      </c>
      <c r="G91" s="15">
        <f t="shared" si="3"/>
        <v>2</v>
      </c>
      <c r="H91" s="131">
        <v>1</v>
      </c>
      <c r="I91" s="89"/>
      <c r="J91" s="41" t="s">
        <v>41</v>
      </c>
    </row>
    <row r="92" spans="1:10" ht="15.95" customHeight="1" x14ac:dyDescent="0.3">
      <c r="A92" s="131">
        <f t="shared" si="2"/>
        <v>10176</v>
      </c>
      <c r="B92" s="138" t="s">
        <v>18</v>
      </c>
      <c r="C92" s="173"/>
      <c r="D92" s="163" t="s">
        <v>146</v>
      </c>
      <c r="E92" s="15" t="s">
        <v>58</v>
      </c>
      <c r="F92" s="15">
        <v>3</v>
      </c>
      <c r="G92" s="15">
        <f t="shared" ref="G92:G123" si="4">IF(OR(E92="U16", E92="S16"),1,IF(E92="TS",6,2))</f>
        <v>2</v>
      </c>
      <c r="H92" s="131">
        <v>1</v>
      </c>
      <c r="I92" s="85"/>
    </row>
    <row r="93" spans="1:10" ht="15.95" customHeight="1" x14ac:dyDescent="0.3">
      <c r="A93" s="131">
        <f t="shared" si="2"/>
        <v>10178</v>
      </c>
      <c r="B93" s="138" t="s">
        <v>19</v>
      </c>
      <c r="C93" s="173"/>
      <c r="D93" s="163"/>
      <c r="E93" s="15" t="s">
        <v>58</v>
      </c>
      <c r="F93" s="15">
        <v>3</v>
      </c>
      <c r="G93" s="15">
        <f t="shared" si="4"/>
        <v>2</v>
      </c>
      <c r="H93" s="131">
        <v>1</v>
      </c>
      <c r="I93" s="85"/>
      <c r="J93" s="139" t="s">
        <v>178</v>
      </c>
    </row>
    <row r="94" spans="1:10" ht="15.95" customHeight="1" x14ac:dyDescent="0.3">
      <c r="A94" s="131">
        <f t="shared" si="2"/>
        <v>10180</v>
      </c>
      <c r="B94" s="138" t="s">
        <v>20</v>
      </c>
      <c r="C94" s="173"/>
      <c r="D94" s="163"/>
      <c r="E94" s="15" t="s">
        <v>58</v>
      </c>
      <c r="F94" s="15">
        <v>3</v>
      </c>
      <c r="G94" s="15">
        <f t="shared" si="4"/>
        <v>2</v>
      </c>
      <c r="H94" s="131">
        <v>1</v>
      </c>
      <c r="I94" s="85"/>
    </row>
    <row r="95" spans="1:10" ht="15.95" customHeight="1" x14ac:dyDescent="0.3">
      <c r="A95" s="131">
        <f t="shared" si="2"/>
        <v>10182</v>
      </c>
      <c r="B95" s="138" t="s">
        <v>21</v>
      </c>
      <c r="C95" s="173"/>
      <c r="D95" s="163"/>
      <c r="E95" s="15" t="s">
        <v>58</v>
      </c>
      <c r="F95" s="15">
        <v>3</v>
      </c>
      <c r="G95" s="15">
        <f t="shared" si="4"/>
        <v>2</v>
      </c>
      <c r="H95" s="131">
        <v>1</v>
      </c>
      <c r="I95" s="85"/>
    </row>
    <row r="96" spans="1:10" ht="15.95" customHeight="1" x14ac:dyDescent="0.3">
      <c r="A96" s="131">
        <f t="shared" si="2"/>
        <v>10184</v>
      </c>
      <c r="B96" s="138" t="s">
        <v>22</v>
      </c>
      <c r="C96" s="173"/>
      <c r="D96" s="163"/>
      <c r="E96" s="15" t="s">
        <v>58</v>
      </c>
      <c r="F96" s="15">
        <v>3</v>
      </c>
      <c r="G96" s="15">
        <f t="shared" si="4"/>
        <v>2</v>
      </c>
      <c r="H96" s="131">
        <v>1</v>
      </c>
      <c r="I96" s="85"/>
    </row>
    <row r="97" spans="1:9" ht="15.95" customHeight="1" x14ac:dyDescent="0.3">
      <c r="A97" s="131">
        <f t="shared" si="2"/>
        <v>10186</v>
      </c>
      <c r="B97" s="138" t="s">
        <v>23</v>
      </c>
      <c r="C97" s="173"/>
      <c r="D97" s="163"/>
      <c r="E97" s="15" t="s">
        <v>58</v>
      </c>
      <c r="F97" s="15">
        <v>3</v>
      </c>
      <c r="G97" s="15">
        <f t="shared" si="4"/>
        <v>2</v>
      </c>
      <c r="H97" s="131">
        <v>1</v>
      </c>
      <c r="I97" s="85"/>
    </row>
    <row r="98" spans="1:9" ht="15.95" customHeight="1" x14ac:dyDescent="0.3">
      <c r="A98" s="131">
        <f t="shared" si="2"/>
        <v>10188</v>
      </c>
      <c r="B98" s="138" t="s">
        <v>86</v>
      </c>
      <c r="C98" s="138" t="s">
        <v>643</v>
      </c>
      <c r="D98" s="163"/>
      <c r="E98" s="15" t="s">
        <v>58</v>
      </c>
      <c r="F98" s="15">
        <v>3</v>
      </c>
      <c r="G98" s="15">
        <f t="shared" si="4"/>
        <v>2</v>
      </c>
      <c r="H98" s="131">
        <v>1</v>
      </c>
      <c r="I98" s="85"/>
    </row>
    <row r="99" spans="1:9" ht="15.95" customHeight="1" x14ac:dyDescent="0.3">
      <c r="A99" s="131">
        <f t="shared" si="2"/>
        <v>10190</v>
      </c>
      <c r="B99" s="138" t="s">
        <v>16</v>
      </c>
      <c r="C99" s="138"/>
      <c r="D99" s="163"/>
      <c r="E99" s="15" t="s">
        <v>58</v>
      </c>
      <c r="F99" s="15">
        <v>3</v>
      </c>
      <c r="G99" s="15">
        <f t="shared" si="4"/>
        <v>2</v>
      </c>
      <c r="H99" s="131">
        <v>1</v>
      </c>
      <c r="I99" s="85"/>
    </row>
    <row r="100" spans="1:9" ht="15.95" customHeight="1" x14ac:dyDescent="0.3">
      <c r="A100" s="131">
        <f t="shared" si="2"/>
        <v>10192</v>
      </c>
      <c r="B100" s="138" t="s">
        <v>17</v>
      </c>
      <c r="C100" s="138"/>
      <c r="D100" s="163"/>
      <c r="E100" s="15" t="s">
        <v>58</v>
      </c>
      <c r="F100" s="15">
        <v>3</v>
      </c>
      <c r="G100" s="15">
        <f t="shared" si="4"/>
        <v>2</v>
      </c>
      <c r="H100" s="131">
        <v>1</v>
      </c>
      <c r="I100" s="85"/>
    </row>
    <row r="101" spans="1:9" ht="15.95" customHeight="1" x14ac:dyDescent="0.3">
      <c r="A101" s="131">
        <f t="shared" si="2"/>
        <v>10194</v>
      </c>
      <c r="B101" s="138" t="s">
        <v>87</v>
      </c>
      <c r="C101" s="138"/>
      <c r="D101" s="163"/>
      <c r="E101" s="15" t="s">
        <v>58</v>
      </c>
      <c r="F101" s="15">
        <v>3</v>
      </c>
      <c r="G101" s="15">
        <f t="shared" si="4"/>
        <v>2</v>
      </c>
      <c r="H101" s="131">
        <v>1</v>
      </c>
      <c r="I101" s="85"/>
    </row>
    <row r="102" spans="1:9" ht="15.95" customHeight="1" x14ac:dyDescent="0.3">
      <c r="A102" s="131">
        <f t="shared" si="2"/>
        <v>10196</v>
      </c>
      <c r="B102" s="138" t="s">
        <v>88</v>
      </c>
      <c r="C102" s="138"/>
      <c r="D102" s="163"/>
      <c r="E102" s="15" t="s">
        <v>58</v>
      </c>
      <c r="F102" s="15">
        <v>3</v>
      </c>
      <c r="G102" s="15">
        <f t="shared" si="4"/>
        <v>2</v>
      </c>
      <c r="H102" s="131">
        <v>1</v>
      </c>
      <c r="I102" s="85"/>
    </row>
    <row r="103" spans="1:9" ht="15.95" customHeight="1" x14ac:dyDescent="0.3">
      <c r="A103" s="131">
        <f t="shared" si="2"/>
        <v>10198</v>
      </c>
      <c r="B103" s="138" t="s">
        <v>89</v>
      </c>
      <c r="C103" s="138"/>
      <c r="D103" s="163"/>
      <c r="E103" s="15" t="s">
        <v>58</v>
      </c>
      <c r="F103" s="15">
        <v>3</v>
      </c>
      <c r="G103" s="15">
        <f t="shared" si="4"/>
        <v>2</v>
      </c>
      <c r="H103" s="131">
        <v>1</v>
      </c>
      <c r="I103" s="85"/>
    </row>
    <row r="104" spans="1:9" ht="15.95" customHeight="1" x14ac:dyDescent="0.3">
      <c r="A104" s="131">
        <f t="shared" si="2"/>
        <v>10200</v>
      </c>
      <c r="B104" s="138" t="s">
        <v>24</v>
      </c>
      <c r="C104" s="138"/>
      <c r="D104" s="163"/>
      <c r="E104" s="15" t="s">
        <v>58</v>
      </c>
      <c r="F104" s="15">
        <v>3</v>
      </c>
      <c r="G104" s="15">
        <f t="shared" si="4"/>
        <v>2</v>
      </c>
      <c r="H104" s="131">
        <v>1</v>
      </c>
      <c r="I104" s="85"/>
    </row>
    <row r="105" spans="1:9" ht="15.95" customHeight="1" x14ac:dyDescent="0.3">
      <c r="A105" s="131">
        <f t="shared" si="2"/>
        <v>10202</v>
      </c>
      <c r="B105" s="138" t="s">
        <v>25</v>
      </c>
      <c r="C105" s="138"/>
      <c r="D105" s="163"/>
      <c r="E105" s="15" t="s">
        <v>58</v>
      </c>
      <c r="F105" s="15">
        <v>3</v>
      </c>
      <c r="G105" s="15">
        <f t="shared" si="4"/>
        <v>2</v>
      </c>
      <c r="H105" s="131">
        <v>1</v>
      </c>
      <c r="I105" s="85"/>
    </row>
    <row r="106" spans="1:9" ht="15.95" customHeight="1" x14ac:dyDescent="0.3">
      <c r="A106" s="131">
        <f t="shared" si="2"/>
        <v>10204</v>
      </c>
      <c r="B106" s="138" t="s">
        <v>26</v>
      </c>
      <c r="C106" s="138"/>
      <c r="D106" s="163"/>
      <c r="E106" s="15" t="s">
        <v>58</v>
      </c>
      <c r="F106" s="15">
        <v>3</v>
      </c>
      <c r="G106" s="15">
        <f t="shared" si="4"/>
        <v>2</v>
      </c>
      <c r="H106" s="131">
        <v>1</v>
      </c>
      <c r="I106" s="85"/>
    </row>
    <row r="107" spans="1:9" ht="15.95" customHeight="1" x14ac:dyDescent="0.3">
      <c r="A107" s="131">
        <f t="shared" si="2"/>
        <v>10206</v>
      </c>
      <c r="B107" s="138" t="s">
        <v>27</v>
      </c>
      <c r="C107" s="138"/>
      <c r="D107" s="163"/>
      <c r="E107" s="15" t="s">
        <v>58</v>
      </c>
      <c r="F107" s="15">
        <v>3</v>
      </c>
      <c r="G107" s="15">
        <f t="shared" si="4"/>
        <v>2</v>
      </c>
      <c r="H107" s="131">
        <v>1</v>
      </c>
      <c r="I107" s="85"/>
    </row>
    <row r="108" spans="1:9" ht="15.95" customHeight="1" x14ac:dyDescent="0.3">
      <c r="A108" s="131">
        <f t="shared" si="2"/>
        <v>10208</v>
      </c>
      <c r="B108" s="138" t="s">
        <v>28</v>
      </c>
      <c r="C108" s="138"/>
      <c r="D108" s="163"/>
      <c r="E108" s="15" t="s">
        <v>58</v>
      </c>
      <c r="F108" s="15">
        <v>3</v>
      </c>
      <c r="G108" s="15">
        <f t="shared" si="4"/>
        <v>2</v>
      </c>
      <c r="H108" s="131">
        <v>1</v>
      </c>
      <c r="I108" s="85"/>
    </row>
    <row r="109" spans="1:9" ht="15.95" customHeight="1" x14ac:dyDescent="0.3">
      <c r="A109" s="131">
        <f t="shared" si="2"/>
        <v>10210</v>
      </c>
      <c r="B109" s="138" t="s">
        <v>29</v>
      </c>
      <c r="C109" s="138"/>
      <c r="D109" s="163"/>
      <c r="E109" s="15" t="s">
        <v>58</v>
      </c>
      <c r="F109" s="15">
        <v>3</v>
      </c>
      <c r="G109" s="15">
        <f t="shared" si="4"/>
        <v>2</v>
      </c>
      <c r="H109" s="131">
        <v>1</v>
      </c>
      <c r="I109" s="85"/>
    </row>
    <row r="110" spans="1:9" ht="15.95" customHeight="1" x14ac:dyDescent="0.3">
      <c r="A110" s="131">
        <f t="shared" si="2"/>
        <v>10212</v>
      </c>
      <c r="B110" s="138" t="s">
        <v>10</v>
      </c>
      <c r="C110" s="138" t="s">
        <v>644</v>
      </c>
      <c r="D110" s="163"/>
      <c r="E110" s="15" t="s">
        <v>58</v>
      </c>
      <c r="F110" s="15">
        <v>3</v>
      </c>
      <c r="G110" s="15">
        <f t="shared" si="4"/>
        <v>2</v>
      </c>
      <c r="H110" s="131">
        <v>1</v>
      </c>
      <c r="I110" s="85"/>
    </row>
    <row r="111" spans="1:9" ht="15.95" customHeight="1" x14ac:dyDescent="0.3">
      <c r="A111" s="131">
        <f t="shared" si="2"/>
        <v>10214</v>
      </c>
      <c r="B111" s="138" t="s">
        <v>11</v>
      </c>
      <c r="C111" s="138"/>
      <c r="D111" s="163"/>
      <c r="E111" s="15" t="s">
        <v>58</v>
      </c>
      <c r="F111" s="15">
        <v>3</v>
      </c>
      <c r="G111" s="15">
        <f t="shared" si="4"/>
        <v>2</v>
      </c>
      <c r="H111" s="131">
        <v>1</v>
      </c>
      <c r="I111" s="85"/>
    </row>
    <row r="112" spans="1:9" ht="15.95" customHeight="1" x14ac:dyDescent="0.3">
      <c r="A112" s="131">
        <f t="shared" si="2"/>
        <v>10216</v>
      </c>
      <c r="B112" s="138" t="s">
        <v>12</v>
      </c>
      <c r="C112" s="138"/>
      <c r="D112" s="163"/>
      <c r="E112" s="15" t="s">
        <v>58</v>
      </c>
      <c r="F112" s="15">
        <v>3</v>
      </c>
      <c r="G112" s="15">
        <f t="shared" si="4"/>
        <v>2</v>
      </c>
      <c r="H112" s="131">
        <v>1</v>
      </c>
      <c r="I112" s="85"/>
    </row>
    <row r="113" spans="1:10" ht="15.95" customHeight="1" x14ac:dyDescent="0.3">
      <c r="A113" s="131">
        <f t="shared" si="2"/>
        <v>10218</v>
      </c>
      <c r="B113" s="138" t="s">
        <v>13</v>
      </c>
      <c r="C113" s="138" t="s">
        <v>643</v>
      </c>
      <c r="D113" s="163"/>
      <c r="E113" s="15" t="s">
        <v>58</v>
      </c>
      <c r="F113" s="15">
        <v>3</v>
      </c>
      <c r="G113" s="15">
        <f t="shared" si="4"/>
        <v>2</v>
      </c>
      <c r="H113" s="131">
        <v>1</v>
      </c>
      <c r="I113" s="85"/>
    </row>
    <row r="114" spans="1:10" ht="15.95" customHeight="1" x14ac:dyDescent="0.3">
      <c r="A114" s="131">
        <f t="shared" si="2"/>
        <v>10220</v>
      </c>
      <c r="B114" s="138" t="s">
        <v>14</v>
      </c>
      <c r="C114" s="138"/>
      <c r="D114" s="163"/>
      <c r="E114" s="15" t="s">
        <v>58</v>
      </c>
      <c r="F114" s="15">
        <v>3</v>
      </c>
      <c r="G114" s="15">
        <f t="shared" si="4"/>
        <v>2</v>
      </c>
      <c r="H114" s="131">
        <v>1</v>
      </c>
      <c r="I114" s="85"/>
    </row>
    <row r="115" spans="1:10" ht="15.95" customHeight="1" x14ac:dyDescent="0.3">
      <c r="A115" s="131">
        <f t="shared" si="2"/>
        <v>10222</v>
      </c>
      <c r="B115" s="138" t="s">
        <v>15</v>
      </c>
      <c r="C115" s="138"/>
      <c r="D115" s="163"/>
      <c r="E115" s="15" t="s">
        <v>58</v>
      </c>
      <c r="F115" s="15">
        <v>3</v>
      </c>
      <c r="G115" s="15">
        <f t="shared" si="4"/>
        <v>2</v>
      </c>
      <c r="H115" s="131">
        <v>1</v>
      </c>
      <c r="I115" s="85"/>
    </row>
    <row r="116" spans="1:10" ht="15.95" customHeight="1" x14ac:dyDescent="0.3">
      <c r="A116" s="131">
        <f t="shared" si="2"/>
        <v>10224</v>
      </c>
      <c r="B116" s="55" t="s">
        <v>656</v>
      </c>
      <c r="C116" s="55" t="s">
        <v>660</v>
      </c>
      <c r="D116" s="174" t="s">
        <v>142</v>
      </c>
      <c r="E116" s="140" t="s">
        <v>58</v>
      </c>
      <c r="F116" s="15">
        <v>3</v>
      </c>
      <c r="G116" s="140">
        <f t="shared" si="4"/>
        <v>2</v>
      </c>
      <c r="H116" s="140">
        <v>1</v>
      </c>
      <c r="I116" s="90"/>
    </row>
    <row r="117" spans="1:10" ht="15.95" customHeight="1" x14ac:dyDescent="0.3">
      <c r="A117" s="131">
        <f t="shared" si="2"/>
        <v>10226</v>
      </c>
      <c r="B117" s="55" t="s">
        <v>657</v>
      </c>
      <c r="C117" s="55" t="s">
        <v>661</v>
      </c>
      <c r="D117" s="174"/>
      <c r="E117" s="140" t="s">
        <v>58</v>
      </c>
      <c r="F117" s="15">
        <v>3</v>
      </c>
      <c r="G117" s="140">
        <f t="shared" si="4"/>
        <v>2</v>
      </c>
      <c r="H117" s="140">
        <v>1</v>
      </c>
      <c r="I117" s="90"/>
    </row>
    <row r="118" spans="1:10" ht="15.95" customHeight="1" x14ac:dyDescent="0.3">
      <c r="A118" s="131">
        <f t="shared" si="2"/>
        <v>10228</v>
      </c>
      <c r="B118" s="55" t="s">
        <v>658</v>
      </c>
      <c r="C118" s="55" t="s">
        <v>662</v>
      </c>
      <c r="D118" s="174"/>
      <c r="E118" s="140" t="s">
        <v>58</v>
      </c>
      <c r="F118" s="15">
        <v>3</v>
      </c>
      <c r="G118" s="140">
        <f t="shared" si="4"/>
        <v>2</v>
      </c>
      <c r="H118" s="140">
        <v>1</v>
      </c>
      <c r="I118" s="90"/>
    </row>
    <row r="119" spans="1:10" ht="15.95" customHeight="1" x14ac:dyDescent="0.3">
      <c r="A119" s="131">
        <f t="shared" si="2"/>
        <v>10230</v>
      </c>
      <c r="B119" s="55" t="s">
        <v>659</v>
      </c>
      <c r="C119" s="55" t="s">
        <v>663</v>
      </c>
      <c r="D119" s="174"/>
      <c r="E119" s="140" t="s">
        <v>58</v>
      </c>
      <c r="F119" s="15">
        <v>3</v>
      </c>
      <c r="G119" s="140">
        <f t="shared" si="4"/>
        <v>2</v>
      </c>
      <c r="H119" s="140">
        <v>1</v>
      </c>
      <c r="I119" s="90"/>
    </row>
    <row r="120" spans="1:10" ht="15.95" customHeight="1" x14ac:dyDescent="0.3">
      <c r="A120" s="131">
        <f t="shared" si="2"/>
        <v>10232</v>
      </c>
      <c r="B120" s="55" t="s">
        <v>664</v>
      </c>
      <c r="C120" s="55" t="s">
        <v>668</v>
      </c>
      <c r="D120" s="174" t="s">
        <v>641</v>
      </c>
      <c r="E120" s="140" t="s">
        <v>58</v>
      </c>
      <c r="F120" s="15">
        <v>3</v>
      </c>
      <c r="G120" s="140">
        <f t="shared" si="4"/>
        <v>2</v>
      </c>
      <c r="H120" s="140">
        <v>1</v>
      </c>
      <c r="I120" s="90"/>
    </row>
    <row r="121" spans="1:10" ht="15.95" customHeight="1" x14ac:dyDescent="0.3">
      <c r="A121" s="131">
        <f t="shared" si="2"/>
        <v>10234</v>
      </c>
      <c r="B121" s="55" t="s">
        <v>665</v>
      </c>
      <c r="C121" s="55" t="s">
        <v>669</v>
      </c>
      <c r="D121" s="174"/>
      <c r="E121" s="140" t="s">
        <v>58</v>
      </c>
      <c r="F121" s="15">
        <v>3</v>
      </c>
      <c r="G121" s="140">
        <f t="shared" si="4"/>
        <v>2</v>
      </c>
      <c r="H121" s="140">
        <v>1</v>
      </c>
      <c r="I121" s="90"/>
    </row>
    <row r="122" spans="1:10" ht="15.95" customHeight="1" x14ac:dyDescent="0.3">
      <c r="A122" s="131">
        <f t="shared" si="2"/>
        <v>10236</v>
      </c>
      <c r="B122" s="55" t="s">
        <v>666</v>
      </c>
      <c r="C122" s="55" t="s">
        <v>670</v>
      </c>
      <c r="D122" s="174"/>
      <c r="E122" s="140" t="s">
        <v>58</v>
      </c>
      <c r="F122" s="15">
        <v>3</v>
      </c>
      <c r="G122" s="140">
        <f t="shared" si="4"/>
        <v>2</v>
      </c>
      <c r="H122" s="140">
        <v>1</v>
      </c>
      <c r="I122" s="90"/>
    </row>
    <row r="123" spans="1:10" ht="15.95" customHeight="1" x14ac:dyDescent="0.3">
      <c r="A123" s="131">
        <f t="shared" si="2"/>
        <v>10238</v>
      </c>
      <c r="B123" s="55" t="s">
        <v>667</v>
      </c>
      <c r="C123" s="55" t="s">
        <v>671</v>
      </c>
      <c r="D123" s="174"/>
      <c r="E123" s="140" t="s">
        <v>58</v>
      </c>
      <c r="F123" s="15">
        <v>3</v>
      </c>
      <c r="G123" s="140">
        <f t="shared" si="4"/>
        <v>2</v>
      </c>
      <c r="H123" s="140">
        <v>1</v>
      </c>
      <c r="I123" s="90"/>
    </row>
    <row r="124" spans="1:10" ht="15.95" customHeight="1" x14ac:dyDescent="0.3">
      <c r="A124" s="162" t="s">
        <v>57</v>
      </c>
      <c r="B124" s="162"/>
      <c r="C124" s="162"/>
      <c r="D124" s="162"/>
      <c r="E124" s="162"/>
      <c r="F124" s="162"/>
      <c r="G124" s="162"/>
      <c r="H124" s="162"/>
      <c r="I124" s="88"/>
    </row>
    <row r="125" spans="1:10" s="46" customFormat="1" ht="15.95" customHeight="1" x14ac:dyDescent="0.3">
      <c r="A125" s="131">
        <f>A123+(G123*H123)</f>
        <v>10240</v>
      </c>
      <c r="B125" s="144" t="s">
        <v>1120</v>
      </c>
      <c r="C125" s="144" t="s">
        <v>1138</v>
      </c>
      <c r="D125" s="143"/>
      <c r="E125" s="143" t="s">
        <v>145</v>
      </c>
      <c r="F125" s="143" t="s">
        <v>1045</v>
      </c>
      <c r="G125" s="143">
        <f>IF(OR(E125="U16",E125="S16"),1,IF(E125="TS",6,IF(E125="U64",4,2)))</f>
        <v>2</v>
      </c>
      <c r="H125" s="143">
        <v>1</v>
      </c>
      <c r="I125" s="86"/>
      <c r="J125" s="57"/>
    </row>
    <row r="126" spans="1:10" ht="15.95" customHeight="1" x14ac:dyDescent="0.3">
      <c r="A126" s="131">
        <f t="shared" ref="A126:A189" si="5">A125+(G125*H125)</f>
        <v>10242</v>
      </c>
      <c r="B126" s="138" t="s">
        <v>1121</v>
      </c>
      <c r="C126" s="138"/>
      <c r="D126" s="131"/>
      <c r="E126" s="15" t="s">
        <v>145</v>
      </c>
      <c r="F126" s="143" t="s">
        <v>1045</v>
      </c>
      <c r="G126" s="15">
        <f t="shared" ref="G126:G202" si="6">IF(OR(E126="U16",E126="S16"),1,IF(E126="TS",6,IF(E126="U64",4,2)))</f>
        <v>2</v>
      </c>
      <c r="H126" s="131">
        <v>1</v>
      </c>
      <c r="I126" s="85"/>
    </row>
    <row r="127" spans="1:10" ht="15.95" customHeight="1" x14ac:dyDescent="0.3">
      <c r="A127" s="131">
        <f t="shared" si="5"/>
        <v>10244</v>
      </c>
      <c r="B127" s="138" t="s">
        <v>1122</v>
      </c>
      <c r="C127" s="138"/>
      <c r="D127" s="131"/>
      <c r="E127" s="15" t="s">
        <v>145</v>
      </c>
      <c r="F127" s="143" t="s">
        <v>1044</v>
      </c>
      <c r="G127" s="15">
        <f t="shared" si="6"/>
        <v>2</v>
      </c>
      <c r="H127" s="131">
        <v>1</v>
      </c>
      <c r="I127" s="85"/>
    </row>
    <row r="128" spans="1:10" ht="15.95" customHeight="1" x14ac:dyDescent="0.3">
      <c r="A128" s="131">
        <f t="shared" si="5"/>
        <v>10246</v>
      </c>
      <c r="B128" s="138" t="s">
        <v>1123</v>
      </c>
      <c r="C128" s="138"/>
      <c r="D128" s="131"/>
      <c r="E128" s="15" t="s">
        <v>145</v>
      </c>
      <c r="F128" s="143" t="s">
        <v>1044</v>
      </c>
      <c r="G128" s="15">
        <f t="shared" si="6"/>
        <v>2</v>
      </c>
      <c r="H128" s="131">
        <v>1</v>
      </c>
      <c r="I128" s="85"/>
    </row>
    <row r="129" spans="1:10" ht="15.95" customHeight="1" x14ac:dyDescent="0.3">
      <c r="A129" s="131">
        <f t="shared" si="5"/>
        <v>10248</v>
      </c>
      <c r="B129" s="138" t="s">
        <v>1124</v>
      </c>
      <c r="C129" s="138"/>
      <c r="D129" s="131"/>
      <c r="E129" s="15" t="s">
        <v>145</v>
      </c>
      <c r="F129" s="143" t="s">
        <v>1044</v>
      </c>
      <c r="G129" s="15">
        <f t="shared" si="6"/>
        <v>2</v>
      </c>
      <c r="H129" s="131">
        <v>1</v>
      </c>
      <c r="I129" s="85"/>
    </row>
    <row r="130" spans="1:10" ht="15.95" customHeight="1" x14ac:dyDescent="0.3">
      <c r="A130" s="131">
        <f t="shared" si="5"/>
        <v>10250</v>
      </c>
      <c r="B130" s="138"/>
      <c r="C130" s="138"/>
      <c r="D130" s="131"/>
      <c r="E130" s="15" t="s">
        <v>145</v>
      </c>
      <c r="F130" s="143" t="s">
        <v>1044</v>
      </c>
      <c r="G130" s="15">
        <f t="shared" si="6"/>
        <v>2</v>
      </c>
      <c r="H130" s="131">
        <v>1</v>
      </c>
      <c r="I130" s="85"/>
    </row>
    <row r="131" spans="1:10" s="46" customFormat="1" ht="15.95" customHeight="1" x14ac:dyDescent="0.3">
      <c r="A131" s="131">
        <f t="shared" si="5"/>
        <v>10252</v>
      </c>
      <c r="B131" s="144" t="s">
        <v>1125</v>
      </c>
      <c r="C131" s="144" t="s">
        <v>1135</v>
      </c>
      <c r="D131" s="143"/>
      <c r="E131" s="143" t="s">
        <v>145</v>
      </c>
      <c r="F131" s="143" t="s">
        <v>1044</v>
      </c>
      <c r="G131" s="143">
        <f>IF(OR(E131="U16",E131="S16"),1,IF(E131="TS",6,IF(E131="U64",4,2)))</f>
        <v>2</v>
      </c>
      <c r="H131" s="143">
        <v>1</v>
      </c>
      <c r="I131" s="86"/>
      <c r="J131" s="57"/>
    </row>
    <row r="132" spans="1:10" ht="15.95" customHeight="1" x14ac:dyDescent="0.3">
      <c r="A132" s="131">
        <f t="shared" si="5"/>
        <v>10254</v>
      </c>
      <c r="B132" s="138" t="s">
        <v>1126</v>
      </c>
      <c r="C132" s="138"/>
      <c r="D132" s="131"/>
      <c r="E132" s="15" t="s">
        <v>145</v>
      </c>
      <c r="F132" s="143" t="s">
        <v>1044</v>
      </c>
      <c r="G132" s="15">
        <f t="shared" ref="G132:G136" si="7">IF(OR(E132="U16",E132="S16"),1,IF(E132="TS",6,IF(E132="U64",4,2)))</f>
        <v>2</v>
      </c>
      <c r="H132" s="131">
        <v>1</v>
      </c>
      <c r="I132" s="85"/>
    </row>
    <row r="133" spans="1:10" ht="15.95" customHeight="1" x14ac:dyDescent="0.3">
      <c r="A133" s="131">
        <f t="shared" si="5"/>
        <v>10256</v>
      </c>
      <c r="B133" s="138" t="s">
        <v>1127</v>
      </c>
      <c r="C133" s="138"/>
      <c r="D133" s="131"/>
      <c r="E133" s="15" t="s">
        <v>145</v>
      </c>
      <c r="F133" s="143" t="s">
        <v>1044</v>
      </c>
      <c r="G133" s="15">
        <f t="shared" si="7"/>
        <v>2</v>
      </c>
      <c r="H133" s="131">
        <v>1</v>
      </c>
      <c r="I133" s="85"/>
    </row>
    <row r="134" spans="1:10" ht="15.95" customHeight="1" x14ac:dyDescent="0.3">
      <c r="A134" s="131">
        <f t="shared" si="5"/>
        <v>10258</v>
      </c>
      <c r="B134" s="138" t="s">
        <v>1128</v>
      </c>
      <c r="C134" s="138"/>
      <c r="D134" s="131"/>
      <c r="E134" s="15" t="s">
        <v>145</v>
      </c>
      <c r="F134" s="143" t="s">
        <v>1044</v>
      </c>
      <c r="G134" s="15">
        <f t="shared" si="7"/>
        <v>2</v>
      </c>
      <c r="H134" s="131">
        <v>1</v>
      </c>
      <c r="I134" s="85"/>
    </row>
    <row r="135" spans="1:10" ht="15.95" customHeight="1" x14ac:dyDescent="0.3">
      <c r="A135" s="131">
        <f t="shared" si="5"/>
        <v>10260</v>
      </c>
      <c r="B135" s="138" t="s">
        <v>1129</v>
      </c>
      <c r="C135" s="138"/>
      <c r="D135" s="131"/>
      <c r="E135" s="15" t="s">
        <v>145</v>
      </c>
      <c r="F135" s="143" t="s">
        <v>1044</v>
      </c>
      <c r="G135" s="15">
        <f t="shared" si="7"/>
        <v>2</v>
      </c>
      <c r="H135" s="131">
        <v>1</v>
      </c>
      <c r="I135" s="85"/>
    </row>
    <row r="136" spans="1:10" ht="15.95" customHeight="1" x14ac:dyDescent="0.3">
      <c r="A136" s="131">
        <f t="shared" si="5"/>
        <v>10262</v>
      </c>
      <c r="B136" s="138"/>
      <c r="C136" s="138"/>
      <c r="D136" s="131"/>
      <c r="E136" s="15" t="s">
        <v>145</v>
      </c>
      <c r="F136" s="143" t="s">
        <v>1044</v>
      </c>
      <c r="G136" s="15">
        <f t="shared" si="7"/>
        <v>2</v>
      </c>
      <c r="H136" s="131">
        <v>1</v>
      </c>
      <c r="I136" s="85"/>
    </row>
    <row r="137" spans="1:10" ht="15.95" customHeight="1" x14ac:dyDescent="0.3">
      <c r="A137" s="131">
        <f t="shared" si="5"/>
        <v>10264</v>
      </c>
      <c r="B137" s="144" t="s">
        <v>1139</v>
      </c>
      <c r="C137" s="144" t="s">
        <v>1136</v>
      </c>
      <c r="D137" s="143"/>
      <c r="E137" s="143" t="s">
        <v>145</v>
      </c>
      <c r="F137" s="143" t="s">
        <v>1044</v>
      </c>
      <c r="G137" s="143">
        <f>IF(OR(E137="U16",E137="S16"),1,IF(E137="TS",6,IF(E137="U64",4,2)))</f>
        <v>2</v>
      </c>
      <c r="H137" s="143">
        <v>1</v>
      </c>
      <c r="I137" s="85"/>
    </row>
    <row r="138" spans="1:10" ht="15.95" customHeight="1" x14ac:dyDescent="0.3">
      <c r="A138" s="131">
        <f t="shared" si="5"/>
        <v>10266</v>
      </c>
      <c r="B138" s="138" t="s">
        <v>1140</v>
      </c>
      <c r="C138" s="138"/>
      <c r="D138" s="131"/>
      <c r="E138" s="15" t="s">
        <v>145</v>
      </c>
      <c r="F138" s="143" t="s">
        <v>1044</v>
      </c>
      <c r="G138" s="15">
        <f t="shared" ref="G138:G142" si="8">IF(OR(E138="U16",E138="S16"),1,IF(E138="TS",6,IF(E138="U64",4,2)))</f>
        <v>2</v>
      </c>
      <c r="H138" s="131">
        <v>1</v>
      </c>
      <c r="I138" s="85"/>
    </row>
    <row r="139" spans="1:10" ht="15.95" customHeight="1" x14ac:dyDescent="0.3">
      <c r="A139" s="131">
        <f t="shared" si="5"/>
        <v>10268</v>
      </c>
      <c r="B139" s="138" t="s">
        <v>1141</v>
      </c>
      <c r="C139" s="138"/>
      <c r="D139" s="131"/>
      <c r="E139" s="15" t="s">
        <v>145</v>
      </c>
      <c r="F139" s="143" t="s">
        <v>1044</v>
      </c>
      <c r="G139" s="15">
        <f t="shared" si="8"/>
        <v>2</v>
      </c>
      <c r="H139" s="131">
        <v>1</v>
      </c>
      <c r="I139" s="85"/>
    </row>
    <row r="140" spans="1:10" ht="15.95" customHeight="1" x14ac:dyDescent="0.3">
      <c r="A140" s="131">
        <f t="shared" si="5"/>
        <v>10270</v>
      </c>
      <c r="B140" s="138" t="s">
        <v>1142</v>
      </c>
      <c r="C140" s="138"/>
      <c r="D140" s="131"/>
      <c r="E140" s="15" t="s">
        <v>145</v>
      </c>
      <c r="F140" s="143" t="s">
        <v>1044</v>
      </c>
      <c r="G140" s="15">
        <f t="shared" si="8"/>
        <v>2</v>
      </c>
      <c r="H140" s="131">
        <v>1</v>
      </c>
      <c r="I140" s="85"/>
    </row>
    <row r="141" spans="1:10" ht="15.95" customHeight="1" x14ac:dyDescent="0.3">
      <c r="A141" s="131">
        <f t="shared" si="5"/>
        <v>10272</v>
      </c>
      <c r="B141" s="138" t="s">
        <v>1143</v>
      </c>
      <c r="C141" s="138"/>
      <c r="D141" s="131"/>
      <c r="E141" s="15" t="s">
        <v>145</v>
      </c>
      <c r="F141" s="143" t="s">
        <v>1044</v>
      </c>
      <c r="G141" s="15">
        <f t="shared" si="8"/>
        <v>2</v>
      </c>
      <c r="H141" s="131">
        <v>1</v>
      </c>
      <c r="I141" s="85"/>
    </row>
    <row r="142" spans="1:10" ht="15.95" customHeight="1" x14ac:dyDescent="0.3">
      <c r="A142" s="131">
        <f t="shared" si="5"/>
        <v>10274</v>
      </c>
      <c r="B142" s="138"/>
      <c r="C142" s="138"/>
      <c r="D142" s="131"/>
      <c r="E142" s="15" t="s">
        <v>145</v>
      </c>
      <c r="F142" s="143" t="s">
        <v>1044</v>
      </c>
      <c r="G142" s="15">
        <f t="shared" si="8"/>
        <v>2</v>
      </c>
      <c r="H142" s="131">
        <v>1</v>
      </c>
      <c r="I142" s="85"/>
    </row>
    <row r="143" spans="1:10" s="46" customFormat="1" ht="15.95" customHeight="1" x14ac:dyDescent="0.3">
      <c r="A143" s="131">
        <f t="shared" si="5"/>
        <v>10276</v>
      </c>
      <c r="B143" s="144" t="s">
        <v>1144</v>
      </c>
      <c r="C143" s="144" t="s">
        <v>1137</v>
      </c>
      <c r="D143" s="143"/>
      <c r="E143" s="143" t="s">
        <v>145</v>
      </c>
      <c r="F143" s="143" t="s">
        <v>1044</v>
      </c>
      <c r="G143" s="143">
        <f>IF(OR(E143="U16",E143="S16"),1,IF(E143="TS",6,IF(E143="U64",4,2)))</f>
        <v>2</v>
      </c>
      <c r="H143" s="143">
        <v>1</v>
      </c>
      <c r="I143" s="86"/>
      <c r="J143" s="57"/>
    </row>
    <row r="144" spans="1:10" ht="15.95" customHeight="1" x14ac:dyDescent="0.3">
      <c r="A144" s="131">
        <f t="shared" si="5"/>
        <v>10278</v>
      </c>
      <c r="B144" s="138" t="s">
        <v>1145</v>
      </c>
      <c r="C144" s="138"/>
      <c r="D144" s="131"/>
      <c r="E144" s="15" t="s">
        <v>145</v>
      </c>
      <c r="F144" s="143" t="s">
        <v>1044</v>
      </c>
      <c r="G144" s="15">
        <f t="shared" ref="G144:G148" si="9">IF(OR(E144="U16",E144="S16"),1,IF(E144="TS",6,IF(E144="U64",4,2)))</f>
        <v>2</v>
      </c>
      <c r="H144" s="131">
        <v>1</v>
      </c>
      <c r="I144" s="85"/>
    </row>
    <row r="145" spans="1:10" ht="15.95" customHeight="1" x14ac:dyDescent="0.3">
      <c r="A145" s="131">
        <f t="shared" si="5"/>
        <v>10280</v>
      </c>
      <c r="B145" s="138" t="s">
        <v>1146</v>
      </c>
      <c r="C145" s="138"/>
      <c r="D145" s="131"/>
      <c r="E145" s="15" t="s">
        <v>145</v>
      </c>
      <c r="F145" s="143" t="s">
        <v>1044</v>
      </c>
      <c r="G145" s="15">
        <f t="shared" si="9"/>
        <v>2</v>
      </c>
      <c r="H145" s="131">
        <v>1</v>
      </c>
      <c r="I145" s="85"/>
    </row>
    <row r="146" spans="1:10" ht="15.95" customHeight="1" x14ac:dyDescent="0.3">
      <c r="A146" s="131">
        <f t="shared" si="5"/>
        <v>10282</v>
      </c>
      <c r="B146" s="138" t="s">
        <v>1147</v>
      </c>
      <c r="C146" s="138"/>
      <c r="D146" s="131"/>
      <c r="E146" s="15" t="s">
        <v>145</v>
      </c>
      <c r="F146" s="143" t="s">
        <v>1044</v>
      </c>
      <c r="G146" s="15">
        <f t="shared" si="9"/>
        <v>2</v>
      </c>
      <c r="H146" s="131">
        <v>1</v>
      </c>
      <c r="I146" s="85"/>
    </row>
    <row r="147" spans="1:10" ht="15.95" customHeight="1" x14ac:dyDescent="0.3">
      <c r="A147" s="131">
        <f t="shared" si="5"/>
        <v>10284</v>
      </c>
      <c r="B147" s="138" t="s">
        <v>1148</v>
      </c>
      <c r="C147" s="138"/>
      <c r="D147" s="131"/>
      <c r="E147" s="15" t="s">
        <v>145</v>
      </c>
      <c r="F147" s="143" t="s">
        <v>1044</v>
      </c>
      <c r="G147" s="15">
        <f t="shared" si="9"/>
        <v>2</v>
      </c>
      <c r="H147" s="131">
        <v>1</v>
      </c>
      <c r="I147" s="85"/>
    </row>
    <row r="148" spans="1:10" ht="15.95" customHeight="1" x14ac:dyDescent="0.3">
      <c r="A148" s="131">
        <f t="shared" si="5"/>
        <v>10286</v>
      </c>
      <c r="B148" s="138"/>
      <c r="C148" s="138"/>
      <c r="D148" s="131"/>
      <c r="E148" s="15" t="s">
        <v>145</v>
      </c>
      <c r="F148" s="143" t="s">
        <v>1044</v>
      </c>
      <c r="G148" s="15">
        <f t="shared" si="9"/>
        <v>2</v>
      </c>
      <c r="H148" s="131">
        <v>1</v>
      </c>
      <c r="I148" s="85"/>
    </row>
    <row r="149" spans="1:10" ht="15.95" customHeight="1" x14ac:dyDescent="0.3">
      <c r="A149" s="131">
        <f t="shared" si="5"/>
        <v>10288</v>
      </c>
      <c r="B149" s="138" t="s">
        <v>1130</v>
      </c>
      <c r="C149" s="138" t="s">
        <v>1164</v>
      </c>
      <c r="D149" s="131"/>
      <c r="E149" s="15" t="s">
        <v>145</v>
      </c>
      <c r="F149" s="143" t="s">
        <v>1044</v>
      </c>
      <c r="G149" s="15">
        <f t="shared" si="6"/>
        <v>2</v>
      </c>
      <c r="H149" s="131">
        <v>1</v>
      </c>
      <c r="I149" s="85"/>
    </row>
    <row r="150" spans="1:10" ht="15.95" customHeight="1" x14ac:dyDescent="0.3">
      <c r="A150" s="131">
        <f t="shared" si="5"/>
        <v>10290</v>
      </c>
      <c r="B150" s="138" t="s">
        <v>1131</v>
      </c>
      <c r="C150" s="138"/>
      <c r="D150" s="131"/>
      <c r="E150" s="15" t="s">
        <v>145</v>
      </c>
      <c r="F150" s="143" t="s">
        <v>1044</v>
      </c>
      <c r="G150" s="15">
        <f t="shared" si="6"/>
        <v>2</v>
      </c>
      <c r="H150" s="131">
        <v>1</v>
      </c>
      <c r="I150" s="85"/>
    </row>
    <row r="151" spans="1:10" ht="15.95" customHeight="1" x14ac:dyDescent="0.3">
      <c r="A151" s="131">
        <f t="shared" si="5"/>
        <v>10292</v>
      </c>
      <c r="B151" s="138" t="s">
        <v>1132</v>
      </c>
      <c r="C151" s="138"/>
      <c r="D151" s="131"/>
      <c r="E151" s="15" t="s">
        <v>145</v>
      </c>
      <c r="F151" s="143" t="s">
        <v>1044</v>
      </c>
      <c r="G151" s="15">
        <f t="shared" si="6"/>
        <v>2</v>
      </c>
      <c r="H151" s="131">
        <v>1</v>
      </c>
      <c r="I151" s="85"/>
    </row>
    <row r="152" spans="1:10" ht="15.95" customHeight="1" x14ac:dyDescent="0.3">
      <c r="A152" s="131">
        <f t="shared" si="5"/>
        <v>10294</v>
      </c>
      <c r="B152" s="138" t="s">
        <v>1133</v>
      </c>
      <c r="C152" s="138"/>
      <c r="D152" s="131"/>
      <c r="E152" s="15" t="s">
        <v>145</v>
      </c>
      <c r="F152" s="143" t="s">
        <v>1044</v>
      </c>
      <c r="G152" s="15">
        <f t="shared" si="6"/>
        <v>2</v>
      </c>
      <c r="H152" s="131">
        <v>1</v>
      </c>
      <c r="I152" s="85"/>
    </row>
    <row r="153" spans="1:10" ht="15.95" customHeight="1" x14ac:dyDescent="0.3">
      <c r="A153" s="131">
        <f t="shared" si="5"/>
        <v>10296</v>
      </c>
      <c r="B153" s="138" t="s">
        <v>1134</v>
      </c>
      <c r="C153" s="138"/>
      <c r="D153" s="131"/>
      <c r="E153" s="15" t="s">
        <v>145</v>
      </c>
      <c r="F153" s="143" t="s">
        <v>1044</v>
      </c>
      <c r="G153" s="15">
        <f t="shared" si="6"/>
        <v>2</v>
      </c>
      <c r="H153" s="131">
        <v>1</v>
      </c>
      <c r="I153" s="85"/>
    </row>
    <row r="154" spans="1:10" ht="15.95" customHeight="1" x14ac:dyDescent="0.3">
      <c r="A154" s="131">
        <f t="shared" si="5"/>
        <v>10298</v>
      </c>
      <c r="B154" s="138"/>
      <c r="C154" s="138"/>
      <c r="D154" s="131"/>
      <c r="E154" s="15" t="s">
        <v>145</v>
      </c>
      <c r="F154" s="143" t="s">
        <v>1044</v>
      </c>
      <c r="G154" s="15">
        <f t="shared" si="6"/>
        <v>2</v>
      </c>
      <c r="H154" s="131">
        <v>1</v>
      </c>
      <c r="J154" s="8"/>
    </row>
    <row r="155" spans="1:10" ht="15.95" customHeight="1" x14ac:dyDescent="0.3">
      <c r="A155" s="131">
        <f t="shared" si="5"/>
        <v>10300</v>
      </c>
      <c r="B155" s="138" t="s">
        <v>1149</v>
      </c>
      <c r="C155" s="138" t="s">
        <v>1165</v>
      </c>
      <c r="D155" s="131"/>
      <c r="E155" s="15" t="s">
        <v>145</v>
      </c>
      <c r="F155" s="143" t="s">
        <v>1044</v>
      </c>
      <c r="G155" s="15">
        <f t="shared" si="6"/>
        <v>2</v>
      </c>
      <c r="H155" s="131">
        <v>1</v>
      </c>
      <c r="I155" s="85"/>
    </row>
    <row r="156" spans="1:10" ht="15.95" customHeight="1" x14ac:dyDescent="0.3">
      <c r="A156" s="131">
        <f t="shared" si="5"/>
        <v>10302</v>
      </c>
      <c r="B156" s="138" t="s">
        <v>1150</v>
      </c>
      <c r="C156" s="138"/>
      <c r="D156" s="131"/>
      <c r="E156" s="15" t="s">
        <v>145</v>
      </c>
      <c r="F156" s="143" t="s">
        <v>1044</v>
      </c>
      <c r="G156" s="15">
        <f t="shared" si="6"/>
        <v>2</v>
      </c>
      <c r="H156" s="131">
        <v>1</v>
      </c>
      <c r="I156" s="85"/>
    </row>
    <row r="157" spans="1:10" ht="15.95" customHeight="1" x14ac:dyDescent="0.3">
      <c r="A157" s="131">
        <f t="shared" si="5"/>
        <v>10304</v>
      </c>
      <c r="B157" s="138" t="s">
        <v>1151</v>
      </c>
      <c r="C157" s="138"/>
      <c r="D157" s="131"/>
      <c r="E157" s="15" t="s">
        <v>145</v>
      </c>
      <c r="F157" s="143" t="s">
        <v>1044</v>
      </c>
      <c r="G157" s="15">
        <f t="shared" si="6"/>
        <v>2</v>
      </c>
      <c r="H157" s="131">
        <v>1</v>
      </c>
      <c r="I157" s="85"/>
    </row>
    <row r="158" spans="1:10" ht="15.95" customHeight="1" x14ac:dyDescent="0.3">
      <c r="A158" s="131">
        <f t="shared" si="5"/>
        <v>10306</v>
      </c>
      <c r="B158" s="138" t="s">
        <v>1152</v>
      </c>
      <c r="C158" s="138"/>
      <c r="D158" s="131"/>
      <c r="E158" s="15" t="s">
        <v>145</v>
      </c>
      <c r="F158" s="143" t="s">
        <v>1044</v>
      </c>
      <c r="G158" s="15">
        <f t="shared" si="6"/>
        <v>2</v>
      </c>
      <c r="H158" s="131">
        <v>1</v>
      </c>
      <c r="I158" s="85"/>
    </row>
    <row r="159" spans="1:10" ht="15.95" customHeight="1" x14ac:dyDescent="0.3">
      <c r="A159" s="131">
        <f t="shared" si="5"/>
        <v>10308</v>
      </c>
      <c r="B159" s="138" t="s">
        <v>1153</v>
      </c>
      <c r="C159" s="138"/>
      <c r="D159" s="131"/>
      <c r="E159" s="15" t="s">
        <v>145</v>
      </c>
      <c r="F159" s="143" t="s">
        <v>1044</v>
      </c>
      <c r="G159" s="15">
        <f t="shared" si="6"/>
        <v>2</v>
      </c>
      <c r="H159" s="131">
        <v>1</v>
      </c>
      <c r="I159" s="85"/>
    </row>
    <row r="160" spans="1:10" ht="15.95" customHeight="1" x14ac:dyDescent="0.3">
      <c r="A160" s="131">
        <f t="shared" si="5"/>
        <v>10310</v>
      </c>
      <c r="B160" s="138"/>
      <c r="C160" s="138"/>
      <c r="D160" s="131"/>
      <c r="E160" s="15" t="s">
        <v>145</v>
      </c>
      <c r="F160" s="143" t="s">
        <v>1044</v>
      </c>
      <c r="G160" s="15">
        <f t="shared" si="6"/>
        <v>2</v>
      </c>
      <c r="H160" s="131">
        <v>1</v>
      </c>
      <c r="J160" s="8"/>
    </row>
    <row r="161" spans="1:10" ht="15.95" customHeight="1" x14ac:dyDescent="0.3">
      <c r="A161" s="131">
        <f t="shared" si="5"/>
        <v>10312</v>
      </c>
      <c r="B161" s="138" t="s">
        <v>1154</v>
      </c>
      <c r="C161" s="138" t="s">
        <v>1166</v>
      </c>
      <c r="D161" s="131"/>
      <c r="E161" s="15" t="s">
        <v>145</v>
      </c>
      <c r="F161" s="143" t="s">
        <v>1044</v>
      </c>
      <c r="G161" s="15">
        <f t="shared" si="6"/>
        <v>2</v>
      </c>
      <c r="H161" s="131">
        <v>1</v>
      </c>
      <c r="I161" s="85"/>
    </row>
    <row r="162" spans="1:10" ht="15.95" customHeight="1" x14ac:dyDescent="0.3">
      <c r="A162" s="131">
        <f t="shared" si="5"/>
        <v>10314</v>
      </c>
      <c r="B162" s="138" t="s">
        <v>1155</v>
      </c>
      <c r="C162" s="138"/>
      <c r="D162" s="131"/>
      <c r="E162" s="15" t="s">
        <v>145</v>
      </c>
      <c r="F162" s="143" t="s">
        <v>1044</v>
      </c>
      <c r="G162" s="15">
        <f t="shared" si="6"/>
        <v>2</v>
      </c>
      <c r="H162" s="131">
        <v>1</v>
      </c>
      <c r="I162" s="85"/>
    </row>
    <row r="163" spans="1:10" ht="15.95" customHeight="1" x14ac:dyDescent="0.3">
      <c r="A163" s="131">
        <f t="shared" si="5"/>
        <v>10316</v>
      </c>
      <c r="B163" s="138" t="s">
        <v>1156</v>
      </c>
      <c r="C163" s="138"/>
      <c r="D163" s="131"/>
      <c r="E163" s="15" t="s">
        <v>145</v>
      </c>
      <c r="F163" s="143" t="s">
        <v>1044</v>
      </c>
      <c r="G163" s="15">
        <f t="shared" si="6"/>
        <v>2</v>
      </c>
      <c r="H163" s="131">
        <v>1</v>
      </c>
      <c r="I163" s="85"/>
    </row>
    <row r="164" spans="1:10" ht="15.95" customHeight="1" x14ac:dyDescent="0.3">
      <c r="A164" s="131">
        <f t="shared" si="5"/>
        <v>10318</v>
      </c>
      <c r="B164" s="138" t="s">
        <v>1157</v>
      </c>
      <c r="C164" s="138"/>
      <c r="D164" s="131"/>
      <c r="E164" s="15" t="s">
        <v>145</v>
      </c>
      <c r="F164" s="143" t="s">
        <v>1044</v>
      </c>
      <c r="G164" s="15">
        <f t="shared" si="6"/>
        <v>2</v>
      </c>
      <c r="H164" s="131">
        <v>1</v>
      </c>
      <c r="I164" s="85"/>
    </row>
    <row r="165" spans="1:10" ht="15.95" customHeight="1" x14ac:dyDescent="0.3">
      <c r="A165" s="131">
        <f t="shared" si="5"/>
        <v>10320</v>
      </c>
      <c r="B165" s="138" t="s">
        <v>1158</v>
      </c>
      <c r="C165" s="138"/>
      <c r="D165" s="131"/>
      <c r="E165" s="15" t="s">
        <v>145</v>
      </c>
      <c r="F165" s="143" t="s">
        <v>1044</v>
      </c>
      <c r="G165" s="15">
        <f t="shared" si="6"/>
        <v>2</v>
      </c>
      <c r="H165" s="131">
        <v>1</v>
      </c>
      <c r="I165" s="85"/>
    </row>
    <row r="166" spans="1:10" ht="15.95" customHeight="1" x14ac:dyDescent="0.3">
      <c r="A166" s="131">
        <f t="shared" si="5"/>
        <v>10322</v>
      </c>
      <c r="B166" s="138"/>
      <c r="C166" s="138"/>
      <c r="D166" s="131"/>
      <c r="E166" s="15" t="s">
        <v>145</v>
      </c>
      <c r="F166" s="143" t="s">
        <v>1044</v>
      </c>
      <c r="G166" s="15">
        <f t="shared" si="6"/>
        <v>2</v>
      </c>
      <c r="H166" s="131">
        <v>1</v>
      </c>
      <c r="J166" s="8"/>
    </row>
    <row r="167" spans="1:10" ht="15.95" customHeight="1" x14ac:dyDescent="0.3">
      <c r="A167" s="131">
        <f t="shared" si="5"/>
        <v>10324</v>
      </c>
      <c r="B167" s="138" t="s">
        <v>1159</v>
      </c>
      <c r="C167" s="138" t="s">
        <v>1167</v>
      </c>
      <c r="D167" s="131"/>
      <c r="E167" s="15" t="s">
        <v>145</v>
      </c>
      <c r="F167" s="143" t="s">
        <v>1044</v>
      </c>
      <c r="G167" s="15">
        <f t="shared" si="6"/>
        <v>2</v>
      </c>
      <c r="H167" s="131">
        <v>1</v>
      </c>
      <c r="I167" s="85"/>
    </row>
    <row r="168" spans="1:10" ht="15.95" customHeight="1" x14ac:dyDescent="0.3">
      <c r="A168" s="131">
        <f t="shared" si="5"/>
        <v>10326</v>
      </c>
      <c r="B168" s="138" t="s">
        <v>1160</v>
      </c>
      <c r="C168" s="138"/>
      <c r="D168" s="131"/>
      <c r="E168" s="15" t="s">
        <v>145</v>
      </c>
      <c r="F168" s="143" t="s">
        <v>1044</v>
      </c>
      <c r="G168" s="15">
        <f t="shared" si="6"/>
        <v>2</v>
      </c>
      <c r="H168" s="131">
        <v>1</v>
      </c>
      <c r="I168" s="85"/>
    </row>
    <row r="169" spans="1:10" ht="15.95" customHeight="1" x14ac:dyDescent="0.3">
      <c r="A169" s="131">
        <f t="shared" si="5"/>
        <v>10328</v>
      </c>
      <c r="B169" s="138" t="s">
        <v>1161</v>
      </c>
      <c r="C169" s="138"/>
      <c r="D169" s="131"/>
      <c r="E169" s="15" t="s">
        <v>145</v>
      </c>
      <c r="F169" s="143" t="s">
        <v>1044</v>
      </c>
      <c r="G169" s="15">
        <f t="shared" si="6"/>
        <v>2</v>
      </c>
      <c r="H169" s="131">
        <v>1</v>
      </c>
      <c r="I169" s="85"/>
    </row>
    <row r="170" spans="1:10" ht="15.95" customHeight="1" x14ac:dyDescent="0.3">
      <c r="A170" s="131">
        <f t="shared" si="5"/>
        <v>10330</v>
      </c>
      <c r="B170" s="138" t="s">
        <v>1162</v>
      </c>
      <c r="C170" s="138"/>
      <c r="D170" s="131"/>
      <c r="E170" s="15" t="s">
        <v>145</v>
      </c>
      <c r="F170" s="143" t="s">
        <v>1044</v>
      </c>
      <c r="G170" s="15">
        <f t="shared" si="6"/>
        <v>2</v>
      </c>
      <c r="H170" s="131">
        <v>1</v>
      </c>
      <c r="I170" s="85"/>
    </row>
    <row r="171" spans="1:10" ht="15.95" customHeight="1" x14ac:dyDescent="0.3">
      <c r="A171" s="131">
        <f t="shared" si="5"/>
        <v>10332</v>
      </c>
      <c r="B171" s="138" t="s">
        <v>1163</v>
      </c>
      <c r="C171" s="138"/>
      <c r="D171" s="131"/>
      <c r="E171" s="15" t="s">
        <v>145</v>
      </c>
      <c r="F171" s="143" t="s">
        <v>1044</v>
      </c>
      <c r="G171" s="15">
        <f t="shared" si="6"/>
        <v>2</v>
      </c>
      <c r="H171" s="131">
        <v>1</v>
      </c>
      <c r="I171" s="85"/>
    </row>
    <row r="172" spans="1:10" ht="15.95" customHeight="1" x14ac:dyDescent="0.3">
      <c r="A172" s="131">
        <f t="shared" si="5"/>
        <v>10334</v>
      </c>
      <c r="B172" s="138"/>
      <c r="C172" s="138"/>
      <c r="D172" s="131"/>
      <c r="E172" s="15" t="s">
        <v>145</v>
      </c>
      <c r="F172" s="143" t="s">
        <v>1044</v>
      </c>
      <c r="G172" s="15">
        <f t="shared" si="6"/>
        <v>2</v>
      </c>
      <c r="H172" s="131">
        <v>1</v>
      </c>
      <c r="J172" s="8"/>
    </row>
    <row r="173" spans="1:10" ht="15.95" customHeight="1" x14ac:dyDescent="0.3">
      <c r="A173" s="131">
        <f t="shared" si="5"/>
        <v>10336</v>
      </c>
      <c r="B173" s="138" t="s">
        <v>1168</v>
      </c>
      <c r="C173" s="138" t="s">
        <v>1169</v>
      </c>
      <c r="D173" s="131"/>
      <c r="E173" s="15" t="s">
        <v>145</v>
      </c>
      <c r="F173" s="143" t="s">
        <v>1044</v>
      </c>
      <c r="G173" s="15">
        <f t="shared" si="6"/>
        <v>2</v>
      </c>
      <c r="H173" s="131">
        <v>1</v>
      </c>
      <c r="J173" s="8"/>
    </row>
    <row r="174" spans="1:10" ht="15.95" customHeight="1" x14ac:dyDescent="0.3">
      <c r="A174" s="131">
        <f t="shared" si="5"/>
        <v>10338</v>
      </c>
      <c r="B174" s="138" t="s">
        <v>532</v>
      </c>
      <c r="C174" s="138"/>
      <c r="D174" s="131"/>
      <c r="E174" s="15" t="s">
        <v>145</v>
      </c>
      <c r="F174" s="143" t="s">
        <v>1044</v>
      </c>
      <c r="G174" s="15">
        <f t="shared" si="6"/>
        <v>2</v>
      </c>
      <c r="H174" s="131">
        <v>1</v>
      </c>
      <c r="J174" s="8"/>
    </row>
    <row r="175" spans="1:10" ht="15.95" customHeight="1" x14ac:dyDescent="0.3">
      <c r="A175" s="131">
        <f t="shared" si="5"/>
        <v>10340</v>
      </c>
      <c r="B175" s="138" t="s">
        <v>533</v>
      </c>
      <c r="C175" s="138"/>
      <c r="D175" s="131"/>
      <c r="E175" s="15" t="s">
        <v>145</v>
      </c>
      <c r="F175" s="143" t="s">
        <v>1044</v>
      </c>
      <c r="G175" s="15">
        <f t="shared" si="6"/>
        <v>2</v>
      </c>
      <c r="H175" s="131">
        <v>1</v>
      </c>
      <c r="J175" s="8"/>
    </row>
    <row r="176" spans="1:10" ht="15.95" customHeight="1" x14ac:dyDescent="0.3">
      <c r="A176" s="131">
        <f t="shared" si="5"/>
        <v>10342</v>
      </c>
      <c r="B176" s="138" t="s">
        <v>534</v>
      </c>
      <c r="C176" s="138"/>
      <c r="D176" s="131"/>
      <c r="E176" s="15" t="s">
        <v>145</v>
      </c>
      <c r="F176" s="143" t="s">
        <v>1044</v>
      </c>
      <c r="G176" s="15">
        <f t="shared" si="6"/>
        <v>2</v>
      </c>
      <c r="H176" s="131">
        <v>1</v>
      </c>
      <c r="J176" s="8"/>
    </row>
    <row r="177" spans="1:10" ht="15.95" customHeight="1" x14ac:dyDescent="0.3">
      <c r="A177" s="131">
        <f t="shared" si="5"/>
        <v>10344</v>
      </c>
      <c r="B177" s="138" t="s">
        <v>31</v>
      </c>
      <c r="C177" s="138"/>
      <c r="D177" s="131"/>
      <c r="E177" s="15" t="s">
        <v>145</v>
      </c>
      <c r="F177" s="143" t="s">
        <v>1044</v>
      </c>
      <c r="G177" s="15">
        <f t="shared" si="6"/>
        <v>2</v>
      </c>
      <c r="H177" s="131">
        <v>1</v>
      </c>
      <c r="J177" s="8"/>
    </row>
    <row r="178" spans="1:10" ht="15.95" customHeight="1" x14ac:dyDescent="0.3">
      <c r="A178" s="131">
        <f t="shared" si="5"/>
        <v>10346</v>
      </c>
      <c r="B178" s="138"/>
      <c r="C178" s="138"/>
      <c r="D178" s="131"/>
      <c r="E178" s="15" t="s">
        <v>145</v>
      </c>
      <c r="F178" s="143" t="s">
        <v>1044</v>
      </c>
      <c r="G178" s="15">
        <f t="shared" si="6"/>
        <v>2</v>
      </c>
      <c r="H178" s="131">
        <v>1</v>
      </c>
      <c r="J178" s="8"/>
    </row>
    <row r="179" spans="1:10" ht="15.95" customHeight="1" x14ac:dyDescent="0.3">
      <c r="A179" s="131">
        <f t="shared" si="5"/>
        <v>10348</v>
      </c>
      <c r="B179" s="138" t="s">
        <v>1173</v>
      </c>
      <c r="C179" s="138" t="s">
        <v>1170</v>
      </c>
      <c r="D179" s="131"/>
      <c r="E179" s="15" t="s">
        <v>145</v>
      </c>
      <c r="F179" s="143" t="s">
        <v>1044</v>
      </c>
      <c r="G179" s="15">
        <f t="shared" si="6"/>
        <v>2</v>
      </c>
      <c r="H179" s="131">
        <v>1</v>
      </c>
      <c r="J179" s="8"/>
    </row>
    <row r="180" spans="1:10" ht="15.95" customHeight="1" x14ac:dyDescent="0.3">
      <c r="A180" s="131">
        <f t="shared" si="5"/>
        <v>10350</v>
      </c>
      <c r="B180" s="138" t="s">
        <v>532</v>
      </c>
      <c r="C180" s="138"/>
      <c r="D180" s="131"/>
      <c r="E180" s="15" t="s">
        <v>145</v>
      </c>
      <c r="F180" s="143" t="s">
        <v>1044</v>
      </c>
      <c r="G180" s="15">
        <f t="shared" si="6"/>
        <v>2</v>
      </c>
      <c r="H180" s="131">
        <v>1</v>
      </c>
      <c r="J180" s="8"/>
    </row>
    <row r="181" spans="1:10" ht="15.95" customHeight="1" x14ac:dyDescent="0.3">
      <c r="A181" s="131">
        <f t="shared" si="5"/>
        <v>10352</v>
      </c>
      <c r="B181" s="138" t="s">
        <v>533</v>
      </c>
      <c r="C181" s="138"/>
      <c r="D181" s="131"/>
      <c r="E181" s="15" t="s">
        <v>145</v>
      </c>
      <c r="F181" s="143" t="s">
        <v>1044</v>
      </c>
      <c r="G181" s="15">
        <f t="shared" si="6"/>
        <v>2</v>
      </c>
      <c r="H181" s="131">
        <v>1</v>
      </c>
      <c r="J181" s="8"/>
    </row>
    <row r="182" spans="1:10" ht="15.95" customHeight="1" x14ac:dyDescent="0.3">
      <c r="A182" s="131">
        <f t="shared" si="5"/>
        <v>10354</v>
      </c>
      <c r="B182" s="138" t="s">
        <v>534</v>
      </c>
      <c r="C182" s="138"/>
      <c r="D182" s="131"/>
      <c r="E182" s="15" t="s">
        <v>145</v>
      </c>
      <c r="F182" s="143" t="s">
        <v>1044</v>
      </c>
      <c r="G182" s="15">
        <f t="shared" si="6"/>
        <v>2</v>
      </c>
      <c r="H182" s="131">
        <v>1</v>
      </c>
      <c r="J182" s="8"/>
    </row>
    <row r="183" spans="1:10" ht="15.95" customHeight="1" x14ac:dyDescent="0.3">
      <c r="A183" s="131">
        <f t="shared" si="5"/>
        <v>10356</v>
      </c>
      <c r="B183" s="138" t="s">
        <v>31</v>
      </c>
      <c r="C183" s="138"/>
      <c r="D183" s="131"/>
      <c r="E183" s="15" t="s">
        <v>145</v>
      </c>
      <c r="F183" s="143" t="s">
        <v>1044</v>
      </c>
      <c r="G183" s="15">
        <f t="shared" si="6"/>
        <v>2</v>
      </c>
      <c r="H183" s="131">
        <v>1</v>
      </c>
      <c r="J183" s="8"/>
    </row>
    <row r="184" spans="1:10" ht="15.95" customHeight="1" x14ac:dyDescent="0.3">
      <c r="A184" s="131">
        <f t="shared" si="5"/>
        <v>10358</v>
      </c>
      <c r="B184" s="138"/>
      <c r="C184" s="138"/>
      <c r="D184" s="131"/>
      <c r="E184" s="15" t="s">
        <v>145</v>
      </c>
      <c r="F184" s="143" t="s">
        <v>1044</v>
      </c>
      <c r="G184" s="15">
        <f t="shared" si="6"/>
        <v>2</v>
      </c>
      <c r="H184" s="131">
        <v>1</v>
      </c>
      <c r="J184" s="8"/>
    </row>
    <row r="185" spans="1:10" ht="15.95" customHeight="1" x14ac:dyDescent="0.3">
      <c r="A185" s="131">
        <f t="shared" si="5"/>
        <v>10360</v>
      </c>
      <c r="B185" s="138" t="s">
        <v>1174</v>
      </c>
      <c r="C185" s="138" t="s">
        <v>1171</v>
      </c>
      <c r="D185" s="131"/>
      <c r="E185" s="15" t="s">
        <v>145</v>
      </c>
      <c r="F185" s="143" t="s">
        <v>1044</v>
      </c>
      <c r="G185" s="15">
        <f t="shared" si="6"/>
        <v>2</v>
      </c>
      <c r="H185" s="131">
        <v>1</v>
      </c>
      <c r="J185" s="8"/>
    </row>
    <row r="186" spans="1:10" ht="15.95" customHeight="1" x14ac:dyDescent="0.3">
      <c r="A186" s="131">
        <f t="shared" si="5"/>
        <v>10362</v>
      </c>
      <c r="B186" s="138" t="s">
        <v>532</v>
      </c>
      <c r="C186" s="138"/>
      <c r="D186" s="131"/>
      <c r="E186" s="15" t="s">
        <v>145</v>
      </c>
      <c r="F186" s="143" t="s">
        <v>1044</v>
      </c>
      <c r="G186" s="15">
        <f t="shared" si="6"/>
        <v>2</v>
      </c>
      <c r="H186" s="131">
        <v>1</v>
      </c>
      <c r="J186" s="8"/>
    </row>
    <row r="187" spans="1:10" ht="15.95" customHeight="1" x14ac:dyDescent="0.3">
      <c r="A187" s="131">
        <f t="shared" si="5"/>
        <v>10364</v>
      </c>
      <c r="B187" s="138" t="s">
        <v>533</v>
      </c>
      <c r="C187" s="138"/>
      <c r="D187" s="131"/>
      <c r="E187" s="15" t="s">
        <v>145</v>
      </c>
      <c r="F187" s="143" t="s">
        <v>1044</v>
      </c>
      <c r="G187" s="15">
        <f t="shared" si="6"/>
        <v>2</v>
      </c>
      <c r="H187" s="131">
        <v>1</v>
      </c>
      <c r="J187" s="8"/>
    </row>
    <row r="188" spans="1:10" ht="15.95" customHeight="1" x14ac:dyDescent="0.3">
      <c r="A188" s="131">
        <f t="shared" si="5"/>
        <v>10366</v>
      </c>
      <c r="B188" s="138" t="s">
        <v>534</v>
      </c>
      <c r="C188" s="138"/>
      <c r="D188" s="131"/>
      <c r="E188" s="15" t="s">
        <v>145</v>
      </c>
      <c r="F188" s="143" t="s">
        <v>1044</v>
      </c>
      <c r="G188" s="15">
        <f t="shared" si="6"/>
        <v>2</v>
      </c>
      <c r="H188" s="131">
        <v>1</v>
      </c>
      <c r="J188" s="8"/>
    </row>
    <row r="189" spans="1:10" ht="15.95" customHeight="1" x14ac:dyDescent="0.3">
      <c r="A189" s="131">
        <f t="shared" si="5"/>
        <v>10368</v>
      </c>
      <c r="B189" s="138" t="s">
        <v>31</v>
      </c>
      <c r="C189" s="138"/>
      <c r="D189" s="131"/>
      <c r="E189" s="15" t="s">
        <v>145</v>
      </c>
      <c r="F189" s="143" t="s">
        <v>1044</v>
      </c>
      <c r="G189" s="15">
        <f t="shared" si="6"/>
        <v>2</v>
      </c>
      <c r="H189" s="131">
        <v>1</v>
      </c>
      <c r="J189" s="8"/>
    </row>
    <row r="190" spans="1:10" ht="15.95" customHeight="1" x14ac:dyDescent="0.3">
      <c r="A190" s="131">
        <f t="shared" ref="A190:A202" si="10">A189+(G189*H189)</f>
        <v>10370</v>
      </c>
      <c r="B190" s="138"/>
      <c r="C190" s="138"/>
      <c r="D190" s="131"/>
      <c r="E190" s="15" t="s">
        <v>145</v>
      </c>
      <c r="F190" s="143" t="s">
        <v>1044</v>
      </c>
      <c r="G190" s="15">
        <f t="shared" si="6"/>
        <v>2</v>
      </c>
      <c r="H190" s="131">
        <v>1</v>
      </c>
      <c r="J190" s="8"/>
    </row>
    <row r="191" spans="1:10" ht="15.95" customHeight="1" x14ac:dyDescent="0.3">
      <c r="A191" s="131">
        <f t="shared" si="10"/>
        <v>10372</v>
      </c>
      <c r="B191" s="138" t="s">
        <v>1175</v>
      </c>
      <c r="C191" s="138" t="s">
        <v>1172</v>
      </c>
      <c r="D191" s="131"/>
      <c r="E191" s="15" t="s">
        <v>145</v>
      </c>
      <c r="F191" s="143" t="s">
        <v>1044</v>
      </c>
      <c r="G191" s="15">
        <f t="shared" si="6"/>
        <v>2</v>
      </c>
      <c r="H191" s="131">
        <v>1</v>
      </c>
      <c r="J191" s="8"/>
    </row>
    <row r="192" spans="1:10" ht="15.95" customHeight="1" x14ac:dyDescent="0.3">
      <c r="A192" s="131">
        <f t="shared" si="10"/>
        <v>10374</v>
      </c>
      <c r="B192" s="138" t="s">
        <v>532</v>
      </c>
      <c r="C192" s="138"/>
      <c r="D192" s="131"/>
      <c r="E192" s="15" t="s">
        <v>145</v>
      </c>
      <c r="F192" s="143" t="s">
        <v>1044</v>
      </c>
      <c r="G192" s="15">
        <f t="shared" si="6"/>
        <v>2</v>
      </c>
      <c r="H192" s="131">
        <v>1</v>
      </c>
      <c r="J192" s="8"/>
    </row>
    <row r="193" spans="1:10" ht="15.95" customHeight="1" x14ac:dyDescent="0.3">
      <c r="A193" s="131">
        <f t="shared" si="10"/>
        <v>10376</v>
      </c>
      <c r="B193" s="138" t="s">
        <v>533</v>
      </c>
      <c r="C193" s="138"/>
      <c r="D193" s="131"/>
      <c r="E193" s="15" t="s">
        <v>145</v>
      </c>
      <c r="F193" s="143" t="s">
        <v>1044</v>
      </c>
      <c r="G193" s="15">
        <f t="shared" si="6"/>
        <v>2</v>
      </c>
      <c r="H193" s="131">
        <v>1</v>
      </c>
      <c r="J193" s="8"/>
    </row>
    <row r="194" spans="1:10" ht="15.95" customHeight="1" x14ac:dyDescent="0.3">
      <c r="A194" s="131">
        <f t="shared" si="10"/>
        <v>10378</v>
      </c>
      <c r="B194" s="138" t="s">
        <v>534</v>
      </c>
      <c r="C194" s="138"/>
      <c r="D194" s="131"/>
      <c r="E194" s="15" t="s">
        <v>145</v>
      </c>
      <c r="F194" s="143" t="s">
        <v>1044</v>
      </c>
      <c r="G194" s="15">
        <f t="shared" si="6"/>
        <v>2</v>
      </c>
      <c r="H194" s="131">
        <v>1</v>
      </c>
      <c r="J194" s="8"/>
    </row>
    <row r="195" spans="1:10" ht="15.95" customHeight="1" x14ac:dyDescent="0.3">
      <c r="A195" s="131">
        <f t="shared" si="10"/>
        <v>10380</v>
      </c>
      <c r="B195" s="138" t="s">
        <v>31</v>
      </c>
      <c r="C195" s="138"/>
      <c r="D195" s="131"/>
      <c r="E195" s="15" t="s">
        <v>145</v>
      </c>
      <c r="F195" s="143" t="s">
        <v>1044</v>
      </c>
      <c r="G195" s="15">
        <f t="shared" si="6"/>
        <v>2</v>
      </c>
      <c r="H195" s="131">
        <v>1</v>
      </c>
      <c r="J195" s="8"/>
    </row>
    <row r="196" spans="1:10" ht="15.95" customHeight="1" x14ac:dyDescent="0.3">
      <c r="A196" s="131">
        <f t="shared" si="10"/>
        <v>10382</v>
      </c>
      <c r="B196" s="138"/>
      <c r="C196" s="138"/>
      <c r="D196" s="131"/>
      <c r="E196" s="15" t="s">
        <v>145</v>
      </c>
      <c r="F196" s="143" t="s">
        <v>1044</v>
      </c>
      <c r="G196" s="15">
        <f t="shared" si="6"/>
        <v>2</v>
      </c>
      <c r="H196" s="131">
        <v>1</v>
      </c>
      <c r="J196" s="8"/>
    </row>
    <row r="197" spans="1:10" ht="15.95" customHeight="1" x14ac:dyDescent="0.3">
      <c r="A197" s="131">
        <f t="shared" si="10"/>
        <v>10384</v>
      </c>
      <c r="B197" s="144" t="s">
        <v>541</v>
      </c>
      <c r="C197" s="138" t="s">
        <v>1176</v>
      </c>
      <c r="D197" s="143"/>
      <c r="E197" s="143" t="s">
        <v>540</v>
      </c>
      <c r="F197" s="143" t="s">
        <v>1044</v>
      </c>
      <c r="G197" s="143">
        <f t="shared" si="6"/>
        <v>4</v>
      </c>
      <c r="H197" s="143">
        <v>4</v>
      </c>
      <c r="J197" s="8"/>
    </row>
    <row r="198" spans="1:10" ht="15.95" customHeight="1" x14ac:dyDescent="0.3">
      <c r="A198" s="131">
        <f t="shared" si="10"/>
        <v>10400</v>
      </c>
      <c r="B198" s="144" t="s">
        <v>530</v>
      </c>
      <c r="C198" s="138"/>
      <c r="D198" s="143"/>
      <c r="E198" s="143" t="s">
        <v>540</v>
      </c>
      <c r="F198" s="143" t="s">
        <v>1044</v>
      </c>
      <c r="G198" s="143">
        <f t="shared" si="6"/>
        <v>4</v>
      </c>
      <c r="H198" s="143">
        <v>4</v>
      </c>
      <c r="J198" s="8"/>
    </row>
    <row r="199" spans="1:10" ht="15.95" customHeight="1" x14ac:dyDescent="0.3">
      <c r="A199" s="131">
        <f t="shared" si="10"/>
        <v>10416</v>
      </c>
      <c r="B199" s="144" t="s">
        <v>140</v>
      </c>
      <c r="C199" s="138"/>
      <c r="D199" s="143"/>
      <c r="E199" s="143" t="s">
        <v>540</v>
      </c>
      <c r="F199" s="143" t="s">
        <v>1044</v>
      </c>
      <c r="G199" s="143">
        <f t="shared" si="6"/>
        <v>4</v>
      </c>
      <c r="H199" s="143">
        <v>4</v>
      </c>
      <c r="J199" s="8"/>
    </row>
    <row r="200" spans="1:10" ht="15.95" customHeight="1" x14ac:dyDescent="0.3">
      <c r="A200" s="131">
        <f t="shared" si="10"/>
        <v>10432</v>
      </c>
      <c r="B200" s="144" t="s">
        <v>141</v>
      </c>
      <c r="C200" s="138"/>
      <c r="D200" s="143"/>
      <c r="E200" s="143" t="s">
        <v>540</v>
      </c>
      <c r="F200" s="143" t="s">
        <v>1044</v>
      </c>
      <c r="G200" s="143">
        <f t="shared" si="6"/>
        <v>4</v>
      </c>
      <c r="H200" s="143">
        <v>4</v>
      </c>
      <c r="I200" s="86"/>
    </row>
    <row r="201" spans="1:10" ht="15.95" customHeight="1" x14ac:dyDescent="0.3">
      <c r="A201" s="131">
        <f t="shared" si="10"/>
        <v>10448</v>
      </c>
      <c r="B201" s="144" t="s">
        <v>531</v>
      </c>
      <c r="C201" s="138"/>
      <c r="D201" s="143"/>
      <c r="E201" s="143" t="s">
        <v>540</v>
      </c>
      <c r="F201" s="143" t="s">
        <v>1044</v>
      </c>
      <c r="G201" s="143">
        <f t="shared" si="6"/>
        <v>4</v>
      </c>
      <c r="H201" s="143">
        <v>4</v>
      </c>
      <c r="I201" s="86"/>
    </row>
    <row r="202" spans="1:10" ht="15.95" customHeight="1" x14ac:dyDescent="0.3">
      <c r="A202" s="131">
        <f t="shared" si="10"/>
        <v>10464</v>
      </c>
      <c r="B202" s="144"/>
      <c r="C202" s="138"/>
      <c r="D202" s="143"/>
      <c r="E202" s="143" t="s">
        <v>540</v>
      </c>
      <c r="F202" s="143" t="s">
        <v>1044</v>
      </c>
      <c r="G202" s="143">
        <f t="shared" si="6"/>
        <v>4</v>
      </c>
      <c r="H202" s="143">
        <v>4</v>
      </c>
      <c r="I202" s="86"/>
    </row>
    <row r="203" spans="1:10" ht="15.95" customHeight="1" x14ac:dyDescent="0.3">
      <c r="A203" s="162" t="s">
        <v>138</v>
      </c>
      <c r="B203" s="162"/>
      <c r="C203" s="162"/>
      <c r="D203" s="162"/>
      <c r="E203" s="162"/>
      <c r="F203" s="162"/>
      <c r="G203" s="162"/>
      <c r="H203" s="162"/>
      <c r="I203" s="88"/>
    </row>
    <row r="204" spans="1:10" ht="15.95" customHeight="1" x14ac:dyDescent="0.3">
      <c r="A204" s="131">
        <f>A202+(G202*H202)</f>
        <v>10480</v>
      </c>
      <c r="B204" s="138" t="s">
        <v>90</v>
      </c>
      <c r="C204" s="173"/>
      <c r="D204" s="131"/>
      <c r="E204" s="15" t="s">
        <v>91</v>
      </c>
      <c r="F204" s="15">
        <v>3</v>
      </c>
      <c r="G204" s="15">
        <f t="shared" ref="G204:G240" si="11">IF(OR(E204="U16", E204="S16"),1,IF(E204="TS",6,2))</f>
        <v>2</v>
      </c>
      <c r="H204" s="131">
        <v>1</v>
      </c>
      <c r="I204" s="85"/>
    </row>
    <row r="205" spans="1:10" ht="15.95" customHeight="1" x14ac:dyDescent="0.3">
      <c r="A205" s="131">
        <f t="shared" ref="A205:A240" si="12">A204+(G204*H204)</f>
        <v>10482</v>
      </c>
      <c r="B205" s="138" t="s">
        <v>42</v>
      </c>
      <c r="C205" s="173"/>
      <c r="D205" s="131"/>
      <c r="E205" s="15" t="s">
        <v>58</v>
      </c>
      <c r="F205" s="15">
        <v>3</v>
      </c>
      <c r="G205" s="15">
        <f t="shared" si="11"/>
        <v>2</v>
      </c>
      <c r="H205" s="131">
        <v>1</v>
      </c>
      <c r="I205" s="85"/>
    </row>
    <row r="206" spans="1:10" ht="15.95" customHeight="1" x14ac:dyDescent="0.3">
      <c r="A206" s="131">
        <f t="shared" si="12"/>
        <v>10484</v>
      </c>
      <c r="B206" s="138" t="s">
        <v>90</v>
      </c>
      <c r="C206" s="173"/>
      <c r="D206" s="131"/>
      <c r="E206" s="15" t="s">
        <v>91</v>
      </c>
      <c r="F206" s="15">
        <v>3</v>
      </c>
      <c r="G206" s="15">
        <f t="shared" si="11"/>
        <v>2</v>
      </c>
      <c r="H206" s="131">
        <v>1</v>
      </c>
      <c r="I206" s="85"/>
    </row>
    <row r="207" spans="1:10" ht="15.95" customHeight="1" x14ac:dyDescent="0.3">
      <c r="A207" s="131">
        <f t="shared" si="12"/>
        <v>10486</v>
      </c>
      <c r="B207" s="138" t="s">
        <v>43</v>
      </c>
      <c r="C207" s="173"/>
      <c r="D207" s="131"/>
      <c r="E207" s="15" t="s">
        <v>58</v>
      </c>
      <c r="F207" s="15">
        <v>3</v>
      </c>
      <c r="G207" s="15">
        <f t="shared" si="11"/>
        <v>2</v>
      </c>
      <c r="H207" s="131">
        <v>1</v>
      </c>
      <c r="I207" s="85"/>
    </row>
    <row r="208" spans="1:10" ht="15.95" customHeight="1" x14ac:dyDescent="0.3">
      <c r="A208" s="131">
        <f t="shared" si="12"/>
        <v>10488</v>
      </c>
      <c r="B208" s="138" t="s">
        <v>90</v>
      </c>
      <c r="C208" s="173"/>
      <c r="D208" s="131"/>
      <c r="E208" s="15" t="s">
        <v>91</v>
      </c>
      <c r="F208" s="15">
        <v>3</v>
      </c>
      <c r="G208" s="15">
        <f t="shared" si="11"/>
        <v>2</v>
      </c>
      <c r="H208" s="131">
        <v>1</v>
      </c>
      <c r="I208" s="85"/>
    </row>
    <row r="209" spans="1:10" ht="15.95" customHeight="1" x14ac:dyDescent="0.3">
      <c r="A209" s="131">
        <f t="shared" si="12"/>
        <v>10490</v>
      </c>
      <c r="B209" s="138" t="s">
        <v>44</v>
      </c>
      <c r="C209" s="173"/>
      <c r="D209" s="131"/>
      <c r="E209" s="15" t="s">
        <v>58</v>
      </c>
      <c r="F209" s="15">
        <v>3</v>
      </c>
      <c r="G209" s="15">
        <f t="shared" si="11"/>
        <v>2</v>
      </c>
      <c r="H209" s="131">
        <v>1</v>
      </c>
      <c r="I209" s="85"/>
    </row>
    <row r="210" spans="1:10" ht="15.95" customHeight="1" x14ac:dyDescent="0.3">
      <c r="A210" s="131">
        <f t="shared" si="12"/>
        <v>10492</v>
      </c>
      <c r="B210" s="138" t="s">
        <v>90</v>
      </c>
      <c r="C210" s="173"/>
      <c r="D210" s="131"/>
      <c r="E210" s="15" t="s">
        <v>91</v>
      </c>
      <c r="F210" s="15">
        <v>3</v>
      </c>
      <c r="G210" s="15">
        <f t="shared" si="11"/>
        <v>2</v>
      </c>
      <c r="H210" s="131">
        <v>1</v>
      </c>
      <c r="I210" s="85"/>
    </row>
    <row r="211" spans="1:10" ht="15.95" customHeight="1" x14ac:dyDescent="0.3">
      <c r="A211" s="131">
        <f t="shared" si="12"/>
        <v>10494</v>
      </c>
      <c r="B211" s="138" t="s">
        <v>45</v>
      </c>
      <c r="C211" s="173"/>
      <c r="D211" s="131"/>
      <c r="E211" s="15" t="s">
        <v>58</v>
      </c>
      <c r="F211" s="15">
        <v>3</v>
      </c>
      <c r="G211" s="15">
        <f t="shared" si="11"/>
        <v>2</v>
      </c>
      <c r="H211" s="131">
        <v>1</v>
      </c>
      <c r="I211" s="85"/>
    </row>
    <row r="212" spans="1:10" ht="15.95" customHeight="1" x14ac:dyDescent="0.3">
      <c r="A212" s="131">
        <f t="shared" si="12"/>
        <v>10496</v>
      </c>
      <c r="B212" s="138" t="s">
        <v>90</v>
      </c>
      <c r="C212" s="173"/>
      <c r="D212" s="131"/>
      <c r="E212" s="15" t="s">
        <v>91</v>
      </c>
      <c r="F212" s="15">
        <v>3</v>
      </c>
      <c r="G212" s="15">
        <f t="shared" si="11"/>
        <v>2</v>
      </c>
      <c r="H212" s="131">
        <v>1</v>
      </c>
      <c r="I212" s="85"/>
    </row>
    <row r="213" spans="1:10" ht="15.95" customHeight="1" x14ac:dyDescent="0.3">
      <c r="A213" s="131">
        <f t="shared" si="12"/>
        <v>10498</v>
      </c>
      <c r="B213" s="138" t="s">
        <v>134</v>
      </c>
      <c r="C213" s="173"/>
      <c r="D213" s="131"/>
      <c r="E213" s="15" t="s">
        <v>58</v>
      </c>
      <c r="F213" s="15">
        <v>3</v>
      </c>
      <c r="G213" s="15">
        <f t="shared" si="11"/>
        <v>2</v>
      </c>
      <c r="H213" s="131">
        <v>1</v>
      </c>
      <c r="I213" s="85"/>
    </row>
    <row r="214" spans="1:10" ht="15.95" customHeight="1" x14ac:dyDescent="0.3">
      <c r="A214" s="131">
        <f t="shared" si="12"/>
        <v>10500</v>
      </c>
      <c r="B214" s="138" t="s">
        <v>90</v>
      </c>
      <c r="C214" s="173"/>
      <c r="D214" s="131"/>
      <c r="E214" s="15" t="s">
        <v>91</v>
      </c>
      <c r="F214" s="15">
        <v>3</v>
      </c>
      <c r="G214" s="15">
        <f t="shared" si="11"/>
        <v>2</v>
      </c>
      <c r="H214" s="131">
        <v>1</v>
      </c>
      <c r="I214" s="85"/>
    </row>
    <row r="215" spans="1:10" ht="15.95" customHeight="1" x14ac:dyDescent="0.3">
      <c r="A215" s="131">
        <f t="shared" si="12"/>
        <v>10502</v>
      </c>
      <c r="B215" s="138" t="s">
        <v>46</v>
      </c>
      <c r="C215" s="173"/>
      <c r="D215" s="131"/>
      <c r="E215" s="15" t="s">
        <v>58</v>
      </c>
      <c r="F215" s="15">
        <v>3</v>
      </c>
      <c r="G215" s="15">
        <f t="shared" si="11"/>
        <v>2</v>
      </c>
      <c r="H215" s="131">
        <v>1</v>
      </c>
      <c r="I215" s="85"/>
    </row>
    <row r="216" spans="1:10" ht="15.95" customHeight="1" x14ac:dyDescent="0.3">
      <c r="A216" s="131">
        <f t="shared" si="12"/>
        <v>10504</v>
      </c>
      <c r="B216" s="138" t="s">
        <v>90</v>
      </c>
      <c r="C216" s="173"/>
      <c r="D216" s="131"/>
      <c r="E216" s="15" t="s">
        <v>91</v>
      </c>
      <c r="F216" s="15">
        <v>3</v>
      </c>
      <c r="G216" s="15">
        <f t="shared" si="11"/>
        <v>2</v>
      </c>
      <c r="H216" s="131">
        <v>1</v>
      </c>
      <c r="I216" s="85"/>
    </row>
    <row r="217" spans="1:10" ht="15.95" customHeight="1" x14ac:dyDescent="0.3">
      <c r="A217" s="131">
        <f t="shared" si="12"/>
        <v>10506</v>
      </c>
      <c r="B217" s="138" t="s">
        <v>47</v>
      </c>
      <c r="C217" s="173"/>
      <c r="D217" s="131"/>
      <c r="E217" s="15" t="s">
        <v>58</v>
      </c>
      <c r="F217" s="15">
        <v>3</v>
      </c>
      <c r="G217" s="15">
        <f t="shared" si="11"/>
        <v>2</v>
      </c>
      <c r="H217" s="131">
        <v>1</v>
      </c>
      <c r="I217" s="85"/>
    </row>
    <row r="218" spans="1:10" ht="15.95" customHeight="1" x14ac:dyDescent="0.3">
      <c r="A218" s="131">
        <f t="shared" si="12"/>
        <v>10508</v>
      </c>
      <c r="B218" s="138" t="s">
        <v>90</v>
      </c>
      <c r="C218" s="173"/>
      <c r="D218" s="131"/>
      <c r="E218" s="15" t="s">
        <v>91</v>
      </c>
      <c r="F218" s="15">
        <v>3</v>
      </c>
      <c r="G218" s="15">
        <f t="shared" si="11"/>
        <v>2</v>
      </c>
      <c r="H218" s="131">
        <v>1</v>
      </c>
      <c r="I218" s="85"/>
    </row>
    <row r="219" spans="1:10" ht="15.95" customHeight="1" x14ac:dyDescent="0.3">
      <c r="A219" s="131">
        <f t="shared" si="12"/>
        <v>10510</v>
      </c>
      <c r="B219" s="138" t="s">
        <v>48</v>
      </c>
      <c r="C219" s="173"/>
      <c r="D219" s="131"/>
      <c r="E219" s="15" t="s">
        <v>58</v>
      </c>
      <c r="F219" s="15">
        <v>3</v>
      </c>
      <c r="G219" s="15">
        <f t="shared" si="11"/>
        <v>2</v>
      </c>
      <c r="H219" s="131">
        <v>1</v>
      </c>
      <c r="I219" s="85"/>
    </row>
    <row r="220" spans="1:10" ht="15.95" customHeight="1" x14ac:dyDescent="0.3">
      <c r="A220" s="131">
        <f t="shared" si="12"/>
        <v>10512</v>
      </c>
      <c r="B220" s="138" t="s">
        <v>396</v>
      </c>
      <c r="C220" s="138"/>
      <c r="D220" s="131"/>
      <c r="E220" s="15" t="s">
        <v>91</v>
      </c>
      <c r="F220" s="15">
        <v>3</v>
      </c>
      <c r="G220" s="15">
        <f t="shared" si="11"/>
        <v>2</v>
      </c>
      <c r="H220" s="131">
        <v>1</v>
      </c>
      <c r="I220" s="85"/>
    </row>
    <row r="221" spans="1:10" ht="15.95" customHeight="1" x14ac:dyDescent="0.3">
      <c r="A221" s="131">
        <f t="shared" si="12"/>
        <v>10514</v>
      </c>
      <c r="B221" s="138" t="s">
        <v>49</v>
      </c>
      <c r="C221" s="138"/>
      <c r="D221" s="131"/>
      <c r="E221" s="15" t="s">
        <v>58</v>
      </c>
      <c r="F221" s="15">
        <v>3</v>
      </c>
      <c r="G221" s="15">
        <f t="shared" si="11"/>
        <v>2</v>
      </c>
      <c r="H221" s="131">
        <v>1</v>
      </c>
      <c r="I221" s="85"/>
    </row>
    <row r="222" spans="1:10" ht="15.95" customHeight="1" x14ac:dyDescent="0.3">
      <c r="A222" s="131">
        <f t="shared" si="12"/>
        <v>10516</v>
      </c>
      <c r="B222" s="138" t="s">
        <v>50</v>
      </c>
      <c r="C222" s="138"/>
      <c r="D222" s="131"/>
      <c r="E222" s="15" t="s">
        <v>58</v>
      </c>
      <c r="F222" s="15">
        <v>3</v>
      </c>
      <c r="G222" s="15">
        <f t="shared" si="11"/>
        <v>2</v>
      </c>
      <c r="H222" s="131">
        <v>1</v>
      </c>
      <c r="I222" s="85"/>
      <c r="J222" s="139" t="s">
        <v>144</v>
      </c>
    </row>
    <row r="223" spans="1:10" ht="15.95" customHeight="1" x14ac:dyDescent="0.3">
      <c r="A223" s="131">
        <f t="shared" si="12"/>
        <v>10518</v>
      </c>
      <c r="B223" s="138" t="s">
        <v>51</v>
      </c>
      <c r="C223" s="138"/>
      <c r="D223" s="131"/>
      <c r="E223" s="15" t="s">
        <v>58</v>
      </c>
      <c r="F223" s="15">
        <v>3</v>
      </c>
      <c r="G223" s="15">
        <f t="shared" si="11"/>
        <v>2</v>
      </c>
      <c r="H223" s="131">
        <v>1</v>
      </c>
      <c r="I223" s="85"/>
    </row>
    <row r="224" spans="1:10" ht="15.95" customHeight="1" x14ac:dyDescent="0.3">
      <c r="A224" s="131">
        <f t="shared" si="12"/>
        <v>10520</v>
      </c>
      <c r="B224" s="138" t="s">
        <v>52</v>
      </c>
      <c r="C224" s="138"/>
      <c r="D224" s="131"/>
      <c r="E224" s="15" t="s">
        <v>58</v>
      </c>
      <c r="F224" s="15">
        <v>3</v>
      </c>
      <c r="G224" s="15">
        <f t="shared" si="11"/>
        <v>2</v>
      </c>
      <c r="H224" s="131">
        <v>1</v>
      </c>
      <c r="I224" s="85"/>
    </row>
    <row r="225" spans="1:9" ht="15.95" customHeight="1" x14ac:dyDescent="0.3">
      <c r="A225" s="131">
        <f t="shared" si="12"/>
        <v>10522</v>
      </c>
      <c r="B225" s="138" t="s">
        <v>53</v>
      </c>
      <c r="C225" s="138"/>
      <c r="D225" s="131"/>
      <c r="E225" s="15" t="s">
        <v>58</v>
      </c>
      <c r="F225" s="15">
        <v>3</v>
      </c>
      <c r="G225" s="15">
        <f t="shared" si="11"/>
        <v>2</v>
      </c>
      <c r="H225" s="131">
        <v>1</v>
      </c>
      <c r="I225" s="85"/>
    </row>
    <row r="226" spans="1:9" ht="15.95" customHeight="1" x14ac:dyDescent="0.3">
      <c r="A226" s="131">
        <f t="shared" si="12"/>
        <v>10524</v>
      </c>
      <c r="B226" s="138" t="s">
        <v>54</v>
      </c>
      <c r="C226" s="138"/>
      <c r="D226" s="131"/>
      <c r="E226" s="15" t="s">
        <v>58</v>
      </c>
      <c r="F226" s="15">
        <v>3</v>
      </c>
      <c r="G226" s="15">
        <f t="shared" si="11"/>
        <v>2</v>
      </c>
      <c r="H226" s="131">
        <v>1</v>
      </c>
      <c r="I226" s="85"/>
    </row>
    <row r="227" spans="1:9" ht="15.95" customHeight="1" x14ac:dyDescent="0.3">
      <c r="A227" s="131">
        <f t="shared" si="12"/>
        <v>10526</v>
      </c>
      <c r="B227" s="138" t="s">
        <v>55</v>
      </c>
      <c r="C227" s="138"/>
      <c r="D227" s="131"/>
      <c r="E227" s="15" t="s">
        <v>58</v>
      </c>
      <c r="F227" s="15">
        <v>3</v>
      </c>
      <c r="G227" s="15">
        <f t="shared" si="11"/>
        <v>2</v>
      </c>
      <c r="H227" s="131">
        <v>1</v>
      </c>
      <c r="I227" s="85"/>
    </row>
    <row r="228" spans="1:9" ht="15.95" customHeight="1" x14ac:dyDescent="0.3">
      <c r="A228" s="131">
        <f t="shared" si="12"/>
        <v>10528</v>
      </c>
      <c r="B228" s="138" t="s">
        <v>56</v>
      </c>
      <c r="C228" s="138"/>
      <c r="D228" s="131"/>
      <c r="E228" s="15" t="s">
        <v>58</v>
      </c>
      <c r="F228" s="15">
        <v>3</v>
      </c>
      <c r="G228" s="15">
        <f t="shared" si="11"/>
        <v>2</v>
      </c>
      <c r="H228" s="131">
        <v>1</v>
      </c>
      <c r="I228" s="85"/>
    </row>
    <row r="229" spans="1:9" ht="15.95" customHeight="1" x14ac:dyDescent="0.3">
      <c r="A229" s="131">
        <f t="shared" si="12"/>
        <v>10530</v>
      </c>
      <c r="B229" s="138" t="s">
        <v>259</v>
      </c>
      <c r="C229" s="138"/>
      <c r="D229" s="131"/>
      <c r="E229" s="15" t="s">
        <v>58</v>
      </c>
      <c r="F229" s="15">
        <v>3</v>
      </c>
      <c r="G229" s="15">
        <f t="shared" si="11"/>
        <v>2</v>
      </c>
      <c r="H229" s="131">
        <v>1</v>
      </c>
      <c r="I229" s="85"/>
    </row>
    <row r="230" spans="1:9" ht="15.95" customHeight="1" x14ac:dyDescent="0.3">
      <c r="A230" s="131">
        <f t="shared" si="12"/>
        <v>10532</v>
      </c>
      <c r="B230" s="138" t="s">
        <v>260</v>
      </c>
      <c r="C230" s="138"/>
      <c r="D230" s="131"/>
      <c r="E230" s="15" t="s">
        <v>58</v>
      </c>
      <c r="F230" s="15">
        <v>3</v>
      </c>
      <c r="G230" s="15">
        <f t="shared" si="11"/>
        <v>2</v>
      </c>
      <c r="H230" s="131">
        <v>1</v>
      </c>
      <c r="I230" s="85"/>
    </row>
    <row r="231" spans="1:9" ht="15.95" customHeight="1" x14ac:dyDescent="0.3">
      <c r="A231" s="131">
        <f t="shared" si="12"/>
        <v>10534</v>
      </c>
      <c r="B231" s="138" t="s">
        <v>261</v>
      </c>
      <c r="C231" s="138"/>
      <c r="D231" s="131"/>
      <c r="E231" s="15" t="s">
        <v>58</v>
      </c>
      <c r="F231" s="15">
        <v>3</v>
      </c>
      <c r="G231" s="15">
        <f t="shared" si="11"/>
        <v>2</v>
      </c>
      <c r="H231" s="131">
        <v>1</v>
      </c>
      <c r="I231" s="85"/>
    </row>
    <row r="232" spans="1:9" ht="15.95" customHeight="1" x14ac:dyDescent="0.3">
      <c r="A232" s="131">
        <f t="shared" si="12"/>
        <v>10536</v>
      </c>
      <c r="B232" s="138" t="s">
        <v>262</v>
      </c>
      <c r="C232" s="138"/>
      <c r="D232" s="131"/>
      <c r="E232" s="15" t="s">
        <v>58</v>
      </c>
      <c r="F232" s="15">
        <v>3</v>
      </c>
      <c r="G232" s="15">
        <f t="shared" si="11"/>
        <v>2</v>
      </c>
      <c r="H232" s="131">
        <v>1</v>
      </c>
      <c r="I232" s="85"/>
    </row>
    <row r="233" spans="1:9" ht="15.95" customHeight="1" x14ac:dyDescent="0.3">
      <c r="A233" s="131">
        <f t="shared" si="12"/>
        <v>10538</v>
      </c>
      <c r="B233" s="138" t="s">
        <v>263</v>
      </c>
      <c r="C233" s="138"/>
      <c r="D233" s="131"/>
      <c r="E233" s="15" t="s">
        <v>58</v>
      </c>
      <c r="F233" s="15">
        <v>3</v>
      </c>
      <c r="G233" s="15">
        <f t="shared" si="11"/>
        <v>2</v>
      </c>
      <c r="H233" s="131">
        <v>1</v>
      </c>
      <c r="I233" s="85"/>
    </row>
    <row r="234" spans="1:9" ht="15.95" customHeight="1" x14ac:dyDescent="0.3">
      <c r="A234" s="131">
        <f t="shared" si="12"/>
        <v>10540</v>
      </c>
      <c r="B234" s="138" t="s">
        <v>93</v>
      </c>
      <c r="C234" s="138"/>
      <c r="D234" s="131"/>
      <c r="E234" s="15" t="s">
        <v>58</v>
      </c>
      <c r="F234" s="15">
        <v>3</v>
      </c>
      <c r="G234" s="15">
        <f t="shared" si="11"/>
        <v>2</v>
      </c>
      <c r="H234" s="131">
        <v>1</v>
      </c>
      <c r="I234" s="85"/>
    </row>
    <row r="235" spans="1:9" ht="15.95" customHeight="1" x14ac:dyDescent="0.3">
      <c r="A235" s="131">
        <f t="shared" si="12"/>
        <v>10542</v>
      </c>
      <c r="B235" s="138" t="s">
        <v>265</v>
      </c>
      <c r="C235" s="138"/>
      <c r="D235" s="131"/>
      <c r="E235" s="15" t="s">
        <v>58</v>
      </c>
      <c r="F235" s="15">
        <v>3</v>
      </c>
      <c r="G235" s="15">
        <f t="shared" si="11"/>
        <v>2</v>
      </c>
      <c r="H235" s="131">
        <v>1</v>
      </c>
      <c r="I235" s="85"/>
    </row>
    <row r="236" spans="1:9" ht="15.95" customHeight="1" x14ac:dyDescent="0.3">
      <c r="A236" s="131">
        <f t="shared" si="12"/>
        <v>10544</v>
      </c>
      <c r="B236" s="138"/>
      <c r="C236" s="138"/>
      <c r="D236" s="131"/>
      <c r="E236" s="15" t="s">
        <v>58</v>
      </c>
      <c r="F236" s="15">
        <v>3</v>
      </c>
      <c r="G236" s="15">
        <f t="shared" si="11"/>
        <v>2</v>
      </c>
      <c r="H236" s="131">
        <v>1</v>
      </c>
      <c r="I236" s="85"/>
    </row>
    <row r="237" spans="1:9" ht="15.95" customHeight="1" x14ac:dyDescent="0.3">
      <c r="A237" s="131">
        <f t="shared" si="12"/>
        <v>10546</v>
      </c>
      <c r="B237" s="138"/>
      <c r="C237" s="138"/>
      <c r="D237" s="131"/>
      <c r="E237" s="15" t="s">
        <v>58</v>
      </c>
      <c r="F237" s="15">
        <v>3</v>
      </c>
      <c r="G237" s="15">
        <f t="shared" si="11"/>
        <v>2</v>
      </c>
      <c r="H237" s="131">
        <v>1</v>
      </c>
      <c r="I237" s="85"/>
    </row>
    <row r="238" spans="1:9" ht="15.95" customHeight="1" x14ac:dyDescent="0.3">
      <c r="A238" s="131">
        <f t="shared" si="12"/>
        <v>10548</v>
      </c>
      <c r="B238" s="138" t="s">
        <v>560</v>
      </c>
      <c r="C238" s="138"/>
      <c r="D238" s="131"/>
      <c r="E238" s="15" t="s">
        <v>145</v>
      </c>
      <c r="F238" s="15">
        <v>3</v>
      </c>
      <c r="G238" s="15">
        <f t="shared" si="11"/>
        <v>2</v>
      </c>
      <c r="H238" s="131">
        <v>1</v>
      </c>
      <c r="I238" s="85"/>
    </row>
    <row r="239" spans="1:9" ht="15.95" customHeight="1" x14ac:dyDescent="0.3">
      <c r="A239" s="131">
        <f t="shared" si="12"/>
        <v>10550</v>
      </c>
      <c r="B239" s="138" t="s">
        <v>264</v>
      </c>
      <c r="C239" s="138"/>
      <c r="D239" s="131"/>
      <c r="E239" s="15" t="s">
        <v>58</v>
      </c>
      <c r="F239" s="15">
        <v>3</v>
      </c>
      <c r="G239" s="15">
        <f t="shared" si="11"/>
        <v>2</v>
      </c>
      <c r="H239" s="131">
        <v>96</v>
      </c>
      <c r="I239" s="85"/>
    </row>
    <row r="240" spans="1:9" ht="15.95" customHeight="1" x14ac:dyDescent="0.3">
      <c r="A240" s="131">
        <f t="shared" si="12"/>
        <v>10742</v>
      </c>
      <c r="B240" s="138"/>
      <c r="C240" s="138"/>
      <c r="D240" s="131"/>
      <c r="E240" s="15" t="s">
        <v>58</v>
      </c>
      <c r="F240" s="15">
        <v>3</v>
      </c>
      <c r="G240" s="15">
        <f t="shared" si="11"/>
        <v>2</v>
      </c>
      <c r="H240" s="131">
        <v>19</v>
      </c>
      <c r="I240" s="85"/>
    </row>
    <row r="241" spans="1:9" ht="15.95" customHeight="1" x14ac:dyDescent="0.3">
      <c r="A241" s="162" t="s">
        <v>535</v>
      </c>
      <c r="B241" s="162"/>
      <c r="C241" s="162"/>
      <c r="D241" s="162"/>
      <c r="E241" s="162"/>
      <c r="F241" s="162"/>
      <c r="G241" s="162"/>
      <c r="H241" s="162"/>
      <c r="I241" s="88"/>
    </row>
    <row r="242" spans="1:9" ht="15.95" customHeight="1" x14ac:dyDescent="0.3">
      <c r="A242" s="131">
        <f>A240+(G240*H240)</f>
        <v>10780</v>
      </c>
      <c r="B242" s="138" t="s">
        <v>965</v>
      </c>
      <c r="C242" s="138"/>
      <c r="D242" s="131" t="s">
        <v>966</v>
      </c>
      <c r="E242" s="15" t="s">
        <v>436</v>
      </c>
      <c r="F242" s="15">
        <v>3</v>
      </c>
      <c r="G242" s="15">
        <v>2</v>
      </c>
      <c r="H242" s="131">
        <v>1</v>
      </c>
      <c r="I242" s="85"/>
    </row>
    <row r="243" spans="1:9" ht="15.95" customHeight="1" x14ac:dyDescent="0.3">
      <c r="A243" s="131">
        <f t="shared" ref="A243:A269" si="13">A242+(G242*H242)</f>
        <v>10782</v>
      </c>
      <c r="B243" s="138" t="s">
        <v>967</v>
      </c>
      <c r="C243" s="138"/>
      <c r="D243" s="131" t="s">
        <v>966</v>
      </c>
      <c r="E243" s="15" t="s">
        <v>436</v>
      </c>
      <c r="F243" s="15">
        <v>3</v>
      </c>
      <c r="G243" s="15">
        <v>2</v>
      </c>
      <c r="H243" s="131">
        <v>1</v>
      </c>
      <c r="I243" s="85"/>
    </row>
    <row r="244" spans="1:9" ht="15.95" customHeight="1" x14ac:dyDescent="0.3">
      <c r="A244" s="131">
        <f t="shared" si="13"/>
        <v>10784</v>
      </c>
      <c r="B244" s="138" t="s">
        <v>968</v>
      </c>
      <c r="C244" s="138"/>
      <c r="D244" s="131" t="s">
        <v>966</v>
      </c>
      <c r="E244" s="15" t="s">
        <v>436</v>
      </c>
      <c r="F244" s="15">
        <v>3</v>
      </c>
      <c r="G244" s="15">
        <v>2</v>
      </c>
      <c r="H244" s="131">
        <v>1</v>
      </c>
      <c r="I244" s="85"/>
    </row>
    <row r="245" spans="1:9" ht="15.95" customHeight="1" x14ac:dyDescent="0.3">
      <c r="A245" s="131">
        <f t="shared" si="13"/>
        <v>10786</v>
      </c>
      <c r="B245" s="138" t="s">
        <v>969</v>
      </c>
      <c r="C245" s="138"/>
      <c r="D245" s="131" t="s">
        <v>970</v>
      </c>
      <c r="E245" s="15" t="s">
        <v>436</v>
      </c>
      <c r="F245" s="15">
        <v>3</v>
      </c>
      <c r="G245" s="15">
        <v>2</v>
      </c>
      <c r="H245" s="131">
        <v>1</v>
      </c>
      <c r="I245" s="85"/>
    </row>
    <row r="246" spans="1:9" ht="15.95" customHeight="1" x14ac:dyDescent="0.3">
      <c r="A246" s="131">
        <f t="shared" si="13"/>
        <v>10788</v>
      </c>
      <c r="B246" s="138" t="s">
        <v>971</v>
      </c>
      <c r="C246" s="138"/>
      <c r="D246" s="131" t="s">
        <v>970</v>
      </c>
      <c r="E246" s="15" t="s">
        <v>436</v>
      </c>
      <c r="F246" s="15">
        <v>3</v>
      </c>
      <c r="G246" s="15">
        <v>2</v>
      </c>
      <c r="H246" s="131">
        <v>1</v>
      </c>
      <c r="I246" s="85"/>
    </row>
    <row r="247" spans="1:9" ht="15.95" customHeight="1" x14ac:dyDescent="0.3">
      <c r="A247" s="131">
        <f t="shared" si="13"/>
        <v>10790</v>
      </c>
      <c r="B247" s="138" t="s">
        <v>972</v>
      </c>
      <c r="C247" s="138"/>
      <c r="D247" s="131" t="s">
        <v>970</v>
      </c>
      <c r="E247" s="15" t="s">
        <v>436</v>
      </c>
      <c r="F247" s="15">
        <v>3</v>
      </c>
      <c r="G247" s="15">
        <v>2</v>
      </c>
      <c r="H247" s="131">
        <v>1</v>
      </c>
      <c r="I247" s="85"/>
    </row>
    <row r="248" spans="1:9" ht="15.95" customHeight="1" x14ac:dyDescent="0.3">
      <c r="A248" s="131">
        <f t="shared" si="13"/>
        <v>10792</v>
      </c>
      <c r="B248" s="138" t="s">
        <v>973</v>
      </c>
      <c r="C248" s="138"/>
      <c r="D248" s="131" t="s">
        <v>966</v>
      </c>
      <c r="E248" s="15" t="s">
        <v>436</v>
      </c>
      <c r="F248" s="15">
        <v>3</v>
      </c>
      <c r="G248" s="15">
        <v>2</v>
      </c>
      <c r="H248" s="131">
        <v>1</v>
      </c>
      <c r="I248" s="85"/>
    </row>
    <row r="249" spans="1:9" ht="15.95" customHeight="1" x14ac:dyDescent="0.3">
      <c r="A249" s="131">
        <f t="shared" si="13"/>
        <v>10794</v>
      </c>
      <c r="B249" s="138" t="s">
        <v>974</v>
      </c>
      <c r="C249" s="138"/>
      <c r="D249" s="131" t="s">
        <v>966</v>
      </c>
      <c r="E249" s="15" t="s">
        <v>436</v>
      </c>
      <c r="F249" s="15">
        <v>3</v>
      </c>
      <c r="G249" s="15">
        <v>2</v>
      </c>
      <c r="H249" s="131">
        <v>1</v>
      </c>
      <c r="I249" s="85"/>
    </row>
    <row r="250" spans="1:9" ht="15.95" customHeight="1" x14ac:dyDescent="0.3">
      <c r="A250" s="131">
        <f t="shared" si="13"/>
        <v>10796</v>
      </c>
      <c r="B250" s="138" t="s">
        <v>975</v>
      </c>
      <c r="C250" s="138"/>
      <c r="D250" s="131" t="s">
        <v>966</v>
      </c>
      <c r="E250" s="15" t="s">
        <v>436</v>
      </c>
      <c r="F250" s="15">
        <v>3</v>
      </c>
      <c r="G250" s="15">
        <v>2</v>
      </c>
      <c r="H250" s="131">
        <v>1</v>
      </c>
      <c r="I250" s="85"/>
    </row>
    <row r="251" spans="1:9" ht="15.95" customHeight="1" x14ac:dyDescent="0.3">
      <c r="A251" s="131">
        <f t="shared" si="13"/>
        <v>10798</v>
      </c>
      <c r="B251" s="138" t="s">
        <v>976</v>
      </c>
      <c r="C251" s="138"/>
      <c r="D251" s="131" t="s">
        <v>970</v>
      </c>
      <c r="E251" s="15" t="s">
        <v>436</v>
      </c>
      <c r="F251" s="15">
        <v>3</v>
      </c>
      <c r="G251" s="15">
        <v>2</v>
      </c>
      <c r="H251" s="131">
        <v>1</v>
      </c>
      <c r="I251" s="85"/>
    </row>
    <row r="252" spans="1:9" ht="15.95" customHeight="1" x14ac:dyDescent="0.3">
      <c r="A252" s="131">
        <f t="shared" si="13"/>
        <v>10800</v>
      </c>
      <c r="B252" s="138" t="s">
        <v>977</v>
      </c>
      <c r="C252" s="138"/>
      <c r="D252" s="131" t="s">
        <v>970</v>
      </c>
      <c r="E252" s="15" t="s">
        <v>436</v>
      </c>
      <c r="F252" s="15">
        <v>3</v>
      </c>
      <c r="G252" s="15">
        <v>2</v>
      </c>
      <c r="H252" s="131">
        <v>1</v>
      </c>
      <c r="I252" s="85"/>
    </row>
    <row r="253" spans="1:9" ht="15.95" customHeight="1" x14ac:dyDescent="0.3">
      <c r="A253" s="131">
        <f t="shared" si="13"/>
        <v>10802</v>
      </c>
      <c r="B253" s="138" t="s">
        <v>978</v>
      </c>
      <c r="C253" s="138"/>
      <c r="D253" s="131" t="s">
        <v>970</v>
      </c>
      <c r="E253" s="15" t="s">
        <v>436</v>
      </c>
      <c r="F253" s="15">
        <v>3</v>
      </c>
      <c r="G253" s="15">
        <v>2</v>
      </c>
      <c r="H253" s="131">
        <v>1</v>
      </c>
      <c r="I253" s="85"/>
    </row>
    <row r="254" spans="1:9" ht="15.95" customHeight="1" x14ac:dyDescent="0.3">
      <c r="A254" s="131">
        <f t="shared" si="13"/>
        <v>10804</v>
      </c>
      <c r="B254" s="149" t="s">
        <v>979</v>
      </c>
      <c r="C254" s="149" t="s">
        <v>980</v>
      </c>
      <c r="D254" s="150"/>
      <c r="E254" s="150" t="s">
        <v>436</v>
      </c>
      <c r="F254" s="150">
        <v>3</v>
      </c>
      <c r="G254" s="150">
        <v>2</v>
      </c>
      <c r="H254" s="150">
        <v>1</v>
      </c>
      <c r="I254" s="85"/>
    </row>
    <row r="255" spans="1:9" ht="15.95" customHeight="1" x14ac:dyDescent="0.3">
      <c r="A255" s="131">
        <f t="shared" si="13"/>
        <v>10806</v>
      </c>
      <c r="B255" s="149" t="s">
        <v>981</v>
      </c>
      <c r="C255" s="149"/>
      <c r="D255" s="150"/>
      <c r="E255" s="150" t="s">
        <v>436</v>
      </c>
      <c r="F255" s="150">
        <v>3</v>
      </c>
      <c r="G255" s="150">
        <v>2</v>
      </c>
      <c r="H255" s="150">
        <v>1</v>
      </c>
      <c r="I255" s="85"/>
    </row>
    <row r="256" spans="1:9" ht="15.95" customHeight="1" x14ac:dyDescent="0.3">
      <c r="A256" s="131">
        <f t="shared" si="13"/>
        <v>10808</v>
      </c>
      <c r="B256" s="149" t="s">
        <v>982</v>
      </c>
      <c r="C256" s="149"/>
      <c r="D256" s="150"/>
      <c r="E256" s="150" t="s">
        <v>436</v>
      </c>
      <c r="F256" s="150">
        <v>3</v>
      </c>
      <c r="G256" s="150">
        <v>2</v>
      </c>
      <c r="H256" s="150">
        <v>1</v>
      </c>
      <c r="I256" s="85"/>
    </row>
    <row r="257" spans="1:10" ht="15.95" customHeight="1" x14ac:dyDescent="0.3">
      <c r="A257" s="131">
        <f t="shared" si="13"/>
        <v>10810</v>
      </c>
      <c r="B257" s="149" t="s">
        <v>983</v>
      </c>
      <c r="C257" s="149" t="s">
        <v>984</v>
      </c>
      <c r="D257" s="150"/>
      <c r="E257" s="150" t="s">
        <v>436</v>
      </c>
      <c r="F257" s="150">
        <v>3</v>
      </c>
      <c r="G257" s="150">
        <v>2</v>
      </c>
      <c r="H257" s="150">
        <v>1</v>
      </c>
      <c r="I257" s="85"/>
    </row>
    <row r="258" spans="1:10" ht="15.95" customHeight="1" x14ac:dyDescent="0.3">
      <c r="A258" s="131">
        <f t="shared" si="13"/>
        <v>10812</v>
      </c>
      <c r="B258" s="149" t="s">
        <v>985</v>
      </c>
      <c r="C258" s="149"/>
      <c r="D258" s="150"/>
      <c r="E258" s="150" t="s">
        <v>436</v>
      </c>
      <c r="F258" s="150">
        <v>3</v>
      </c>
      <c r="G258" s="150">
        <v>2</v>
      </c>
      <c r="H258" s="150">
        <v>1</v>
      </c>
      <c r="I258" s="85"/>
    </row>
    <row r="259" spans="1:10" ht="15.95" customHeight="1" x14ac:dyDescent="0.3">
      <c r="A259" s="131">
        <f t="shared" si="13"/>
        <v>10814</v>
      </c>
      <c r="B259" s="149" t="s">
        <v>986</v>
      </c>
      <c r="C259" s="149"/>
      <c r="D259" s="150"/>
      <c r="E259" s="150" t="s">
        <v>436</v>
      </c>
      <c r="F259" s="150">
        <v>3</v>
      </c>
      <c r="G259" s="150">
        <v>2</v>
      </c>
      <c r="H259" s="150">
        <v>1</v>
      </c>
      <c r="I259" s="85"/>
    </row>
    <row r="260" spans="1:10" ht="15.95" customHeight="1" x14ac:dyDescent="0.3">
      <c r="A260" s="131">
        <f t="shared" si="13"/>
        <v>10816</v>
      </c>
      <c r="B260" s="149" t="s">
        <v>987</v>
      </c>
      <c r="C260" s="149" t="s">
        <v>988</v>
      </c>
      <c r="D260" s="150"/>
      <c r="E260" s="150" t="s">
        <v>436</v>
      </c>
      <c r="F260" s="150">
        <v>3</v>
      </c>
      <c r="G260" s="150">
        <v>2</v>
      </c>
      <c r="H260" s="150">
        <v>1</v>
      </c>
      <c r="I260" s="85"/>
      <c r="J260" s="139" t="s">
        <v>144</v>
      </c>
    </row>
    <row r="261" spans="1:10" ht="15.95" customHeight="1" x14ac:dyDescent="0.3">
      <c r="A261" s="131">
        <f t="shared" si="13"/>
        <v>10818</v>
      </c>
      <c r="B261" s="149" t="s">
        <v>989</v>
      </c>
      <c r="C261" s="149"/>
      <c r="D261" s="150"/>
      <c r="E261" s="150" t="s">
        <v>436</v>
      </c>
      <c r="F261" s="150">
        <v>3</v>
      </c>
      <c r="G261" s="150">
        <v>2</v>
      </c>
      <c r="H261" s="150">
        <v>1</v>
      </c>
      <c r="I261" s="85"/>
    </row>
    <row r="262" spans="1:10" ht="15.95" customHeight="1" x14ac:dyDescent="0.3">
      <c r="A262" s="131">
        <f t="shared" si="13"/>
        <v>10820</v>
      </c>
      <c r="B262" s="149" t="s">
        <v>990</v>
      </c>
      <c r="C262" s="149"/>
      <c r="D262" s="150"/>
      <c r="E262" s="150" t="s">
        <v>436</v>
      </c>
      <c r="F262" s="150">
        <v>3</v>
      </c>
      <c r="G262" s="150">
        <v>2</v>
      </c>
      <c r="H262" s="150">
        <v>1</v>
      </c>
      <c r="I262" s="85"/>
    </row>
    <row r="263" spans="1:10" ht="27" x14ac:dyDescent="0.3">
      <c r="A263" s="131">
        <f t="shared" si="13"/>
        <v>10822</v>
      </c>
      <c r="B263" s="149" t="s">
        <v>991</v>
      </c>
      <c r="C263" s="149" t="s">
        <v>992</v>
      </c>
      <c r="D263" s="150"/>
      <c r="E263" s="150" t="s">
        <v>436</v>
      </c>
      <c r="F263" s="150">
        <v>3</v>
      </c>
      <c r="G263" s="150">
        <v>2</v>
      </c>
      <c r="H263" s="150">
        <v>1</v>
      </c>
      <c r="I263" s="85"/>
    </row>
    <row r="264" spans="1:10" ht="15.95" customHeight="1" x14ac:dyDescent="0.3">
      <c r="A264" s="131">
        <f t="shared" si="13"/>
        <v>10824</v>
      </c>
      <c r="B264" s="149" t="s">
        <v>993</v>
      </c>
      <c r="C264" s="149"/>
      <c r="D264" s="150"/>
      <c r="E264" s="150" t="s">
        <v>436</v>
      </c>
      <c r="F264" s="150">
        <v>3</v>
      </c>
      <c r="G264" s="150">
        <v>2</v>
      </c>
      <c r="H264" s="150">
        <v>1</v>
      </c>
      <c r="I264" s="85"/>
    </row>
    <row r="265" spans="1:10" ht="15.95" customHeight="1" x14ac:dyDescent="0.3">
      <c r="A265" s="131">
        <f t="shared" si="13"/>
        <v>10826</v>
      </c>
      <c r="B265" s="149" t="s">
        <v>994</v>
      </c>
      <c r="C265" s="149"/>
      <c r="D265" s="150"/>
      <c r="E265" s="150" t="s">
        <v>436</v>
      </c>
      <c r="F265" s="150">
        <v>3</v>
      </c>
      <c r="G265" s="150">
        <v>2</v>
      </c>
      <c r="H265" s="150">
        <v>1</v>
      </c>
      <c r="I265" s="85"/>
    </row>
    <row r="266" spans="1:10" ht="40.5" x14ac:dyDescent="0.3">
      <c r="A266" s="131">
        <f t="shared" si="13"/>
        <v>10828</v>
      </c>
      <c r="B266" s="149" t="s">
        <v>995</v>
      </c>
      <c r="C266" s="149" t="s">
        <v>996</v>
      </c>
      <c r="D266" s="150"/>
      <c r="E266" s="150" t="s">
        <v>436</v>
      </c>
      <c r="F266" s="150">
        <v>3</v>
      </c>
      <c r="G266" s="150">
        <v>2</v>
      </c>
      <c r="H266" s="150">
        <v>1</v>
      </c>
      <c r="I266" s="85"/>
    </row>
    <row r="267" spans="1:10" ht="15.95" customHeight="1" x14ac:dyDescent="0.3">
      <c r="A267" s="131">
        <f t="shared" si="13"/>
        <v>10830</v>
      </c>
      <c r="B267" s="149" t="s">
        <v>997</v>
      </c>
      <c r="C267" s="149"/>
      <c r="D267" s="150"/>
      <c r="E267" s="150" t="s">
        <v>436</v>
      </c>
      <c r="F267" s="150">
        <v>3</v>
      </c>
      <c r="G267" s="150">
        <v>2</v>
      </c>
      <c r="H267" s="150">
        <v>1</v>
      </c>
      <c r="I267" s="85"/>
    </row>
    <row r="268" spans="1:10" ht="15.95" customHeight="1" x14ac:dyDescent="0.3">
      <c r="A268" s="131">
        <f t="shared" si="13"/>
        <v>10832</v>
      </c>
      <c r="B268" s="149" t="s">
        <v>998</v>
      </c>
      <c r="C268" s="149"/>
      <c r="D268" s="150"/>
      <c r="E268" s="150" t="s">
        <v>436</v>
      </c>
      <c r="F268" s="150">
        <v>3</v>
      </c>
      <c r="G268" s="150">
        <v>2</v>
      </c>
      <c r="H268" s="150">
        <v>1</v>
      </c>
      <c r="I268" s="85"/>
    </row>
    <row r="269" spans="1:10" ht="15.95" customHeight="1" x14ac:dyDescent="0.3">
      <c r="A269" s="131">
        <f t="shared" si="13"/>
        <v>10834</v>
      </c>
      <c r="B269" s="138"/>
      <c r="C269" s="138"/>
      <c r="D269" s="131"/>
      <c r="E269" s="15" t="s">
        <v>436</v>
      </c>
      <c r="F269" s="15">
        <v>3</v>
      </c>
      <c r="G269" s="15">
        <v>2</v>
      </c>
      <c r="H269" s="131">
        <v>23</v>
      </c>
      <c r="I269" s="85"/>
    </row>
    <row r="270" spans="1:10" ht="15.95" customHeight="1" x14ac:dyDescent="0.3">
      <c r="A270" s="162" t="s">
        <v>685</v>
      </c>
      <c r="B270" s="162"/>
      <c r="C270" s="162"/>
      <c r="D270" s="162"/>
      <c r="E270" s="162"/>
      <c r="F270" s="162"/>
      <c r="G270" s="162"/>
      <c r="H270" s="162"/>
      <c r="I270" s="88"/>
    </row>
    <row r="271" spans="1:10" ht="15.95" customHeight="1" x14ac:dyDescent="0.3">
      <c r="A271" s="131">
        <f>A269+(G269*H269)</f>
        <v>10880</v>
      </c>
      <c r="B271" s="138" t="s">
        <v>746</v>
      </c>
      <c r="C271" s="138"/>
      <c r="D271" s="131"/>
      <c r="E271" s="15" t="s">
        <v>91</v>
      </c>
      <c r="F271" s="15">
        <v>3</v>
      </c>
      <c r="G271" s="15">
        <f>IF(OR(D271="U16", D271="S16"),1,IF(D271="TS",6,2))</f>
        <v>2</v>
      </c>
      <c r="H271" s="131">
        <v>1</v>
      </c>
      <c r="I271" s="85"/>
    </row>
    <row r="272" spans="1:10" ht="15.95" customHeight="1" x14ac:dyDescent="0.3">
      <c r="A272" s="131">
        <f t="shared" ref="A272:A289" si="14">A271+(G271*H271)</f>
        <v>10882</v>
      </c>
      <c r="B272" s="138" t="s">
        <v>747</v>
      </c>
      <c r="C272" s="138"/>
      <c r="D272" s="131"/>
      <c r="E272" s="15" t="s">
        <v>91</v>
      </c>
      <c r="F272" s="15">
        <v>3</v>
      </c>
      <c r="G272" s="15">
        <f>IF(OR(D272="U16", D272="S16"),1,IF(D272="TS",6,2))</f>
        <v>2</v>
      </c>
      <c r="H272" s="131">
        <v>1</v>
      </c>
      <c r="I272" s="85"/>
    </row>
    <row r="273" spans="1:10" ht="405" x14ac:dyDescent="0.3">
      <c r="A273" s="131">
        <f t="shared" si="14"/>
        <v>10884</v>
      </c>
      <c r="B273" s="138" t="s">
        <v>748</v>
      </c>
      <c r="C273" s="138" t="s">
        <v>1089</v>
      </c>
      <c r="D273" s="33"/>
      <c r="E273" s="15" t="s">
        <v>145</v>
      </c>
      <c r="F273" s="15">
        <v>3</v>
      </c>
      <c r="G273" s="15">
        <f>IF(OR(D273="U16", D273="S16"),1,IF(D273="TS",6,2))</f>
        <v>2</v>
      </c>
      <c r="H273" s="131">
        <v>1</v>
      </c>
      <c r="I273" s="85"/>
    </row>
    <row r="274" spans="1:10" ht="15.95" customHeight="1" x14ac:dyDescent="0.3">
      <c r="A274" s="131">
        <f t="shared" si="14"/>
        <v>10886</v>
      </c>
      <c r="B274" s="138" t="s">
        <v>749</v>
      </c>
      <c r="C274" s="138">
        <v>0</v>
      </c>
      <c r="D274" s="131"/>
      <c r="E274" s="15" t="s">
        <v>123</v>
      </c>
      <c r="F274" s="15">
        <v>3</v>
      </c>
      <c r="G274" s="15">
        <v>1</v>
      </c>
      <c r="H274" s="131">
        <v>1</v>
      </c>
      <c r="I274" s="85"/>
      <c r="J274" s="139" t="s">
        <v>125</v>
      </c>
    </row>
    <row r="275" spans="1:10" ht="15.95" customHeight="1" x14ac:dyDescent="0.3">
      <c r="A275" s="131">
        <f t="shared" si="14"/>
        <v>10887</v>
      </c>
      <c r="B275" s="138" t="s">
        <v>750</v>
      </c>
      <c r="C275" s="138">
        <v>1</v>
      </c>
      <c r="D275" s="131"/>
      <c r="E275" s="15" t="s">
        <v>123</v>
      </c>
      <c r="F275" s="15">
        <v>3</v>
      </c>
      <c r="G275" s="15">
        <v>1</v>
      </c>
      <c r="H275" s="131">
        <v>1</v>
      </c>
      <c r="I275" s="85"/>
      <c r="J275" s="139" t="s">
        <v>126</v>
      </c>
    </row>
    <row r="276" spans="1:10" ht="15.95" customHeight="1" x14ac:dyDescent="0.3">
      <c r="A276" s="131">
        <f t="shared" si="14"/>
        <v>10888</v>
      </c>
      <c r="B276" s="138" t="s">
        <v>751</v>
      </c>
      <c r="C276" s="173">
        <v>2</v>
      </c>
      <c r="D276" s="131"/>
      <c r="E276" s="15" t="s">
        <v>123</v>
      </c>
      <c r="F276" s="15">
        <v>3</v>
      </c>
      <c r="G276" s="15">
        <v>1</v>
      </c>
      <c r="H276" s="131">
        <v>1</v>
      </c>
      <c r="I276" s="85"/>
    </row>
    <row r="277" spans="1:10" ht="15.95" customHeight="1" x14ac:dyDescent="0.3">
      <c r="A277" s="131">
        <f t="shared" si="14"/>
        <v>10889</v>
      </c>
      <c r="B277" s="138" t="s">
        <v>752</v>
      </c>
      <c r="C277" s="173"/>
      <c r="D277" s="131"/>
      <c r="E277" s="15" t="s">
        <v>123</v>
      </c>
      <c r="F277" s="15">
        <v>3</v>
      </c>
      <c r="G277" s="15">
        <v>1</v>
      </c>
      <c r="H277" s="131">
        <v>1</v>
      </c>
      <c r="I277" s="85"/>
    </row>
    <row r="278" spans="1:10" ht="15.95" customHeight="1" x14ac:dyDescent="0.3">
      <c r="A278" s="131">
        <f t="shared" si="14"/>
        <v>10890</v>
      </c>
      <c r="B278" s="138" t="s">
        <v>753</v>
      </c>
      <c r="C278" s="173"/>
      <c r="D278" s="131"/>
      <c r="E278" s="15" t="s">
        <v>123</v>
      </c>
      <c r="F278" s="15">
        <v>3</v>
      </c>
      <c r="G278" s="15">
        <v>1</v>
      </c>
      <c r="H278" s="131">
        <v>1</v>
      </c>
      <c r="I278" s="85"/>
      <c r="J278" s="139" t="s">
        <v>125</v>
      </c>
    </row>
    <row r="279" spans="1:10" ht="15.95" customHeight="1" x14ac:dyDescent="0.3">
      <c r="A279" s="131">
        <f t="shared" si="14"/>
        <v>10891</v>
      </c>
      <c r="B279" s="138" t="s">
        <v>754</v>
      </c>
      <c r="C279" s="173">
        <v>3</v>
      </c>
      <c r="D279" s="131"/>
      <c r="E279" s="15" t="s">
        <v>123</v>
      </c>
      <c r="F279" s="15">
        <v>3</v>
      </c>
      <c r="G279" s="15">
        <v>1</v>
      </c>
      <c r="H279" s="131">
        <v>1</v>
      </c>
      <c r="I279" s="85"/>
    </row>
    <row r="280" spans="1:10" ht="15.95" customHeight="1" x14ac:dyDescent="0.3">
      <c r="A280" s="131">
        <f t="shared" si="14"/>
        <v>10892</v>
      </c>
      <c r="B280" s="138" t="s">
        <v>755</v>
      </c>
      <c r="C280" s="173"/>
      <c r="D280" s="131"/>
      <c r="E280" s="15" t="s">
        <v>123</v>
      </c>
      <c r="F280" s="15">
        <v>3</v>
      </c>
      <c r="G280" s="15">
        <v>1</v>
      </c>
      <c r="H280" s="131">
        <v>1</v>
      </c>
      <c r="I280" s="85"/>
    </row>
    <row r="281" spans="1:10" ht="15.95" customHeight="1" x14ac:dyDescent="0.3">
      <c r="A281" s="131">
        <f t="shared" si="14"/>
        <v>10893</v>
      </c>
      <c r="B281" s="138" t="s">
        <v>756</v>
      </c>
      <c r="C281" s="173"/>
      <c r="D281" s="131"/>
      <c r="E281" s="15" t="s">
        <v>123</v>
      </c>
      <c r="F281" s="15">
        <v>3</v>
      </c>
      <c r="G281" s="15">
        <v>1</v>
      </c>
      <c r="H281" s="131">
        <v>1</v>
      </c>
      <c r="I281" s="85"/>
      <c r="J281" s="139" t="s">
        <v>126</v>
      </c>
    </row>
    <row r="282" spans="1:10" ht="15.95" customHeight="1" x14ac:dyDescent="0.3">
      <c r="A282" s="131">
        <f t="shared" si="14"/>
        <v>10894</v>
      </c>
      <c r="B282" s="138" t="s">
        <v>757</v>
      </c>
      <c r="C282" s="138">
        <v>4</v>
      </c>
      <c r="D282" s="131"/>
      <c r="E282" s="15" t="s">
        <v>123</v>
      </c>
      <c r="F282" s="15">
        <v>3</v>
      </c>
      <c r="G282" s="15">
        <v>1</v>
      </c>
      <c r="H282" s="131">
        <v>1</v>
      </c>
      <c r="I282" s="85"/>
    </row>
    <row r="283" spans="1:10" ht="15.95" customHeight="1" x14ac:dyDescent="0.3">
      <c r="A283" s="15">
        <f t="shared" si="14"/>
        <v>10895</v>
      </c>
      <c r="B283" s="138" t="s">
        <v>758</v>
      </c>
      <c r="C283" s="173">
        <v>5</v>
      </c>
      <c r="D283" s="131"/>
      <c r="E283" s="15" t="s">
        <v>123</v>
      </c>
      <c r="F283" s="15">
        <v>3</v>
      </c>
      <c r="G283" s="15">
        <v>1</v>
      </c>
      <c r="H283" s="131">
        <v>1</v>
      </c>
      <c r="I283" s="85"/>
    </row>
    <row r="284" spans="1:10" ht="15.95" customHeight="1" x14ac:dyDescent="0.3">
      <c r="A284" s="15">
        <f t="shared" si="14"/>
        <v>10896</v>
      </c>
      <c r="B284" s="138" t="s">
        <v>759</v>
      </c>
      <c r="C284" s="173"/>
      <c r="D284" s="131"/>
      <c r="E284" s="15" t="s">
        <v>123</v>
      </c>
      <c r="F284" s="15">
        <v>3</v>
      </c>
      <c r="G284" s="15">
        <v>1</v>
      </c>
      <c r="H284" s="131">
        <v>1</v>
      </c>
      <c r="I284" s="85"/>
      <c r="J284" s="139" t="s">
        <v>126</v>
      </c>
    </row>
    <row r="285" spans="1:10" ht="15.95" customHeight="1" x14ac:dyDescent="0.3">
      <c r="A285" s="15">
        <f t="shared" si="14"/>
        <v>10897</v>
      </c>
      <c r="B285" s="138" t="s">
        <v>760</v>
      </c>
      <c r="C285" s="173"/>
      <c r="D285" s="131"/>
      <c r="E285" s="15" t="s">
        <v>123</v>
      </c>
      <c r="F285" s="15">
        <v>3</v>
      </c>
      <c r="G285" s="15">
        <v>1</v>
      </c>
      <c r="H285" s="131">
        <v>1</v>
      </c>
      <c r="I285" s="85"/>
    </row>
    <row r="286" spans="1:10" ht="15.95" customHeight="1" x14ac:dyDescent="0.3">
      <c r="A286" s="15">
        <f t="shared" si="14"/>
        <v>10898</v>
      </c>
      <c r="B286" s="138" t="s">
        <v>761</v>
      </c>
      <c r="C286" s="173">
        <v>6</v>
      </c>
      <c r="D286" s="131"/>
      <c r="E286" s="15" t="s">
        <v>123</v>
      </c>
      <c r="F286" s="15">
        <v>3</v>
      </c>
      <c r="G286" s="15">
        <v>1</v>
      </c>
      <c r="H286" s="131">
        <v>1</v>
      </c>
      <c r="I286" s="85"/>
    </row>
    <row r="287" spans="1:10" ht="15.95" customHeight="1" x14ac:dyDescent="0.3">
      <c r="A287" s="15">
        <f t="shared" si="14"/>
        <v>10899</v>
      </c>
      <c r="B287" s="138" t="s">
        <v>762</v>
      </c>
      <c r="C287" s="173"/>
      <c r="D287" s="131"/>
      <c r="E287" s="15" t="s">
        <v>123</v>
      </c>
      <c r="F287" s="15">
        <v>3</v>
      </c>
      <c r="G287" s="15">
        <v>1</v>
      </c>
      <c r="H287" s="131">
        <v>1</v>
      </c>
      <c r="I287" s="85"/>
      <c r="J287" s="139" t="s">
        <v>126</v>
      </c>
    </row>
    <row r="288" spans="1:10" ht="15.95" customHeight="1" x14ac:dyDescent="0.3">
      <c r="A288" s="15">
        <f t="shared" si="14"/>
        <v>10900</v>
      </c>
      <c r="B288" s="138" t="s">
        <v>763</v>
      </c>
      <c r="C288" s="173"/>
      <c r="D288" s="131"/>
      <c r="E288" s="15" t="s">
        <v>123</v>
      </c>
      <c r="F288" s="15">
        <v>3</v>
      </c>
      <c r="G288" s="15">
        <v>1</v>
      </c>
      <c r="H288" s="131">
        <v>1</v>
      </c>
      <c r="I288" s="85"/>
    </row>
    <row r="289" spans="1:10" ht="15.95" customHeight="1" x14ac:dyDescent="0.3">
      <c r="A289" s="131">
        <f t="shared" si="14"/>
        <v>10901</v>
      </c>
      <c r="B289" s="149" t="s">
        <v>764</v>
      </c>
      <c r="C289" s="184">
        <v>7</v>
      </c>
      <c r="D289" s="150"/>
      <c r="E289" s="150" t="s">
        <v>123</v>
      </c>
      <c r="F289" s="150">
        <v>3</v>
      </c>
      <c r="G289" s="150">
        <v>1</v>
      </c>
      <c r="H289" s="150">
        <v>1</v>
      </c>
      <c r="I289" s="91"/>
    </row>
    <row r="290" spans="1:10" ht="15.95" customHeight="1" x14ac:dyDescent="0.3">
      <c r="A290" s="131">
        <f>A289+(G289*H289)</f>
        <v>10902</v>
      </c>
      <c r="B290" s="149" t="s">
        <v>765</v>
      </c>
      <c r="C290" s="184"/>
      <c r="D290" s="150"/>
      <c r="E290" s="150" t="s">
        <v>123</v>
      </c>
      <c r="F290" s="150">
        <v>3</v>
      </c>
      <c r="G290" s="150">
        <v>1</v>
      </c>
      <c r="H290" s="150">
        <v>1</v>
      </c>
      <c r="I290" s="91"/>
      <c r="J290" s="139" t="s">
        <v>126</v>
      </c>
    </row>
    <row r="291" spans="1:10" ht="15.95" customHeight="1" x14ac:dyDescent="0.3">
      <c r="A291" s="131">
        <f>A290+(G290*H290)</f>
        <v>10903</v>
      </c>
      <c r="B291" s="149" t="s">
        <v>766</v>
      </c>
      <c r="C291" s="184"/>
      <c r="D291" s="150"/>
      <c r="E291" s="150" t="s">
        <v>123</v>
      </c>
      <c r="F291" s="150">
        <v>3</v>
      </c>
      <c r="G291" s="150">
        <v>1</v>
      </c>
      <c r="H291" s="150">
        <v>1</v>
      </c>
      <c r="I291" s="91"/>
    </row>
    <row r="292" spans="1:10" ht="15.95" customHeight="1" x14ac:dyDescent="0.3">
      <c r="A292" s="131">
        <f>A291+(G291*H291)</f>
        <v>10904</v>
      </c>
      <c r="B292" s="149" t="s">
        <v>767</v>
      </c>
      <c r="C292" s="184">
        <v>8</v>
      </c>
      <c r="D292" s="150"/>
      <c r="E292" s="150" t="s">
        <v>123</v>
      </c>
      <c r="F292" s="150">
        <v>3</v>
      </c>
      <c r="G292" s="150">
        <v>1</v>
      </c>
      <c r="H292" s="150">
        <v>1</v>
      </c>
      <c r="I292" s="91"/>
    </row>
    <row r="293" spans="1:10" ht="15.95" customHeight="1" x14ac:dyDescent="0.3">
      <c r="A293" s="131">
        <f>A292+(G292*H292)</f>
        <v>10905</v>
      </c>
      <c r="B293" s="149" t="s">
        <v>768</v>
      </c>
      <c r="C293" s="184"/>
      <c r="D293" s="150"/>
      <c r="E293" s="150" t="s">
        <v>123</v>
      </c>
      <c r="F293" s="150">
        <v>3</v>
      </c>
      <c r="G293" s="150">
        <v>1</v>
      </c>
      <c r="H293" s="150">
        <v>1</v>
      </c>
      <c r="I293" s="91"/>
      <c r="J293" s="139" t="s">
        <v>125</v>
      </c>
    </row>
    <row r="294" spans="1:10" ht="15.95" customHeight="1" x14ac:dyDescent="0.3">
      <c r="A294" s="131">
        <f>A293+(G293*H293)</f>
        <v>10906</v>
      </c>
      <c r="B294" s="149" t="s">
        <v>769</v>
      </c>
      <c r="C294" s="184"/>
      <c r="D294" s="150"/>
      <c r="E294" s="150" t="s">
        <v>123</v>
      </c>
      <c r="F294" s="150">
        <v>3</v>
      </c>
      <c r="G294" s="150">
        <v>1</v>
      </c>
      <c r="H294" s="150">
        <v>1</v>
      </c>
      <c r="I294" s="91"/>
    </row>
    <row r="295" spans="1:10" ht="15.95" customHeight="1" x14ac:dyDescent="0.3">
      <c r="A295" s="131">
        <f t="shared" ref="A295:A317" si="15">A294+(G294*H294)</f>
        <v>10907</v>
      </c>
      <c r="B295" s="149" t="s">
        <v>770</v>
      </c>
      <c r="C295" s="184">
        <v>9</v>
      </c>
      <c r="D295" s="150"/>
      <c r="E295" s="150" t="s">
        <v>123</v>
      </c>
      <c r="F295" s="150">
        <v>3</v>
      </c>
      <c r="G295" s="150">
        <v>1</v>
      </c>
      <c r="H295" s="150">
        <v>1</v>
      </c>
      <c r="I295" s="91"/>
    </row>
    <row r="296" spans="1:10" ht="15.95" customHeight="1" x14ac:dyDescent="0.3">
      <c r="A296" s="131">
        <f t="shared" si="15"/>
        <v>10908</v>
      </c>
      <c r="B296" s="149" t="s">
        <v>771</v>
      </c>
      <c r="C296" s="184"/>
      <c r="D296" s="150"/>
      <c r="E296" s="150" t="s">
        <v>123</v>
      </c>
      <c r="F296" s="150">
        <v>3</v>
      </c>
      <c r="G296" s="150">
        <v>1</v>
      </c>
      <c r="H296" s="150">
        <v>1</v>
      </c>
      <c r="I296" s="91"/>
      <c r="J296" s="139" t="s">
        <v>125</v>
      </c>
    </row>
    <row r="297" spans="1:10" ht="15.95" customHeight="1" x14ac:dyDescent="0.3">
      <c r="A297" s="131">
        <f t="shared" si="15"/>
        <v>10909</v>
      </c>
      <c r="B297" s="149" t="s">
        <v>772</v>
      </c>
      <c r="C297" s="184"/>
      <c r="D297" s="150"/>
      <c r="E297" s="150" t="s">
        <v>123</v>
      </c>
      <c r="F297" s="150">
        <v>3</v>
      </c>
      <c r="G297" s="150">
        <v>1</v>
      </c>
      <c r="H297" s="150">
        <v>1</v>
      </c>
      <c r="I297" s="91"/>
    </row>
    <row r="298" spans="1:10" ht="15.95" customHeight="1" x14ac:dyDescent="0.3">
      <c r="A298" s="131">
        <f t="shared" si="15"/>
        <v>10910</v>
      </c>
      <c r="B298" s="138" t="s">
        <v>773</v>
      </c>
      <c r="C298" s="173"/>
      <c r="D298" s="131"/>
      <c r="E298" s="15" t="s">
        <v>123</v>
      </c>
      <c r="F298" s="15">
        <v>3</v>
      </c>
      <c r="G298" s="15">
        <v>1</v>
      </c>
      <c r="H298" s="131">
        <v>1</v>
      </c>
      <c r="I298" s="85"/>
    </row>
    <row r="299" spans="1:10" ht="15.95" customHeight="1" x14ac:dyDescent="0.3">
      <c r="A299" s="131">
        <f t="shared" si="15"/>
        <v>10911</v>
      </c>
      <c r="B299" s="138" t="s">
        <v>774</v>
      </c>
      <c r="C299" s="173"/>
      <c r="D299" s="131"/>
      <c r="E299" s="15" t="s">
        <v>123</v>
      </c>
      <c r="F299" s="15">
        <v>3</v>
      </c>
      <c r="G299" s="15">
        <v>1</v>
      </c>
      <c r="H299" s="131">
        <v>1</v>
      </c>
      <c r="I299" s="85"/>
      <c r="J299" s="139" t="s">
        <v>127</v>
      </c>
    </row>
    <row r="300" spans="1:10" ht="15.95" customHeight="1" x14ac:dyDescent="0.3">
      <c r="A300" s="131">
        <f t="shared" si="15"/>
        <v>10912</v>
      </c>
      <c r="B300" s="138" t="s">
        <v>775</v>
      </c>
      <c r="C300" s="173"/>
      <c r="D300" s="131"/>
      <c r="E300" s="15" t="s">
        <v>123</v>
      </c>
      <c r="F300" s="15">
        <v>3</v>
      </c>
      <c r="G300" s="15">
        <v>1</v>
      </c>
      <c r="H300" s="131">
        <v>1</v>
      </c>
      <c r="I300" s="85"/>
    </row>
    <row r="301" spans="1:10" ht="15.95" customHeight="1" x14ac:dyDescent="0.3">
      <c r="A301" s="131">
        <f t="shared" si="15"/>
        <v>10913</v>
      </c>
      <c r="B301" s="138" t="s">
        <v>776</v>
      </c>
      <c r="C301" s="173"/>
      <c r="D301" s="131"/>
      <c r="E301" s="15" t="s">
        <v>123</v>
      </c>
      <c r="F301" s="15">
        <v>3</v>
      </c>
      <c r="G301" s="15">
        <v>1</v>
      </c>
      <c r="H301" s="131">
        <v>1</v>
      </c>
      <c r="I301" s="85"/>
    </row>
    <row r="302" spans="1:10" ht="15.95" customHeight="1" x14ac:dyDescent="0.3">
      <c r="A302" s="131">
        <f t="shared" si="15"/>
        <v>10914</v>
      </c>
      <c r="B302" s="138" t="s">
        <v>777</v>
      </c>
      <c r="C302" s="173"/>
      <c r="D302" s="131"/>
      <c r="E302" s="15" t="s">
        <v>123</v>
      </c>
      <c r="F302" s="15">
        <v>3</v>
      </c>
      <c r="G302" s="15">
        <v>1</v>
      </c>
      <c r="H302" s="131">
        <v>1</v>
      </c>
      <c r="I302" s="85"/>
    </row>
    <row r="303" spans="1:10" ht="15.95" customHeight="1" x14ac:dyDescent="0.3">
      <c r="A303" s="131">
        <f t="shared" si="15"/>
        <v>10915</v>
      </c>
      <c r="B303" s="138" t="s">
        <v>778</v>
      </c>
      <c r="C303" s="173"/>
      <c r="D303" s="131"/>
      <c r="E303" s="15" t="s">
        <v>123</v>
      </c>
      <c r="F303" s="15">
        <v>3</v>
      </c>
      <c r="G303" s="15">
        <v>1</v>
      </c>
      <c r="H303" s="131">
        <v>1</v>
      </c>
      <c r="I303" s="85"/>
    </row>
    <row r="304" spans="1:10" ht="15.95" customHeight="1" x14ac:dyDescent="0.3">
      <c r="A304" s="131">
        <f t="shared" si="15"/>
        <v>10916</v>
      </c>
      <c r="B304" s="138" t="s">
        <v>779</v>
      </c>
      <c r="C304" s="173"/>
      <c r="D304" s="131"/>
      <c r="E304" s="15" t="s">
        <v>123</v>
      </c>
      <c r="F304" s="15">
        <v>3</v>
      </c>
      <c r="G304" s="15">
        <v>1</v>
      </c>
      <c r="H304" s="131">
        <v>1</v>
      </c>
      <c r="I304" s="85"/>
    </row>
    <row r="305" spans="1:9" ht="15.95" customHeight="1" x14ac:dyDescent="0.3">
      <c r="A305" s="131">
        <f t="shared" si="15"/>
        <v>10917</v>
      </c>
      <c r="B305" s="138" t="s">
        <v>780</v>
      </c>
      <c r="C305" s="173"/>
      <c r="D305" s="131"/>
      <c r="E305" s="15" t="s">
        <v>123</v>
      </c>
      <c r="F305" s="15">
        <v>3</v>
      </c>
      <c r="G305" s="15">
        <v>1</v>
      </c>
      <c r="H305" s="131">
        <v>1</v>
      </c>
      <c r="I305" s="85"/>
    </row>
    <row r="306" spans="1:9" ht="15.95" customHeight="1" x14ac:dyDescent="0.3">
      <c r="A306" s="131">
        <f t="shared" si="15"/>
        <v>10918</v>
      </c>
      <c r="B306" s="138" t="s">
        <v>781</v>
      </c>
      <c r="C306" s="173"/>
      <c r="D306" s="131"/>
      <c r="E306" s="15" t="s">
        <v>123</v>
      </c>
      <c r="F306" s="15">
        <v>3</v>
      </c>
      <c r="G306" s="15">
        <v>1</v>
      </c>
      <c r="H306" s="131">
        <v>1</v>
      </c>
      <c r="I306" s="85"/>
    </row>
    <row r="307" spans="1:9" ht="15.95" customHeight="1" x14ac:dyDescent="0.3">
      <c r="A307" s="131">
        <f t="shared" si="15"/>
        <v>10919</v>
      </c>
      <c r="B307" s="138" t="s">
        <v>782</v>
      </c>
      <c r="C307" s="173"/>
      <c r="D307" s="131"/>
      <c r="E307" s="15" t="s">
        <v>123</v>
      </c>
      <c r="F307" s="15">
        <v>3</v>
      </c>
      <c r="G307" s="15">
        <v>1</v>
      </c>
      <c r="H307" s="131">
        <v>1</v>
      </c>
      <c r="I307" s="85"/>
    </row>
    <row r="308" spans="1:9" ht="15.95" customHeight="1" x14ac:dyDescent="0.3">
      <c r="A308" s="131">
        <f t="shared" si="15"/>
        <v>10920</v>
      </c>
      <c r="B308" s="138" t="s">
        <v>783</v>
      </c>
      <c r="C308" s="173"/>
      <c r="D308" s="131"/>
      <c r="E308" s="15" t="s">
        <v>123</v>
      </c>
      <c r="F308" s="15">
        <v>3</v>
      </c>
      <c r="G308" s="15">
        <v>1</v>
      </c>
      <c r="H308" s="131">
        <v>1</v>
      </c>
      <c r="I308" s="85"/>
    </row>
    <row r="309" spans="1:9" ht="15.95" customHeight="1" x14ac:dyDescent="0.3">
      <c r="A309" s="131">
        <f t="shared" si="15"/>
        <v>10921</v>
      </c>
      <c r="B309" s="138" t="s">
        <v>784</v>
      </c>
      <c r="C309" s="173"/>
      <c r="D309" s="131"/>
      <c r="E309" s="15" t="s">
        <v>123</v>
      </c>
      <c r="F309" s="15">
        <v>3</v>
      </c>
      <c r="G309" s="15">
        <v>1</v>
      </c>
      <c r="H309" s="131">
        <v>1</v>
      </c>
      <c r="I309" s="85"/>
    </row>
    <row r="310" spans="1:9" ht="15.95" customHeight="1" x14ac:dyDescent="0.3">
      <c r="A310" s="131">
        <f t="shared" si="15"/>
        <v>10922</v>
      </c>
      <c r="B310" s="138" t="s">
        <v>785</v>
      </c>
      <c r="C310" s="173"/>
      <c r="D310" s="131"/>
      <c r="E310" s="15" t="s">
        <v>123</v>
      </c>
      <c r="F310" s="15">
        <v>3</v>
      </c>
      <c r="G310" s="15">
        <v>1</v>
      </c>
      <c r="H310" s="131">
        <v>1</v>
      </c>
      <c r="I310" s="85"/>
    </row>
    <row r="311" spans="1:9" ht="15.95" customHeight="1" x14ac:dyDescent="0.3">
      <c r="A311" s="131">
        <f t="shared" si="15"/>
        <v>10923</v>
      </c>
      <c r="B311" s="138" t="s">
        <v>786</v>
      </c>
      <c r="C311" s="173"/>
      <c r="D311" s="131"/>
      <c r="E311" s="15" t="s">
        <v>123</v>
      </c>
      <c r="F311" s="15">
        <v>3</v>
      </c>
      <c r="G311" s="15">
        <v>1</v>
      </c>
      <c r="H311" s="131">
        <v>1</v>
      </c>
      <c r="I311" s="85"/>
    </row>
    <row r="312" spans="1:9" ht="15.95" customHeight="1" x14ac:dyDescent="0.3">
      <c r="A312" s="131">
        <f t="shared" si="15"/>
        <v>10924</v>
      </c>
      <c r="B312" s="138" t="s">
        <v>787</v>
      </c>
      <c r="C312" s="173"/>
      <c r="D312" s="131"/>
      <c r="E312" s="15" t="s">
        <v>123</v>
      </c>
      <c r="F312" s="15">
        <v>3</v>
      </c>
      <c r="G312" s="15">
        <v>1</v>
      </c>
      <c r="H312" s="131">
        <v>1</v>
      </c>
      <c r="I312" s="85"/>
    </row>
    <row r="313" spans="1:9" ht="15.95" customHeight="1" x14ac:dyDescent="0.3">
      <c r="A313" s="131">
        <f t="shared" si="15"/>
        <v>10925</v>
      </c>
      <c r="B313" s="138" t="s">
        <v>788</v>
      </c>
      <c r="C313" s="173"/>
      <c r="D313" s="131"/>
      <c r="E313" s="15" t="s">
        <v>123</v>
      </c>
      <c r="F313" s="15">
        <v>3</v>
      </c>
      <c r="G313" s="15">
        <v>1</v>
      </c>
      <c r="H313" s="131">
        <v>1</v>
      </c>
      <c r="I313" s="85"/>
    </row>
    <row r="314" spans="1:9" ht="15.95" customHeight="1" x14ac:dyDescent="0.3">
      <c r="A314" s="131">
        <f t="shared" si="15"/>
        <v>10926</v>
      </c>
      <c r="B314" s="149" t="s">
        <v>789</v>
      </c>
      <c r="C314" s="184"/>
      <c r="D314" s="150"/>
      <c r="E314" s="150" t="s">
        <v>123</v>
      </c>
      <c r="F314" s="150">
        <v>3</v>
      </c>
      <c r="G314" s="150">
        <v>1</v>
      </c>
      <c r="H314" s="150">
        <v>1</v>
      </c>
      <c r="I314" s="91"/>
    </row>
    <row r="315" spans="1:9" ht="15.95" customHeight="1" x14ac:dyDescent="0.3">
      <c r="A315" s="131">
        <f t="shared" si="15"/>
        <v>10927</v>
      </c>
      <c r="B315" s="149" t="s">
        <v>790</v>
      </c>
      <c r="C315" s="184"/>
      <c r="D315" s="150"/>
      <c r="E315" s="150" t="s">
        <v>123</v>
      </c>
      <c r="F315" s="150">
        <v>3</v>
      </c>
      <c r="G315" s="150">
        <v>1</v>
      </c>
      <c r="H315" s="150">
        <v>1</v>
      </c>
      <c r="I315" s="91"/>
    </row>
    <row r="316" spans="1:9" ht="15.95" customHeight="1" x14ac:dyDescent="0.3">
      <c r="A316" s="131">
        <f t="shared" si="15"/>
        <v>10928</v>
      </c>
      <c r="B316" s="149" t="s">
        <v>791</v>
      </c>
      <c r="C316" s="184"/>
      <c r="D316" s="150"/>
      <c r="E316" s="150" t="s">
        <v>123</v>
      </c>
      <c r="F316" s="150">
        <v>3</v>
      </c>
      <c r="G316" s="150">
        <v>1</v>
      </c>
      <c r="H316" s="150">
        <v>1</v>
      </c>
      <c r="I316" s="91"/>
    </row>
    <row r="317" spans="1:9" ht="15.95" customHeight="1" x14ac:dyDescent="0.3">
      <c r="A317" s="131">
        <f t="shared" si="15"/>
        <v>10929</v>
      </c>
      <c r="B317" s="149" t="s">
        <v>792</v>
      </c>
      <c r="C317" s="184"/>
      <c r="D317" s="150"/>
      <c r="E317" s="150" t="s">
        <v>123</v>
      </c>
      <c r="F317" s="150">
        <v>3</v>
      </c>
      <c r="G317" s="150">
        <v>1</v>
      </c>
      <c r="H317" s="150">
        <v>1</v>
      </c>
      <c r="I317" s="91"/>
    </row>
    <row r="318" spans="1:9" ht="15.95" customHeight="1" x14ac:dyDescent="0.3">
      <c r="A318" s="162" t="s">
        <v>143</v>
      </c>
      <c r="B318" s="162"/>
      <c r="C318" s="162"/>
      <c r="D318" s="162"/>
      <c r="E318" s="162"/>
      <c r="F318" s="162"/>
      <c r="G318" s="162"/>
      <c r="H318" s="162"/>
      <c r="I318" s="88"/>
    </row>
    <row r="319" spans="1:9" ht="15.95" customHeight="1" x14ac:dyDescent="0.3">
      <c r="A319" s="131">
        <f>A317+G317*H317</f>
        <v>10930</v>
      </c>
      <c r="B319" s="138" t="s">
        <v>746</v>
      </c>
      <c r="C319" s="138"/>
      <c r="D319" s="131"/>
      <c r="E319" s="15" t="s">
        <v>91</v>
      </c>
      <c r="F319" s="15">
        <v>3</v>
      </c>
      <c r="G319" s="15">
        <f t="shared" ref="G319:G366" si="16">IF(OR(E319="U16", E319="S16"),1,IF(E319="TS",6,2))</f>
        <v>2</v>
      </c>
      <c r="H319" s="131">
        <v>1</v>
      </c>
      <c r="I319" s="85"/>
    </row>
    <row r="320" spans="1:9" ht="15.95" customHeight="1" x14ac:dyDescent="0.3">
      <c r="A320" s="131">
        <f t="shared" ref="A320:A366" si="17">A319+(G319*H319)</f>
        <v>10932</v>
      </c>
      <c r="B320" s="138" t="s">
        <v>747</v>
      </c>
      <c r="C320" s="138"/>
      <c r="D320" s="131"/>
      <c r="E320" s="15" t="s">
        <v>91</v>
      </c>
      <c r="F320" s="15">
        <v>3</v>
      </c>
      <c r="G320" s="15">
        <f t="shared" si="16"/>
        <v>2</v>
      </c>
      <c r="H320" s="131">
        <v>1</v>
      </c>
      <c r="I320" s="85"/>
    </row>
    <row r="321" spans="1:9" ht="15.95" customHeight="1" x14ac:dyDescent="0.3">
      <c r="A321" s="131">
        <f t="shared" si="17"/>
        <v>10934</v>
      </c>
      <c r="B321" s="138" t="s">
        <v>793</v>
      </c>
      <c r="C321" s="138"/>
      <c r="D321" s="131"/>
      <c r="E321" s="15" t="s">
        <v>123</v>
      </c>
      <c r="F321" s="15">
        <v>3</v>
      </c>
      <c r="G321" s="15">
        <f t="shared" si="16"/>
        <v>1</v>
      </c>
      <c r="H321" s="131">
        <v>1</v>
      </c>
      <c r="I321" s="85"/>
    </row>
    <row r="322" spans="1:9" ht="15.95" customHeight="1" x14ac:dyDescent="0.3">
      <c r="A322" s="131">
        <f t="shared" si="17"/>
        <v>10935</v>
      </c>
      <c r="B322" s="138" t="s">
        <v>794</v>
      </c>
      <c r="C322" s="138"/>
      <c r="D322" s="131"/>
      <c r="E322" s="15" t="s">
        <v>123</v>
      </c>
      <c r="F322" s="15">
        <v>3</v>
      </c>
      <c r="G322" s="15">
        <f t="shared" si="16"/>
        <v>1</v>
      </c>
      <c r="H322" s="131">
        <v>1</v>
      </c>
      <c r="I322" s="85"/>
    </row>
    <row r="323" spans="1:9" ht="15.95" customHeight="1" x14ac:dyDescent="0.3">
      <c r="A323" s="131">
        <f t="shared" si="17"/>
        <v>10936</v>
      </c>
      <c r="B323" s="138" t="s">
        <v>749</v>
      </c>
      <c r="C323" s="138">
        <v>0</v>
      </c>
      <c r="D323" s="131"/>
      <c r="E323" s="15" t="s">
        <v>123</v>
      </c>
      <c r="F323" s="15">
        <v>3</v>
      </c>
      <c r="G323" s="15">
        <f t="shared" si="16"/>
        <v>1</v>
      </c>
      <c r="H323" s="131">
        <v>1</v>
      </c>
      <c r="I323" s="85"/>
    </row>
    <row r="324" spans="1:9" ht="15.95" customHeight="1" x14ac:dyDescent="0.3">
      <c r="A324" s="131">
        <f t="shared" si="17"/>
        <v>10937</v>
      </c>
      <c r="B324" s="138" t="s">
        <v>750</v>
      </c>
      <c r="C324" s="138">
        <v>1</v>
      </c>
      <c r="D324" s="131"/>
      <c r="E324" s="15" t="s">
        <v>123</v>
      </c>
      <c r="F324" s="15">
        <v>3</v>
      </c>
      <c r="G324" s="15">
        <f t="shared" si="16"/>
        <v>1</v>
      </c>
      <c r="H324" s="131">
        <v>1</v>
      </c>
      <c r="I324" s="85"/>
    </row>
    <row r="325" spans="1:9" ht="15.95" customHeight="1" x14ac:dyDescent="0.3">
      <c r="A325" s="131">
        <f t="shared" si="17"/>
        <v>10938</v>
      </c>
      <c r="B325" s="138" t="s">
        <v>751</v>
      </c>
      <c r="C325" s="173">
        <v>2</v>
      </c>
      <c r="D325" s="131"/>
      <c r="E325" s="15" t="s">
        <v>123</v>
      </c>
      <c r="F325" s="15">
        <v>3</v>
      </c>
      <c r="G325" s="15">
        <f t="shared" si="16"/>
        <v>1</v>
      </c>
      <c r="H325" s="131">
        <v>1</v>
      </c>
      <c r="I325" s="85"/>
    </row>
    <row r="326" spans="1:9" ht="15.95" customHeight="1" x14ac:dyDescent="0.3">
      <c r="A326" s="131">
        <f t="shared" si="17"/>
        <v>10939</v>
      </c>
      <c r="B326" s="138" t="s">
        <v>752</v>
      </c>
      <c r="C326" s="173"/>
      <c r="D326" s="131"/>
      <c r="E326" s="15" t="s">
        <v>123</v>
      </c>
      <c r="F326" s="15">
        <v>3</v>
      </c>
      <c r="G326" s="15">
        <f t="shared" si="16"/>
        <v>1</v>
      </c>
      <c r="H326" s="131">
        <v>1</v>
      </c>
      <c r="I326" s="85"/>
    </row>
    <row r="327" spans="1:9" ht="15.95" customHeight="1" x14ac:dyDescent="0.3">
      <c r="A327" s="131">
        <f t="shared" si="17"/>
        <v>10940</v>
      </c>
      <c r="B327" s="138" t="s">
        <v>753</v>
      </c>
      <c r="C327" s="173"/>
      <c r="D327" s="131"/>
      <c r="E327" s="15" t="s">
        <v>123</v>
      </c>
      <c r="F327" s="15">
        <v>3</v>
      </c>
      <c r="G327" s="15">
        <f t="shared" si="16"/>
        <v>1</v>
      </c>
      <c r="H327" s="131">
        <v>1</v>
      </c>
      <c r="I327" s="85"/>
    </row>
    <row r="328" spans="1:9" ht="15.95" customHeight="1" x14ac:dyDescent="0.3">
      <c r="A328" s="131">
        <f t="shared" si="17"/>
        <v>10941</v>
      </c>
      <c r="B328" s="138" t="s">
        <v>754</v>
      </c>
      <c r="C328" s="173">
        <v>3</v>
      </c>
      <c r="D328" s="131"/>
      <c r="E328" s="15" t="s">
        <v>123</v>
      </c>
      <c r="F328" s="15">
        <v>3</v>
      </c>
      <c r="G328" s="15">
        <f t="shared" si="16"/>
        <v>1</v>
      </c>
      <c r="H328" s="131">
        <v>1</v>
      </c>
      <c r="I328" s="85"/>
    </row>
    <row r="329" spans="1:9" ht="15.95" customHeight="1" x14ac:dyDescent="0.3">
      <c r="A329" s="131">
        <f t="shared" si="17"/>
        <v>10942</v>
      </c>
      <c r="B329" s="138" t="s">
        <v>755</v>
      </c>
      <c r="C329" s="173"/>
      <c r="D329" s="131"/>
      <c r="E329" s="15" t="s">
        <v>123</v>
      </c>
      <c r="F329" s="15">
        <v>3</v>
      </c>
      <c r="G329" s="15">
        <f t="shared" si="16"/>
        <v>1</v>
      </c>
      <c r="H329" s="131">
        <v>1</v>
      </c>
      <c r="I329" s="85"/>
    </row>
    <row r="330" spans="1:9" ht="15.95" customHeight="1" x14ac:dyDescent="0.3">
      <c r="A330" s="131">
        <f t="shared" si="17"/>
        <v>10943</v>
      </c>
      <c r="B330" s="138" t="s">
        <v>756</v>
      </c>
      <c r="C330" s="173"/>
      <c r="D330" s="131"/>
      <c r="E330" s="15" t="s">
        <v>123</v>
      </c>
      <c r="F330" s="15">
        <v>3</v>
      </c>
      <c r="G330" s="15">
        <f t="shared" si="16"/>
        <v>1</v>
      </c>
      <c r="H330" s="131">
        <v>1</v>
      </c>
      <c r="I330" s="85"/>
    </row>
    <row r="331" spans="1:9" ht="15.95" customHeight="1" x14ac:dyDescent="0.3">
      <c r="A331" s="131">
        <f t="shared" si="17"/>
        <v>10944</v>
      </c>
      <c r="B331" s="138" t="s">
        <v>757</v>
      </c>
      <c r="C331" s="138">
        <v>4</v>
      </c>
      <c r="D331" s="131"/>
      <c r="E331" s="15" t="s">
        <v>123</v>
      </c>
      <c r="F331" s="15">
        <v>3</v>
      </c>
      <c r="G331" s="15">
        <f t="shared" si="16"/>
        <v>1</v>
      </c>
      <c r="H331" s="131">
        <v>1</v>
      </c>
      <c r="I331" s="85"/>
    </row>
    <row r="332" spans="1:9" ht="15.95" customHeight="1" x14ac:dyDescent="0.3">
      <c r="A332" s="131">
        <f t="shared" si="17"/>
        <v>10945</v>
      </c>
      <c r="B332" s="138" t="s">
        <v>758</v>
      </c>
      <c r="C332" s="173">
        <v>5</v>
      </c>
      <c r="D332" s="131"/>
      <c r="E332" s="15" t="s">
        <v>123</v>
      </c>
      <c r="F332" s="15">
        <v>3</v>
      </c>
      <c r="G332" s="15">
        <f t="shared" si="16"/>
        <v>1</v>
      </c>
      <c r="H332" s="131">
        <v>1</v>
      </c>
      <c r="I332" s="85"/>
    </row>
    <row r="333" spans="1:9" ht="15.95" customHeight="1" x14ac:dyDescent="0.3">
      <c r="A333" s="131">
        <f t="shared" si="17"/>
        <v>10946</v>
      </c>
      <c r="B333" s="138" t="s">
        <v>759</v>
      </c>
      <c r="C333" s="173"/>
      <c r="D333" s="131"/>
      <c r="E333" s="15" t="s">
        <v>123</v>
      </c>
      <c r="F333" s="15">
        <v>3</v>
      </c>
      <c r="G333" s="15">
        <f t="shared" si="16"/>
        <v>1</v>
      </c>
      <c r="H333" s="131">
        <v>1</v>
      </c>
      <c r="I333" s="85"/>
    </row>
    <row r="334" spans="1:9" ht="15.95" customHeight="1" x14ac:dyDescent="0.3">
      <c r="A334" s="131">
        <f t="shared" si="17"/>
        <v>10947</v>
      </c>
      <c r="B334" s="138" t="s">
        <v>760</v>
      </c>
      <c r="C334" s="173"/>
      <c r="D334" s="131"/>
      <c r="E334" s="15" t="s">
        <v>123</v>
      </c>
      <c r="F334" s="15">
        <v>3</v>
      </c>
      <c r="G334" s="15">
        <f t="shared" si="16"/>
        <v>1</v>
      </c>
      <c r="H334" s="131">
        <v>1</v>
      </c>
      <c r="I334" s="85"/>
    </row>
    <row r="335" spans="1:9" ht="15.95" customHeight="1" x14ac:dyDescent="0.3">
      <c r="A335" s="131">
        <f t="shared" si="17"/>
        <v>10948</v>
      </c>
      <c r="B335" s="138" t="s">
        <v>761</v>
      </c>
      <c r="C335" s="173">
        <v>6</v>
      </c>
      <c r="D335" s="131"/>
      <c r="E335" s="15" t="s">
        <v>123</v>
      </c>
      <c r="F335" s="15">
        <v>3</v>
      </c>
      <c r="G335" s="15">
        <f t="shared" si="16"/>
        <v>1</v>
      </c>
      <c r="H335" s="131">
        <v>1</v>
      </c>
      <c r="I335" s="85"/>
    </row>
    <row r="336" spans="1:9" ht="15.95" customHeight="1" x14ac:dyDescent="0.3">
      <c r="A336" s="131">
        <f t="shared" si="17"/>
        <v>10949</v>
      </c>
      <c r="B336" s="138" t="s">
        <v>762</v>
      </c>
      <c r="C336" s="173"/>
      <c r="D336" s="131"/>
      <c r="E336" s="15" t="s">
        <v>123</v>
      </c>
      <c r="F336" s="15">
        <v>3</v>
      </c>
      <c r="G336" s="15">
        <f t="shared" si="16"/>
        <v>1</v>
      </c>
      <c r="H336" s="131">
        <v>1</v>
      </c>
      <c r="I336" s="85"/>
    </row>
    <row r="337" spans="1:9" ht="15.95" customHeight="1" x14ac:dyDescent="0.3">
      <c r="A337" s="131">
        <f t="shared" si="17"/>
        <v>10950</v>
      </c>
      <c r="B337" s="138" t="s">
        <v>763</v>
      </c>
      <c r="C337" s="173"/>
      <c r="D337" s="131"/>
      <c r="E337" s="15" t="s">
        <v>123</v>
      </c>
      <c r="F337" s="15">
        <v>3</v>
      </c>
      <c r="G337" s="15">
        <f t="shared" si="16"/>
        <v>1</v>
      </c>
      <c r="H337" s="131">
        <v>1</v>
      </c>
      <c r="I337" s="85"/>
    </row>
    <row r="338" spans="1:9" ht="15.95" customHeight="1" x14ac:dyDescent="0.3">
      <c r="A338" s="131">
        <f t="shared" si="17"/>
        <v>10951</v>
      </c>
      <c r="B338" s="149" t="s">
        <v>764</v>
      </c>
      <c r="C338" s="184">
        <v>7</v>
      </c>
      <c r="D338" s="150"/>
      <c r="E338" s="150" t="s">
        <v>123</v>
      </c>
      <c r="F338" s="150">
        <v>3</v>
      </c>
      <c r="G338" s="150">
        <f t="shared" si="16"/>
        <v>1</v>
      </c>
      <c r="H338" s="150">
        <v>1</v>
      </c>
      <c r="I338" s="91"/>
    </row>
    <row r="339" spans="1:9" ht="15.95" customHeight="1" x14ac:dyDescent="0.3">
      <c r="A339" s="131">
        <f t="shared" si="17"/>
        <v>10952</v>
      </c>
      <c r="B339" s="149" t="s">
        <v>765</v>
      </c>
      <c r="C339" s="184"/>
      <c r="D339" s="150"/>
      <c r="E339" s="150" t="s">
        <v>123</v>
      </c>
      <c r="F339" s="150">
        <v>3</v>
      </c>
      <c r="G339" s="150">
        <f t="shared" si="16"/>
        <v>1</v>
      </c>
      <c r="H339" s="150">
        <v>1</v>
      </c>
      <c r="I339" s="91"/>
    </row>
    <row r="340" spans="1:9" ht="15.95" customHeight="1" x14ac:dyDescent="0.3">
      <c r="A340" s="131">
        <f t="shared" si="17"/>
        <v>10953</v>
      </c>
      <c r="B340" s="149" t="s">
        <v>766</v>
      </c>
      <c r="C340" s="184"/>
      <c r="D340" s="150"/>
      <c r="E340" s="150" t="s">
        <v>123</v>
      </c>
      <c r="F340" s="150">
        <v>3</v>
      </c>
      <c r="G340" s="150">
        <f t="shared" si="16"/>
        <v>1</v>
      </c>
      <c r="H340" s="150">
        <v>1</v>
      </c>
      <c r="I340" s="91"/>
    </row>
    <row r="341" spans="1:9" ht="15.95" customHeight="1" x14ac:dyDescent="0.3">
      <c r="A341" s="131">
        <f t="shared" si="17"/>
        <v>10954</v>
      </c>
      <c r="B341" s="149" t="s">
        <v>767</v>
      </c>
      <c r="C341" s="184">
        <v>8</v>
      </c>
      <c r="D341" s="150"/>
      <c r="E341" s="150" t="s">
        <v>123</v>
      </c>
      <c r="F341" s="150">
        <v>3</v>
      </c>
      <c r="G341" s="150">
        <f t="shared" si="16"/>
        <v>1</v>
      </c>
      <c r="H341" s="150">
        <v>1</v>
      </c>
      <c r="I341" s="91"/>
    </row>
    <row r="342" spans="1:9" ht="15.95" customHeight="1" x14ac:dyDescent="0.3">
      <c r="A342" s="131">
        <f t="shared" si="17"/>
        <v>10955</v>
      </c>
      <c r="B342" s="149" t="s">
        <v>768</v>
      </c>
      <c r="C342" s="184"/>
      <c r="D342" s="150"/>
      <c r="E342" s="150" t="s">
        <v>123</v>
      </c>
      <c r="F342" s="150">
        <v>3</v>
      </c>
      <c r="G342" s="150">
        <f t="shared" si="16"/>
        <v>1</v>
      </c>
      <c r="H342" s="150">
        <v>1</v>
      </c>
      <c r="I342" s="91"/>
    </row>
    <row r="343" spans="1:9" ht="15.95" customHeight="1" x14ac:dyDescent="0.3">
      <c r="A343" s="131">
        <f t="shared" si="17"/>
        <v>10956</v>
      </c>
      <c r="B343" s="149" t="s">
        <v>769</v>
      </c>
      <c r="C343" s="184"/>
      <c r="D343" s="150"/>
      <c r="E343" s="150" t="s">
        <v>123</v>
      </c>
      <c r="F343" s="150">
        <v>3</v>
      </c>
      <c r="G343" s="150">
        <f t="shared" si="16"/>
        <v>1</v>
      </c>
      <c r="H343" s="150">
        <v>1</v>
      </c>
      <c r="I343" s="91"/>
    </row>
    <row r="344" spans="1:9" ht="15.95" customHeight="1" x14ac:dyDescent="0.3">
      <c r="A344" s="131">
        <f t="shared" si="17"/>
        <v>10957</v>
      </c>
      <c r="B344" s="149" t="s">
        <v>770</v>
      </c>
      <c r="C344" s="184">
        <v>9</v>
      </c>
      <c r="D344" s="150"/>
      <c r="E344" s="150" t="s">
        <v>123</v>
      </c>
      <c r="F344" s="150">
        <v>3</v>
      </c>
      <c r="G344" s="150">
        <f t="shared" si="16"/>
        <v>1</v>
      </c>
      <c r="H344" s="150">
        <v>1</v>
      </c>
      <c r="I344" s="91"/>
    </row>
    <row r="345" spans="1:9" ht="15.95" customHeight="1" x14ac:dyDescent="0.3">
      <c r="A345" s="131">
        <f t="shared" si="17"/>
        <v>10958</v>
      </c>
      <c r="B345" s="149" t="s">
        <v>771</v>
      </c>
      <c r="C345" s="184"/>
      <c r="D345" s="150"/>
      <c r="E345" s="150" t="s">
        <v>123</v>
      </c>
      <c r="F345" s="150">
        <v>3</v>
      </c>
      <c r="G345" s="150">
        <f t="shared" si="16"/>
        <v>1</v>
      </c>
      <c r="H345" s="150">
        <v>1</v>
      </c>
      <c r="I345" s="91"/>
    </row>
    <row r="346" spans="1:9" ht="15.95" customHeight="1" x14ac:dyDescent="0.3">
      <c r="A346" s="131">
        <f t="shared" si="17"/>
        <v>10959</v>
      </c>
      <c r="B346" s="149" t="s">
        <v>772</v>
      </c>
      <c r="C346" s="184"/>
      <c r="D346" s="150"/>
      <c r="E346" s="150" t="s">
        <v>123</v>
      </c>
      <c r="F346" s="150">
        <v>3</v>
      </c>
      <c r="G346" s="150">
        <f t="shared" si="16"/>
        <v>1</v>
      </c>
      <c r="H346" s="150">
        <v>1</v>
      </c>
      <c r="I346" s="91"/>
    </row>
    <row r="347" spans="1:9" ht="15.95" customHeight="1" x14ac:dyDescent="0.3">
      <c r="A347" s="131">
        <f t="shared" si="17"/>
        <v>10960</v>
      </c>
      <c r="B347" s="138" t="s">
        <v>773</v>
      </c>
      <c r="C347" s="173"/>
      <c r="D347" s="131"/>
      <c r="E347" s="15" t="s">
        <v>123</v>
      </c>
      <c r="F347" s="15">
        <v>3</v>
      </c>
      <c r="G347" s="15">
        <f t="shared" si="16"/>
        <v>1</v>
      </c>
      <c r="H347" s="131">
        <v>1</v>
      </c>
      <c r="I347" s="85"/>
    </row>
    <row r="348" spans="1:9" ht="15.95" customHeight="1" x14ac:dyDescent="0.3">
      <c r="A348" s="131">
        <f t="shared" si="17"/>
        <v>10961</v>
      </c>
      <c r="B348" s="138" t="s">
        <v>774</v>
      </c>
      <c r="C348" s="173"/>
      <c r="D348" s="131"/>
      <c r="E348" s="15" t="s">
        <v>123</v>
      </c>
      <c r="F348" s="15">
        <v>3</v>
      </c>
      <c r="G348" s="15">
        <f t="shared" si="16"/>
        <v>1</v>
      </c>
      <c r="H348" s="131">
        <v>1</v>
      </c>
      <c r="I348" s="85"/>
    </row>
    <row r="349" spans="1:9" ht="15.95" customHeight="1" x14ac:dyDescent="0.3">
      <c r="A349" s="131">
        <f t="shared" si="17"/>
        <v>10962</v>
      </c>
      <c r="B349" s="138" t="s">
        <v>775</v>
      </c>
      <c r="C349" s="173"/>
      <c r="D349" s="131"/>
      <c r="E349" s="15" t="s">
        <v>123</v>
      </c>
      <c r="F349" s="15">
        <v>3</v>
      </c>
      <c r="G349" s="15">
        <f t="shared" si="16"/>
        <v>1</v>
      </c>
      <c r="H349" s="131">
        <v>1</v>
      </c>
      <c r="I349" s="85"/>
    </row>
    <row r="350" spans="1:9" ht="15.95" customHeight="1" x14ac:dyDescent="0.3">
      <c r="A350" s="131">
        <f t="shared" si="17"/>
        <v>10963</v>
      </c>
      <c r="B350" s="138" t="s">
        <v>776</v>
      </c>
      <c r="C350" s="173"/>
      <c r="D350" s="131"/>
      <c r="E350" s="15" t="s">
        <v>123</v>
      </c>
      <c r="F350" s="15">
        <v>3</v>
      </c>
      <c r="G350" s="15">
        <f t="shared" si="16"/>
        <v>1</v>
      </c>
      <c r="H350" s="131">
        <v>1</v>
      </c>
      <c r="I350" s="85"/>
    </row>
    <row r="351" spans="1:9" ht="15.95" customHeight="1" x14ac:dyDescent="0.3">
      <c r="A351" s="131">
        <f t="shared" si="17"/>
        <v>10964</v>
      </c>
      <c r="B351" s="138" t="s">
        <v>777</v>
      </c>
      <c r="C351" s="173"/>
      <c r="D351" s="131"/>
      <c r="E351" s="15" t="s">
        <v>123</v>
      </c>
      <c r="F351" s="15">
        <v>3</v>
      </c>
      <c r="G351" s="15">
        <f t="shared" si="16"/>
        <v>1</v>
      </c>
      <c r="H351" s="131">
        <v>1</v>
      </c>
      <c r="I351" s="85"/>
    </row>
    <row r="352" spans="1:9" ht="15.95" customHeight="1" x14ac:dyDescent="0.3">
      <c r="A352" s="131">
        <f t="shared" si="17"/>
        <v>10965</v>
      </c>
      <c r="B352" s="138" t="s">
        <v>778</v>
      </c>
      <c r="C352" s="173"/>
      <c r="D352" s="131"/>
      <c r="E352" s="15" t="s">
        <v>123</v>
      </c>
      <c r="F352" s="15">
        <v>3</v>
      </c>
      <c r="G352" s="15">
        <f t="shared" si="16"/>
        <v>1</v>
      </c>
      <c r="H352" s="131">
        <v>1</v>
      </c>
      <c r="I352" s="85"/>
    </row>
    <row r="353" spans="1:9" ht="15.95" customHeight="1" x14ac:dyDescent="0.3">
      <c r="A353" s="131">
        <f t="shared" si="17"/>
        <v>10966</v>
      </c>
      <c r="B353" s="138" t="s">
        <v>779</v>
      </c>
      <c r="C353" s="173"/>
      <c r="D353" s="131"/>
      <c r="E353" s="15" t="s">
        <v>123</v>
      </c>
      <c r="F353" s="15">
        <v>3</v>
      </c>
      <c r="G353" s="15">
        <f t="shared" si="16"/>
        <v>1</v>
      </c>
      <c r="H353" s="131">
        <v>1</v>
      </c>
      <c r="I353" s="85"/>
    </row>
    <row r="354" spans="1:9" ht="15.95" customHeight="1" x14ac:dyDescent="0.3">
      <c r="A354" s="131">
        <f t="shared" si="17"/>
        <v>10967</v>
      </c>
      <c r="B354" s="138" t="s">
        <v>780</v>
      </c>
      <c r="C354" s="173"/>
      <c r="D354" s="131"/>
      <c r="E354" s="15" t="s">
        <v>123</v>
      </c>
      <c r="F354" s="15">
        <v>3</v>
      </c>
      <c r="G354" s="15">
        <f t="shared" si="16"/>
        <v>1</v>
      </c>
      <c r="H354" s="131">
        <v>1</v>
      </c>
      <c r="I354" s="85"/>
    </row>
    <row r="355" spans="1:9" ht="15.95" customHeight="1" x14ac:dyDescent="0.3">
      <c r="A355" s="131">
        <f t="shared" si="17"/>
        <v>10968</v>
      </c>
      <c r="B355" s="138" t="s">
        <v>781</v>
      </c>
      <c r="C355" s="173"/>
      <c r="D355" s="131"/>
      <c r="E355" s="15" t="s">
        <v>123</v>
      </c>
      <c r="F355" s="15">
        <v>3</v>
      </c>
      <c r="G355" s="15">
        <f t="shared" si="16"/>
        <v>1</v>
      </c>
      <c r="H355" s="131">
        <v>1</v>
      </c>
      <c r="I355" s="85"/>
    </row>
    <row r="356" spans="1:9" ht="15.95" customHeight="1" x14ac:dyDescent="0.3">
      <c r="A356" s="131">
        <f t="shared" si="17"/>
        <v>10969</v>
      </c>
      <c r="B356" s="138" t="s">
        <v>782</v>
      </c>
      <c r="C356" s="173"/>
      <c r="D356" s="131"/>
      <c r="E356" s="15" t="s">
        <v>123</v>
      </c>
      <c r="F356" s="15">
        <v>3</v>
      </c>
      <c r="G356" s="15">
        <f t="shared" si="16"/>
        <v>1</v>
      </c>
      <c r="H356" s="131">
        <v>1</v>
      </c>
      <c r="I356" s="85"/>
    </row>
    <row r="357" spans="1:9" ht="15.95" customHeight="1" x14ac:dyDescent="0.3">
      <c r="A357" s="131">
        <f t="shared" si="17"/>
        <v>10970</v>
      </c>
      <c r="B357" s="138" t="s">
        <v>783</v>
      </c>
      <c r="C357" s="173"/>
      <c r="D357" s="131"/>
      <c r="E357" s="15" t="s">
        <v>123</v>
      </c>
      <c r="F357" s="15">
        <v>3</v>
      </c>
      <c r="G357" s="15">
        <f t="shared" si="16"/>
        <v>1</v>
      </c>
      <c r="H357" s="131">
        <v>1</v>
      </c>
      <c r="I357" s="85"/>
    </row>
    <row r="358" spans="1:9" ht="15.95" customHeight="1" x14ac:dyDescent="0.3">
      <c r="A358" s="131">
        <f t="shared" si="17"/>
        <v>10971</v>
      </c>
      <c r="B358" s="138" t="s">
        <v>784</v>
      </c>
      <c r="C358" s="173"/>
      <c r="D358" s="131"/>
      <c r="E358" s="15" t="s">
        <v>123</v>
      </c>
      <c r="F358" s="15">
        <v>3</v>
      </c>
      <c r="G358" s="15">
        <f t="shared" si="16"/>
        <v>1</v>
      </c>
      <c r="H358" s="131">
        <v>1</v>
      </c>
      <c r="I358" s="85"/>
    </row>
    <row r="359" spans="1:9" ht="15.95" customHeight="1" x14ac:dyDescent="0.3">
      <c r="A359" s="131">
        <f t="shared" si="17"/>
        <v>10972</v>
      </c>
      <c r="B359" s="138" t="s">
        <v>785</v>
      </c>
      <c r="C359" s="173"/>
      <c r="D359" s="131"/>
      <c r="E359" s="15" t="s">
        <v>123</v>
      </c>
      <c r="F359" s="15">
        <v>3</v>
      </c>
      <c r="G359" s="15">
        <f t="shared" si="16"/>
        <v>1</v>
      </c>
      <c r="H359" s="131">
        <v>1</v>
      </c>
      <c r="I359" s="85"/>
    </row>
    <row r="360" spans="1:9" ht="15.95" customHeight="1" x14ac:dyDescent="0.3">
      <c r="A360" s="131">
        <f t="shared" si="17"/>
        <v>10973</v>
      </c>
      <c r="B360" s="138" t="s">
        <v>786</v>
      </c>
      <c r="C360" s="173"/>
      <c r="D360" s="131"/>
      <c r="E360" s="15" t="s">
        <v>123</v>
      </c>
      <c r="F360" s="15">
        <v>3</v>
      </c>
      <c r="G360" s="15">
        <f t="shared" si="16"/>
        <v>1</v>
      </c>
      <c r="H360" s="131">
        <v>1</v>
      </c>
      <c r="I360" s="85"/>
    </row>
    <row r="361" spans="1:9" ht="15.95" customHeight="1" x14ac:dyDescent="0.3">
      <c r="A361" s="131">
        <f t="shared" si="17"/>
        <v>10974</v>
      </c>
      <c r="B361" s="138" t="s">
        <v>787</v>
      </c>
      <c r="C361" s="173"/>
      <c r="D361" s="131"/>
      <c r="E361" s="15" t="s">
        <v>123</v>
      </c>
      <c r="F361" s="15">
        <v>3</v>
      </c>
      <c r="G361" s="15">
        <f t="shared" si="16"/>
        <v>1</v>
      </c>
      <c r="H361" s="131">
        <v>1</v>
      </c>
      <c r="I361" s="85"/>
    </row>
    <row r="362" spans="1:9" ht="15.95" customHeight="1" x14ac:dyDescent="0.3">
      <c r="A362" s="131">
        <f t="shared" si="17"/>
        <v>10975</v>
      </c>
      <c r="B362" s="138" t="s">
        <v>788</v>
      </c>
      <c r="C362" s="173"/>
      <c r="D362" s="131"/>
      <c r="E362" s="15" t="s">
        <v>123</v>
      </c>
      <c r="F362" s="15">
        <v>3</v>
      </c>
      <c r="G362" s="15">
        <f t="shared" si="16"/>
        <v>1</v>
      </c>
      <c r="H362" s="131">
        <v>1</v>
      </c>
      <c r="I362" s="85"/>
    </row>
    <row r="363" spans="1:9" ht="15.95" customHeight="1" x14ac:dyDescent="0.3">
      <c r="A363" s="131">
        <f t="shared" si="17"/>
        <v>10976</v>
      </c>
      <c r="B363" s="149" t="s">
        <v>789</v>
      </c>
      <c r="C363" s="184"/>
      <c r="D363" s="150"/>
      <c r="E363" s="150" t="s">
        <v>123</v>
      </c>
      <c r="F363" s="150">
        <v>3</v>
      </c>
      <c r="G363" s="150">
        <f t="shared" si="16"/>
        <v>1</v>
      </c>
      <c r="H363" s="150">
        <v>1</v>
      </c>
      <c r="I363" s="91"/>
    </row>
    <row r="364" spans="1:9" ht="15.95" customHeight="1" x14ac:dyDescent="0.3">
      <c r="A364" s="131">
        <f t="shared" si="17"/>
        <v>10977</v>
      </c>
      <c r="B364" s="149" t="s">
        <v>790</v>
      </c>
      <c r="C364" s="184"/>
      <c r="D364" s="150"/>
      <c r="E364" s="150" t="s">
        <v>123</v>
      </c>
      <c r="F364" s="150">
        <v>3</v>
      </c>
      <c r="G364" s="150">
        <f t="shared" si="16"/>
        <v>1</v>
      </c>
      <c r="H364" s="150">
        <v>1</v>
      </c>
      <c r="I364" s="91"/>
    </row>
    <row r="365" spans="1:9" ht="15.95" customHeight="1" x14ac:dyDescent="0.3">
      <c r="A365" s="131">
        <f t="shared" si="17"/>
        <v>10978</v>
      </c>
      <c r="B365" s="149" t="s">
        <v>791</v>
      </c>
      <c r="C365" s="184"/>
      <c r="D365" s="150"/>
      <c r="E365" s="150" t="s">
        <v>123</v>
      </c>
      <c r="F365" s="150">
        <v>3</v>
      </c>
      <c r="G365" s="150">
        <f t="shared" si="16"/>
        <v>1</v>
      </c>
      <c r="H365" s="150">
        <v>1</v>
      </c>
      <c r="I365" s="91"/>
    </row>
    <row r="366" spans="1:9" ht="15.95" customHeight="1" x14ac:dyDescent="0.3">
      <c r="A366" s="131">
        <f t="shared" si="17"/>
        <v>10979</v>
      </c>
      <c r="B366" s="149" t="s">
        <v>792</v>
      </c>
      <c r="C366" s="184"/>
      <c r="D366" s="150"/>
      <c r="E366" s="150" t="s">
        <v>123</v>
      </c>
      <c r="F366" s="150">
        <v>3</v>
      </c>
      <c r="G366" s="150">
        <f t="shared" si="16"/>
        <v>1</v>
      </c>
      <c r="H366" s="150">
        <v>1</v>
      </c>
      <c r="I366" s="91"/>
    </row>
    <row r="367" spans="1:9" ht="15.95" customHeight="1" x14ac:dyDescent="0.3">
      <c r="A367" s="162" t="s">
        <v>103</v>
      </c>
      <c r="B367" s="162"/>
      <c r="C367" s="162"/>
      <c r="D367" s="162"/>
      <c r="E367" s="162"/>
      <c r="F367" s="162"/>
      <c r="G367" s="162"/>
      <c r="H367" s="162"/>
      <c r="I367" s="88"/>
    </row>
    <row r="368" spans="1:9" ht="15.95" customHeight="1" x14ac:dyDescent="0.3">
      <c r="A368" s="131">
        <f>A366+G366*H366</f>
        <v>10980</v>
      </c>
      <c r="B368" s="138" t="s">
        <v>94</v>
      </c>
      <c r="C368" s="138"/>
      <c r="D368" s="131"/>
      <c r="E368" s="15" t="s">
        <v>114</v>
      </c>
      <c r="F368" s="15">
        <v>3</v>
      </c>
      <c r="G368" s="15">
        <f t="shared" ref="G368:G377" si="18">IF(OR(E368="U16", E368="S16"),1,IF(E368="TS",6,2))</f>
        <v>1</v>
      </c>
      <c r="H368" s="131">
        <v>64</v>
      </c>
      <c r="I368" s="85"/>
    </row>
    <row r="369" spans="1:10" ht="15.95" customHeight="1" x14ac:dyDescent="0.3">
      <c r="A369" s="131">
        <f t="shared" ref="A369:A377" si="19">A368+(G368*H368)</f>
        <v>11044</v>
      </c>
      <c r="B369" s="138" t="s">
        <v>95</v>
      </c>
      <c r="C369" s="138"/>
      <c r="D369" s="131"/>
      <c r="E369" s="15" t="s">
        <v>114</v>
      </c>
      <c r="F369" s="15">
        <v>3</v>
      </c>
      <c r="G369" s="15">
        <f t="shared" si="18"/>
        <v>1</v>
      </c>
      <c r="H369" s="131">
        <v>64</v>
      </c>
      <c r="I369" s="85"/>
    </row>
    <row r="370" spans="1:10" ht="15.95" customHeight="1" x14ac:dyDescent="0.3">
      <c r="A370" s="131">
        <f t="shared" si="19"/>
        <v>11108</v>
      </c>
      <c r="B370" s="138" t="s">
        <v>96</v>
      </c>
      <c r="C370" s="138"/>
      <c r="D370" s="131"/>
      <c r="E370" s="15" t="s">
        <v>114</v>
      </c>
      <c r="F370" s="15">
        <v>3</v>
      </c>
      <c r="G370" s="15">
        <f t="shared" si="18"/>
        <v>1</v>
      </c>
      <c r="H370" s="131">
        <v>64</v>
      </c>
      <c r="I370" s="85"/>
    </row>
    <row r="371" spans="1:10" ht="15.95" customHeight="1" x14ac:dyDescent="0.3">
      <c r="A371" s="131">
        <f t="shared" si="19"/>
        <v>11172</v>
      </c>
      <c r="B371" s="138" t="s">
        <v>97</v>
      </c>
      <c r="C371" s="138"/>
      <c r="D371" s="131"/>
      <c r="E371" s="15" t="s">
        <v>114</v>
      </c>
      <c r="F371" s="15">
        <v>3</v>
      </c>
      <c r="G371" s="15">
        <f t="shared" si="18"/>
        <v>1</v>
      </c>
      <c r="H371" s="131">
        <v>64</v>
      </c>
      <c r="I371" s="85"/>
    </row>
    <row r="372" spans="1:10" ht="15.95" customHeight="1" x14ac:dyDescent="0.3">
      <c r="A372" s="131">
        <f t="shared" si="19"/>
        <v>11236</v>
      </c>
      <c r="B372" s="138" t="s">
        <v>98</v>
      </c>
      <c r="C372" s="138"/>
      <c r="D372" s="131"/>
      <c r="E372" s="15" t="s">
        <v>114</v>
      </c>
      <c r="F372" s="15">
        <v>3</v>
      </c>
      <c r="G372" s="15">
        <f t="shared" si="18"/>
        <v>1</v>
      </c>
      <c r="H372" s="131">
        <v>64</v>
      </c>
      <c r="I372" s="85"/>
    </row>
    <row r="373" spans="1:10" ht="15.95" customHeight="1" x14ac:dyDescent="0.3">
      <c r="A373" s="131">
        <f t="shared" si="19"/>
        <v>11300</v>
      </c>
      <c r="B373" s="138" t="s">
        <v>99</v>
      </c>
      <c r="C373" s="138"/>
      <c r="D373" s="131"/>
      <c r="E373" s="15" t="s">
        <v>114</v>
      </c>
      <c r="F373" s="15">
        <v>3</v>
      </c>
      <c r="G373" s="15">
        <f t="shared" si="18"/>
        <v>1</v>
      </c>
      <c r="H373" s="131">
        <v>64</v>
      </c>
      <c r="I373" s="85"/>
    </row>
    <row r="374" spans="1:10" ht="15.95" customHeight="1" x14ac:dyDescent="0.3">
      <c r="A374" s="131">
        <f t="shared" si="19"/>
        <v>11364</v>
      </c>
      <c r="B374" s="138" t="s">
        <v>100</v>
      </c>
      <c r="C374" s="138"/>
      <c r="D374" s="131"/>
      <c r="E374" s="15" t="s">
        <v>114</v>
      </c>
      <c r="F374" s="15">
        <v>3</v>
      </c>
      <c r="G374" s="15">
        <f t="shared" si="18"/>
        <v>1</v>
      </c>
      <c r="H374" s="131">
        <v>64</v>
      </c>
      <c r="I374" s="85"/>
    </row>
    <row r="375" spans="1:10" ht="15.95" customHeight="1" x14ac:dyDescent="0.3">
      <c r="A375" s="131">
        <f t="shared" si="19"/>
        <v>11428</v>
      </c>
      <c r="B375" s="138" t="s">
        <v>101</v>
      </c>
      <c r="C375" s="138"/>
      <c r="D375" s="131"/>
      <c r="E375" s="15" t="s">
        <v>114</v>
      </c>
      <c r="F375" s="15">
        <v>3</v>
      </c>
      <c r="G375" s="15">
        <f t="shared" si="18"/>
        <v>1</v>
      </c>
      <c r="H375" s="131">
        <v>64</v>
      </c>
      <c r="I375" s="85"/>
    </row>
    <row r="376" spans="1:10" ht="15.95" customHeight="1" x14ac:dyDescent="0.3">
      <c r="A376" s="131">
        <f t="shared" si="19"/>
        <v>11492</v>
      </c>
      <c r="B376" s="138" t="s">
        <v>102</v>
      </c>
      <c r="C376" s="138"/>
      <c r="D376" s="131"/>
      <c r="E376" s="15" t="s">
        <v>114</v>
      </c>
      <c r="F376" s="15">
        <v>3</v>
      </c>
      <c r="G376" s="15">
        <f t="shared" si="18"/>
        <v>1</v>
      </c>
      <c r="H376" s="131">
        <v>64</v>
      </c>
      <c r="I376" s="85"/>
    </row>
    <row r="377" spans="1:10" ht="15.95" customHeight="1" x14ac:dyDescent="0.3">
      <c r="A377" s="131">
        <f t="shared" si="19"/>
        <v>11556</v>
      </c>
      <c r="B377" s="138" t="s">
        <v>41</v>
      </c>
      <c r="C377" s="138"/>
      <c r="D377" s="131"/>
      <c r="E377" s="15" t="s">
        <v>114</v>
      </c>
      <c r="F377" s="15">
        <v>3</v>
      </c>
      <c r="G377" s="15">
        <f t="shared" si="18"/>
        <v>1</v>
      </c>
      <c r="H377" s="131">
        <v>24</v>
      </c>
      <c r="I377" s="85"/>
    </row>
    <row r="378" spans="1:10" ht="15.95" customHeight="1" x14ac:dyDescent="0.3">
      <c r="A378" s="162" t="s">
        <v>128</v>
      </c>
      <c r="B378" s="162"/>
      <c r="C378" s="162"/>
      <c r="D378" s="162"/>
      <c r="E378" s="162"/>
      <c r="F378" s="162"/>
      <c r="G378" s="162"/>
      <c r="H378" s="162"/>
      <c r="I378" s="88"/>
      <c r="J378" s="139" t="s">
        <v>1185</v>
      </c>
    </row>
    <row r="379" spans="1:10" ht="15.95" customHeight="1" x14ac:dyDescent="0.3">
      <c r="A379" s="128">
        <f>A377+(G377*H377)</f>
        <v>11580</v>
      </c>
      <c r="B379" s="149" t="s">
        <v>94</v>
      </c>
      <c r="C379" s="149"/>
      <c r="D379" s="150"/>
      <c r="E379" s="150" t="s">
        <v>114</v>
      </c>
      <c r="F379" s="150">
        <v>3</v>
      </c>
      <c r="G379" s="150">
        <f t="shared" ref="G379:G388" si="20">IF(OR(E379="U16", E379="S16"),1,IF(E379="TS",6,2))</f>
        <v>1</v>
      </c>
      <c r="H379" s="150">
        <v>64</v>
      </c>
      <c r="I379" s="85"/>
    </row>
    <row r="380" spans="1:10" ht="15.95" customHeight="1" x14ac:dyDescent="0.3">
      <c r="A380" s="128">
        <f t="shared" ref="A380:A388" si="21">A379+(G379*H379)</f>
        <v>11644</v>
      </c>
      <c r="B380" s="149" t="s">
        <v>95</v>
      </c>
      <c r="C380" s="149"/>
      <c r="D380" s="150"/>
      <c r="E380" s="150" t="s">
        <v>114</v>
      </c>
      <c r="F380" s="150">
        <v>3</v>
      </c>
      <c r="G380" s="150">
        <f t="shared" si="20"/>
        <v>1</v>
      </c>
      <c r="H380" s="150">
        <v>64</v>
      </c>
      <c r="I380" s="85"/>
    </row>
    <row r="381" spans="1:10" ht="15.95" customHeight="1" x14ac:dyDescent="0.3">
      <c r="A381" s="128">
        <f t="shared" si="21"/>
        <v>11708</v>
      </c>
      <c r="B381" s="149" t="s">
        <v>96</v>
      </c>
      <c r="C381" s="149"/>
      <c r="D381" s="150"/>
      <c r="E381" s="150" t="s">
        <v>114</v>
      </c>
      <c r="F381" s="150">
        <v>3</v>
      </c>
      <c r="G381" s="150">
        <f t="shared" si="20"/>
        <v>1</v>
      </c>
      <c r="H381" s="150">
        <v>64</v>
      </c>
      <c r="I381" s="85"/>
    </row>
    <row r="382" spans="1:10" ht="15.95" customHeight="1" x14ac:dyDescent="0.3">
      <c r="A382" s="128">
        <f t="shared" si="21"/>
        <v>11772</v>
      </c>
      <c r="B382" s="149" t="s">
        <v>97</v>
      </c>
      <c r="C382" s="149"/>
      <c r="D382" s="150"/>
      <c r="E382" s="150" t="s">
        <v>114</v>
      </c>
      <c r="F382" s="150">
        <v>3</v>
      </c>
      <c r="G382" s="150">
        <f t="shared" si="20"/>
        <v>1</v>
      </c>
      <c r="H382" s="150">
        <v>64</v>
      </c>
      <c r="I382" s="85"/>
    </row>
    <row r="383" spans="1:10" ht="15.95" customHeight="1" x14ac:dyDescent="0.3">
      <c r="A383" s="128">
        <f t="shared" si="21"/>
        <v>11836</v>
      </c>
      <c r="B383" s="149" t="s">
        <v>98</v>
      </c>
      <c r="C383" s="149"/>
      <c r="D383" s="150"/>
      <c r="E383" s="150" t="s">
        <v>114</v>
      </c>
      <c r="F383" s="150">
        <v>3</v>
      </c>
      <c r="G383" s="150">
        <f t="shared" si="20"/>
        <v>1</v>
      </c>
      <c r="H383" s="150">
        <v>64</v>
      </c>
      <c r="I383" s="85"/>
    </row>
    <row r="384" spans="1:10" ht="15.95" customHeight="1" x14ac:dyDescent="0.3">
      <c r="A384" s="128">
        <f t="shared" si="21"/>
        <v>11900</v>
      </c>
      <c r="B384" s="149" t="s">
        <v>99</v>
      </c>
      <c r="C384" s="149"/>
      <c r="D384" s="150"/>
      <c r="E384" s="150" t="s">
        <v>114</v>
      </c>
      <c r="F384" s="150">
        <v>3</v>
      </c>
      <c r="G384" s="150">
        <f t="shared" si="20"/>
        <v>1</v>
      </c>
      <c r="H384" s="150">
        <v>64</v>
      </c>
      <c r="I384" s="85"/>
    </row>
    <row r="385" spans="1:10" ht="15.95" customHeight="1" x14ac:dyDescent="0.3">
      <c r="A385" s="128">
        <f t="shared" si="21"/>
        <v>11964</v>
      </c>
      <c r="B385" s="149" t="s">
        <v>100</v>
      </c>
      <c r="C385" s="149"/>
      <c r="D385" s="150"/>
      <c r="E385" s="150" t="s">
        <v>114</v>
      </c>
      <c r="F385" s="150">
        <v>3</v>
      </c>
      <c r="G385" s="150">
        <f t="shared" si="20"/>
        <v>1</v>
      </c>
      <c r="H385" s="150">
        <v>64</v>
      </c>
      <c r="I385" s="85"/>
    </row>
    <row r="386" spans="1:10" ht="15.95" customHeight="1" x14ac:dyDescent="0.3">
      <c r="A386" s="128">
        <f t="shared" si="21"/>
        <v>12028</v>
      </c>
      <c r="B386" s="149" t="s">
        <v>101</v>
      </c>
      <c r="C386" s="149"/>
      <c r="D386" s="150"/>
      <c r="E386" s="150" t="s">
        <v>114</v>
      </c>
      <c r="F386" s="150">
        <v>3</v>
      </c>
      <c r="G386" s="150">
        <f t="shared" si="20"/>
        <v>1</v>
      </c>
      <c r="H386" s="150">
        <v>64</v>
      </c>
      <c r="I386" s="85"/>
    </row>
    <row r="387" spans="1:10" ht="15.95" customHeight="1" x14ac:dyDescent="0.3">
      <c r="A387" s="128">
        <f t="shared" si="21"/>
        <v>12092</v>
      </c>
      <c r="B387" s="149" t="s">
        <v>102</v>
      </c>
      <c r="C387" s="149"/>
      <c r="D387" s="150"/>
      <c r="E387" s="150" t="s">
        <v>114</v>
      </c>
      <c r="F387" s="150">
        <v>3</v>
      </c>
      <c r="G387" s="150">
        <f t="shared" si="20"/>
        <v>1</v>
      </c>
      <c r="H387" s="150">
        <v>64</v>
      </c>
      <c r="I387" s="85"/>
    </row>
    <row r="388" spans="1:10" ht="15.95" customHeight="1" x14ac:dyDescent="0.3">
      <c r="A388" s="128">
        <f t="shared" si="21"/>
        <v>12156</v>
      </c>
      <c r="B388" s="149"/>
      <c r="C388" s="149"/>
      <c r="D388" s="150"/>
      <c r="E388" s="150" t="s">
        <v>114</v>
      </c>
      <c r="F388" s="150">
        <v>3</v>
      </c>
      <c r="G388" s="150">
        <f t="shared" si="20"/>
        <v>1</v>
      </c>
      <c r="H388" s="150">
        <v>24</v>
      </c>
      <c r="I388" s="85"/>
    </row>
    <row r="389" spans="1:10" ht="15.95" customHeight="1" x14ac:dyDescent="0.3">
      <c r="A389" s="162" t="s">
        <v>116</v>
      </c>
      <c r="B389" s="162"/>
      <c r="C389" s="162"/>
      <c r="D389" s="162"/>
      <c r="E389" s="162"/>
      <c r="F389" s="162"/>
      <c r="G389" s="162"/>
      <c r="H389" s="162"/>
      <c r="I389" s="88"/>
    </row>
    <row r="390" spans="1:10" ht="15.95" customHeight="1" x14ac:dyDescent="0.3">
      <c r="A390" s="131">
        <f>A388+(G388*H388)</f>
        <v>12180</v>
      </c>
      <c r="B390" s="138" t="s">
        <v>399</v>
      </c>
      <c r="C390" s="138"/>
      <c r="D390" s="131"/>
      <c r="E390" s="15" t="s">
        <v>123</v>
      </c>
      <c r="F390" s="15">
        <v>3</v>
      </c>
      <c r="G390" s="15">
        <f t="shared" ref="G390:G439" si="22">IF(OR(E390="U16", E390="S16"),1,IF(E390="TS",6,2))</f>
        <v>1</v>
      </c>
      <c r="H390" s="131">
        <v>1</v>
      </c>
      <c r="I390" s="85"/>
    </row>
    <row r="391" spans="1:10" ht="15.95" customHeight="1" x14ac:dyDescent="0.3">
      <c r="A391" s="131">
        <f t="shared" ref="A391:A441" si="23">A390+(G390*H390)</f>
        <v>12181</v>
      </c>
      <c r="B391" s="138" t="s">
        <v>400</v>
      </c>
      <c r="C391" s="138"/>
      <c r="D391" s="131"/>
      <c r="E391" s="15" t="s">
        <v>123</v>
      </c>
      <c r="F391" s="15">
        <v>3</v>
      </c>
      <c r="G391" s="15">
        <f t="shared" si="22"/>
        <v>1</v>
      </c>
      <c r="H391" s="131">
        <v>1</v>
      </c>
      <c r="I391" s="85"/>
    </row>
    <row r="392" spans="1:10" ht="15.95" customHeight="1" x14ac:dyDescent="0.3">
      <c r="A392" s="131">
        <f t="shared" si="23"/>
        <v>12182</v>
      </c>
      <c r="B392" s="138" t="s">
        <v>117</v>
      </c>
      <c r="C392" s="138"/>
      <c r="D392" s="131"/>
      <c r="E392" s="15" t="s">
        <v>91</v>
      </c>
      <c r="F392" s="15">
        <v>3</v>
      </c>
      <c r="G392" s="15">
        <f t="shared" si="22"/>
        <v>2</v>
      </c>
      <c r="H392" s="131">
        <v>1</v>
      </c>
      <c r="I392" s="85"/>
    </row>
    <row r="393" spans="1:10" ht="15.95" customHeight="1" x14ac:dyDescent="0.3">
      <c r="A393" s="131">
        <f t="shared" si="23"/>
        <v>12184</v>
      </c>
      <c r="B393" s="185" t="s">
        <v>30</v>
      </c>
      <c r="C393" s="144" t="s">
        <v>1117</v>
      </c>
      <c r="D393" s="143"/>
      <c r="E393" s="143" t="s">
        <v>436</v>
      </c>
      <c r="F393" s="143">
        <v>3</v>
      </c>
      <c r="G393" s="143">
        <v>2</v>
      </c>
      <c r="H393" s="143">
        <v>1</v>
      </c>
      <c r="I393" s="85"/>
    </row>
    <row r="394" spans="1:10" ht="15.95" customHeight="1" x14ac:dyDescent="0.3">
      <c r="A394" s="131">
        <f t="shared" si="23"/>
        <v>12186</v>
      </c>
      <c r="B394" s="186"/>
      <c r="C394" s="144" t="s">
        <v>1116</v>
      </c>
      <c r="D394" s="143"/>
      <c r="E394" s="143" t="s">
        <v>258</v>
      </c>
      <c r="F394" s="143">
        <v>3</v>
      </c>
      <c r="G394" s="143">
        <v>2</v>
      </c>
      <c r="H394" s="143">
        <v>1</v>
      </c>
      <c r="I394" s="85"/>
    </row>
    <row r="395" spans="1:10" ht="15.95" customHeight="1" x14ac:dyDescent="0.3">
      <c r="A395" s="131">
        <f t="shared" si="23"/>
        <v>12188</v>
      </c>
      <c r="B395" s="186"/>
      <c r="C395" s="144" t="s">
        <v>1118</v>
      </c>
      <c r="D395" s="143"/>
      <c r="E395" s="143" t="s">
        <v>436</v>
      </c>
      <c r="F395" s="143">
        <v>3</v>
      </c>
      <c r="G395" s="143">
        <v>2</v>
      </c>
      <c r="H395" s="143">
        <v>1</v>
      </c>
      <c r="I395" s="85"/>
    </row>
    <row r="396" spans="1:10" ht="15.95" customHeight="1" x14ac:dyDescent="0.3">
      <c r="A396" s="131">
        <f t="shared" si="23"/>
        <v>12190</v>
      </c>
      <c r="B396" s="187"/>
      <c r="C396" s="144" t="s">
        <v>1119</v>
      </c>
      <c r="D396" s="143"/>
      <c r="E396" s="143" t="s">
        <v>258</v>
      </c>
      <c r="F396" s="143">
        <v>3</v>
      </c>
      <c r="G396" s="143">
        <v>2</v>
      </c>
      <c r="H396" s="143">
        <v>1</v>
      </c>
      <c r="I396" s="85"/>
    </row>
    <row r="397" spans="1:10" ht="15.95" customHeight="1" x14ac:dyDescent="0.3">
      <c r="A397" s="131">
        <f t="shared" si="23"/>
        <v>12192</v>
      </c>
      <c r="B397" s="138" t="s">
        <v>197</v>
      </c>
      <c r="C397" s="138"/>
      <c r="D397" s="131"/>
      <c r="E397" s="15" t="s">
        <v>58</v>
      </c>
      <c r="F397" s="15">
        <v>3</v>
      </c>
      <c r="G397" s="15">
        <f t="shared" si="22"/>
        <v>2</v>
      </c>
      <c r="H397" s="131">
        <v>4</v>
      </c>
      <c r="I397" s="85"/>
    </row>
    <row r="398" spans="1:10" ht="15.95" customHeight="1" x14ac:dyDescent="0.3">
      <c r="A398" s="131">
        <f t="shared" si="23"/>
        <v>12200</v>
      </c>
      <c r="B398" s="138" t="s">
        <v>154</v>
      </c>
      <c r="C398" s="138"/>
      <c r="D398" s="131"/>
      <c r="E398" s="15" t="s">
        <v>58</v>
      </c>
      <c r="F398" s="15">
        <v>3</v>
      </c>
      <c r="G398" s="15">
        <f t="shared" si="22"/>
        <v>2</v>
      </c>
      <c r="H398" s="131">
        <v>4</v>
      </c>
      <c r="I398" s="85"/>
    </row>
    <row r="399" spans="1:10" ht="15.95" customHeight="1" x14ac:dyDescent="0.3">
      <c r="A399" s="131">
        <f t="shared" si="23"/>
        <v>12208</v>
      </c>
      <c r="B399" s="138" t="s">
        <v>155</v>
      </c>
      <c r="C399" s="138"/>
      <c r="D399" s="131"/>
      <c r="E399" s="15" t="s">
        <v>58</v>
      </c>
      <c r="F399" s="15">
        <v>3</v>
      </c>
      <c r="G399" s="15">
        <f t="shared" si="22"/>
        <v>2</v>
      </c>
      <c r="H399" s="131">
        <v>4</v>
      </c>
      <c r="I399" s="85"/>
    </row>
    <row r="400" spans="1:10" ht="15.95" customHeight="1" x14ac:dyDescent="0.3">
      <c r="A400" s="131">
        <f t="shared" si="23"/>
        <v>12216</v>
      </c>
      <c r="B400" s="138" t="s">
        <v>156</v>
      </c>
      <c r="C400" s="138"/>
      <c r="D400" s="131"/>
      <c r="E400" s="15" t="s">
        <v>58</v>
      </c>
      <c r="F400" s="15">
        <v>3</v>
      </c>
      <c r="G400" s="15">
        <f t="shared" si="22"/>
        <v>2</v>
      </c>
      <c r="H400" s="131">
        <v>4</v>
      </c>
      <c r="I400" s="85"/>
      <c r="J400" s="139" t="s">
        <v>124</v>
      </c>
    </row>
    <row r="401" spans="1:9" ht="15.95" customHeight="1" x14ac:dyDescent="0.3">
      <c r="A401" s="131">
        <f t="shared" si="23"/>
        <v>12224</v>
      </c>
      <c r="B401" s="138" t="s">
        <v>157</v>
      </c>
      <c r="C401" s="138"/>
      <c r="D401" s="131"/>
      <c r="E401" s="15" t="s">
        <v>58</v>
      </c>
      <c r="F401" s="15">
        <v>3</v>
      </c>
      <c r="G401" s="15">
        <f t="shared" si="22"/>
        <v>2</v>
      </c>
      <c r="H401" s="131">
        <v>4</v>
      </c>
      <c r="I401" s="85"/>
    </row>
    <row r="402" spans="1:9" ht="15.95" customHeight="1" x14ac:dyDescent="0.3">
      <c r="A402" s="131">
        <f t="shared" si="23"/>
        <v>12232</v>
      </c>
      <c r="B402" s="138" t="s">
        <v>158</v>
      </c>
      <c r="C402" s="138"/>
      <c r="D402" s="131"/>
      <c r="E402" s="15" t="s">
        <v>58</v>
      </c>
      <c r="F402" s="15">
        <v>3</v>
      </c>
      <c r="G402" s="15">
        <f t="shared" si="22"/>
        <v>2</v>
      </c>
      <c r="H402" s="131">
        <v>4</v>
      </c>
      <c r="I402" s="85"/>
    </row>
    <row r="403" spans="1:9" ht="15.95" customHeight="1" x14ac:dyDescent="0.3">
      <c r="A403" s="131">
        <f t="shared" si="23"/>
        <v>12240</v>
      </c>
      <c r="B403" s="138" t="s">
        <v>159</v>
      </c>
      <c r="C403" s="138"/>
      <c r="D403" s="131"/>
      <c r="E403" s="15" t="s">
        <v>58</v>
      </c>
      <c r="F403" s="15">
        <v>3</v>
      </c>
      <c r="G403" s="15">
        <f t="shared" si="22"/>
        <v>2</v>
      </c>
      <c r="H403" s="131">
        <v>4</v>
      </c>
      <c r="I403" s="85"/>
    </row>
    <row r="404" spans="1:9" ht="15.95" customHeight="1" x14ac:dyDescent="0.3">
      <c r="A404" s="131">
        <f t="shared" si="23"/>
        <v>12248</v>
      </c>
      <c r="B404" s="138" t="s">
        <v>160</v>
      </c>
      <c r="C404" s="138"/>
      <c r="D404" s="131"/>
      <c r="E404" s="15" t="s">
        <v>58</v>
      </c>
      <c r="F404" s="15">
        <v>3</v>
      </c>
      <c r="G404" s="15">
        <f t="shared" si="22"/>
        <v>2</v>
      </c>
      <c r="H404" s="131">
        <v>4</v>
      </c>
      <c r="I404" s="85"/>
    </row>
    <row r="405" spans="1:9" ht="15.95" customHeight="1" x14ac:dyDescent="0.3">
      <c r="A405" s="131">
        <f t="shared" si="23"/>
        <v>12256</v>
      </c>
      <c r="B405" s="138" t="s">
        <v>161</v>
      </c>
      <c r="C405" s="138"/>
      <c r="D405" s="131"/>
      <c r="E405" s="15" t="s">
        <v>58</v>
      </c>
      <c r="F405" s="15">
        <v>3</v>
      </c>
      <c r="G405" s="15">
        <f t="shared" si="22"/>
        <v>2</v>
      </c>
      <c r="H405" s="131">
        <v>4</v>
      </c>
      <c r="I405" s="85"/>
    </row>
    <row r="406" spans="1:9" ht="15.95" customHeight="1" x14ac:dyDescent="0.3">
      <c r="A406" s="131">
        <f t="shared" si="23"/>
        <v>12264</v>
      </c>
      <c r="B406" s="138" t="s">
        <v>0</v>
      </c>
      <c r="C406" s="138"/>
      <c r="D406" s="131"/>
      <c r="E406" s="15" t="s">
        <v>58</v>
      </c>
      <c r="F406" s="15">
        <v>3</v>
      </c>
      <c r="G406" s="15">
        <f t="shared" si="22"/>
        <v>2</v>
      </c>
      <c r="H406" s="131">
        <v>4</v>
      </c>
      <c r="I406" s="85"/>
    </row>
    <row r="407" spans="1:9" ht="15.95" customHeight="1" x14ac:dyDescent="0.3">
      <c r="A407" s="131">
        <f t="shared" si="23"/>
        <v>12272</v>
      </c>
      <c r="B407" s="138" t="s">
        <v>119</v>
      </c>
      <c r="C407" s="138"/>
      <c r="D407" s="131"/>
      <c r="E407" s="15" t="s">
        <v>58</v>
      </c>
      <c r="F407" s="15">
        <v>3</v>
      </c>
      <c r="G407" s="15">
        <f t="shared" si="22"/>
        <v>2</v>
      </c>
      <c r="H407" s="131">
        <v>4</v>
      </c>
      <c r="I407" s="85"/>
    </row>
    <row r="408" spans="1:9" ht="15.95" customHeight="1" x14ac:dyDescent="0.3">
      <c r="A408" s="131">
        <f t="shared" si="23"/>
        <v>12280</v>
      </c>
      <c r="B408" s="138" t="s">
        <v>120</v>
      </c>
      <c r="C408" s="138"/>
      <c r="D408" s="131"/>
      <c r="E408" s="15" t="s">
        <v>58</v>
      </c>
      <c r="F408" s="15">
        <v>3</v>
      </c>
      <c r="G408" s="15">
        <f t="shared" si="22"/>
        <v>2</v>
      </c>
      <c r="H408" s="131">
        <v>4</v>
      </c>
      <c r="I408" s="85"/>
    </row>
    <row r="409" spans="1:9" ht="15.95" customHeight="1" x14ac:dyDescent="0.3">
      <c r="A409" s="131">
        <f t="shared" si="23"/>
        <v>12288</v>
      </c>
      <c r="B409" s="138" t="s">
        <v>129</v>
      </c>
      <c r="C409" s="138"/>
      <c r="D409" s="131"/>
      <c r="E409" s="15" t="s">
        <v>58</v>
      </c>
      <c r="F409" s="15">
        <v>3</v>
      </c>
      <c r="G409" s="15">
        <f t="shared" si="22"/>
        <v>2</v>
      </c>
      <c r="H409" s="131">
        <v>4</v>
      </c>
      <c r="I409" s="85"/>
    </row>
    <row r="410" spans="1:9" ht="15.95" customHeight="1" x14ac:dyDescent="0.3">
      <c r="A410" s="131">
        <f t="shared" si="23"/>
        <v>12296</v>
      </c>
      <c r="B410" s="138" t="s">
        <v>131</v>
      </c>
      <c r="C410" s="138"/>
      <c r="D410" s="131"/>
      <c r="E410" s="15" t="s">
        <v>58</v>
      </c>
      <c r="F410" s="15">
        <v>3</v>
      </c>
      <c r="G410" s="15">
        <f t="shared" si="22"/>
        <v>2</v>
      </c>
      <c r="H410" s="131">
        <v>4</v>
      </c>
      <c r="I410" s="85"/>
    </row>
    <row r="411" spans="1:9" ht="15.95" customHeight="1" x14ac:dyDescent="0.3">
      <c r="A411" s="131">
        <f t="shared" si="23"/>
        <v>12304</v>
      </c>
      <c r="B411" s="138" t="s">
        <v>122</v>
      </c>
      <c r="C411" s="138"/>
      <c r="D411" s="131"/>
      <c r="E411" s="15" t="s">
        <v>58</v>
      </c>
      <c r="F411" s="15">
        <v>3</v>
      </c>
      <c r="G411" s="15">
        <f t="shared" si="22"/>
        <v>2</v>
      </c>
      <c r="H411" s="131">
        <v>4</v>
      </c>
      <c r="I411" s="85"/>
    </row>
    <row r="412" spans="1:9" ht="15.95" customHeight="1" x14ac:dyDescent="0.3">
      <c r="A412" s="131">
        <f t="shared" si="23"/>
        <v>12312</v>
      </c>
      <c r="B412" s="138" t="s">
        <v>130</v>
      </c>
      <c r="C412" s="138"/>
      <c r="D412" s="131"/>
      <c r="E412" s="15" t="s">
        <v>58</v>
      </c>
      <c r="F412" s="15">
        <v>3</v>
      </c>
      <c r="G412" s="15">
        <f t="shared" si="22"/>
        <v>2</v>
      </c>
      <c r="H412" s="131">
        <v>4</v>
      </c>
      <c r="I412" s="85"/>
    </row>
    <row r="413" spans="1:9" ht="15.95" customHeight="1" x14ac:dyDescent="0.3">
      <c r="A413" s="131">
        <f t="shared" si="23"/>
        <v>12320</v>
      </c>
      <c r="B413" s="138" t="s">
        <v>60</v>
      </c>
      <c r="C413" s="138"/>
      <c r="D413" s="131"/>
      <c r="E413" s="15" t="s">
        <v>58</v>
      </c>
      <c r="F413" s="15">
        <v>3</v>
      </c>
      <c r="G413" s="15">
        <f t="shared" si="22"/>
        <v>2</v>
      </c>
      <c r="H413" s="131">
        <v>4</v>
      </c>
      <c r="I413" s="85"/>
    </row>
    <row r="414" spans="1:9" ht="15.95" customHeight="1" x14ac:dyDescent="0.3">
      <c r="A414" s="131">
        <f t="shared" si="23"/>
        <v>12328</v>
      </c>
      <c r="B414" s="138" t="s">
        <v>3</v>
      </c>
      <c r="C414" s="138"/>
      <c r="D414" s="131"/>
      <c r="E414" s="15" t="s">
        <v>58</v>
      </c>
      <c r="F414" s="15">
        <v>3</v>
      </c>
      <c r="G414" s="15">
        <f t="shared" si="22"/>
        <v>2</v>
      </c>
      <c r="H414" s="131">
        <v>4</v>
      </c>
      <c r="I414" s="85"/>
    </row>
    <row r="415" spans="1:9" ht="15.95" customHeight="1" x14ac:dyDescent="0.3">
      <c r="A415" s="131">
        <f t="shared" si="23"/>
        <v>12336</v>
      </c>
      <c r="B415" s="138" t="s">
        <v>4</v>
      </c>
      <c r="C415" s="138"/>
      <c r="D415" s="131"/>
      <c r="E415" s="15" t="s">
        <v>58</v>
      </c>
      <c r="F415" s="15">
        <v>3</v>
      </c>
      <c r="G415" s="15">
        <f>IF(OR(E415="U16", E415="S16"),1,IF(E415="TS",6,2))</f>
        <v>2</v>
      </c>
      <c r="H415" s="131">
        <v>4</v>
      </c>
      <c r="I415" s="85"/>
    </row>
    <row r="416" spans="1:9" ht="15.95" customHeight="1" x14ac:dyDescent="0.3">
      <c r="A416" s="131">
        <f t="shared" si="23"/>
        <v>12344</v>
      </c>
      <c r="B416" s="138" t="s">
        <v>61</v>
      </c>
      <c r="C416" s="138"/>
      <c r="D416" s="131"/>
      <c r="E416" s="15" t="s">
        <v>58</v>
      </c>
      <c r="F416" s="15">
        <v>3</v>
      </c>
      <c r="G416" s="15">
        <f>IF(OR(E416="U16", E416="S16"),1,IF(E416="TS",6,2))</f>
        <v>2</v>
      </c>
      <c r="H416" s="131">
        <v>4</v>
      </c>
      <c r="I416" s="85"/>
    </row>
    <row r="417" spans="1:9" ht="15.95" customHeight="1" x14ac:dyDescent="0.3">
      <c r="A417" s="131">
        <f t="shared" si="23"/>
        <v>12352</v>
      </c>
      <c r="B417" s="138" t="s">
        <v>62</v>
      </c>
      <c r="C417" s="138"/>
      <c r="D417" s="131"/>
      <c r="E417" s="15" t="s">
        <v>58</v>
      </c>
      <c r="F417" s="15">
        <v>3</v>
      </c>
      <c r="G417" s="15">
        <f>IF(OR(E417="U16", E417="S16"),1,IF(E417="TS",6,2))</f>
        <v>2</v>
      </c>
      <c r="H417" s="131">
        <v>4</v>
      </c>
      <c r="I417" s="85"/>
    </row>
    <row r="418" spans="1:9" ht="15.95" customHeight="1" x14ac:dyDescent="0.3">
      <c r="A418" s="131">
        <f t="shared" si="23"/>
        <v>12360</v>
      </c>
      <c r="B418" s="138" t="s">
        <v>63</v>
      </c>
      <c r="C418" s="138"/>
      <c r="D418" s="131"/>
      <c r="E418" s="15" t="s">
        <v>58</v>
      </c>
      <c r="F418" s="15">
        <v>3</v>
      </c>
      <c r="G418" s="15">
        <f>IF(OR(E418="U16", E418="S16"),1,IF(E418="TS",6,2))</f>
        <v>2</v>
      </c>
      <c r="H418" s="131">
        <v>4</v>
      </c>
      <c r="I418" s="85"/>
    </row>
    <row r="419" spans="1:9" ht="15.95" customHeight="1" x14ac:dyDescent="0.3">
      <c r="A419" s="131">
        <f t="shared" si="23"/>
        <v>12368</v>
      </c>
      <c r="B419" s="138" t="s">
        <v>64</v>
      </c>
      <c r="C419" s="138"/>
      <c r="D419" s="131"/>
      <c r="E419" s="15" t="s">
        <v>58</v>
      </c>
      <c r="F419" s="15">
        <v>3</v>
      </c>
      <c r="G419" s="15">
        <f t="shared" si="22"/>
        <v>2</v>
      </c>
      <c r="H419" s="131">
        <v>4</v>
      </c>
      <c r="I419" s="85"/>
    </row>
    <row r="420" spans="1:9" ht="15.95" customHeight="1" x14ac:dyDescent="0.3">
      <c r="A420" s="131">
        <f t="shared" si="23"/>
        <v>12376</v>
      </c>
      <c r="B420" s="138" t="s">
        <v>65</v>
      </c>
      <c r="C420" s="138"/>
      <c r="D420" s="131"/>
      <c r="E420" s="15" t="s">
        <v>58</v>
      </c>
      <c r="F420" s="15">
        <v>3</v>
      </c>
      <c r="G420" s="15">
        <f t="shared" si="22"/>
        <v>2</v>
      </c>
      <c r="H420" s="131">
        <v>4</v>
      </c>
      <c r="I420" s="85"/>
    </row>
    <row r="421" spans="1:9" ht="15.95" customHeight="1" x14ac:dyDescent="0.3">
      <c r="A421" s="131">
        <f t="shared" si="23"/>
        <v>12384</v>
      </c>
      <c r="B421" s="138" t="s">
        <v>66</v>
      </c>
      <c r="C421" s="138"/>
      <c r="D421" s="131"/>
      <c r="E421" s="15" t="s">
        <v>58</v>
      </c>
      <c r="F421" s="15">
        <v>3</v>
      </c>
      <c r="G421" s="15">
        <f t="shared" si="22"/>
        <v>2</v>
      </c>
      <c r="H421" s="131">
        <v>4</v>
      </c>
      <c r="I421" s="85"/>
    </row>
    <row r="422" spans="1:9" ht="15.95" customHeight="1" x14ac:dyDescent="0.3">
      <c r="A422" s="131">
        <f t="shared" si="23"/>
        <v>12392</v>
      </c>
      <c r="B422" s="138" t="s">
        <v>6</v>
      </c>
      <c r="C422" s="138"/>
      <c r="D422" s="131"/>
      <c r="E422" s="15" t="s">
        <v>58</v>
      </c>
      <c r="F422" s="15">
        <v>3</v>
      </c>
      <c r="G422" s="15">
        <f t="shared" si="22"/>
        <v>2</v>
      </c>
      <c r="H422" s="131">
        <v>4</v>
      </c>
      <c r="I422" s="85"/>
    </row>
    <row r="423" spans="1:9" ht="15.95" customHeight="1" x14ac:dyDescent="0.3">
      <c r="A423" s="131">
        <f t="shared" si="23"/>
        <v>12400</v>
      </c>
      <c r="B423" s="138" t="s">
        <v>7</v>
      </c>
      <c r="C423" s="138"/>
      <c r="D423" s="131"/>
      <c r="E423" s="15" t="s">
        <v>58</v>
      </c>
      <c r="F423" s="15">
        <v>3</v>
      </c>
      <c r="G423" s="15">
        <f t="shared" si="22"/>
        <v>2</v>
      </c>
      <c r="H423" s="131">
        <v>4</v>
      </c>
      <c r="I423" s="85"/>
    </row>
    <row r="424" spans="1:9" ht="15.95" customHeight="1" x14ac:dyDescent="0.3">
      <c r="A424" s="131">
        <f t="shared" si="23"/>
        <v>12408</v>
      </c>
      <c r="B424" s="138" t="s">
        <v>67</v>
      </c>
      <c r="C424" s="138"/>
      <c r="D424" s="131"/>
      <c r="E424" s="15" t="s">
        <v>58</v>
      </c>
      <c r="F424" s="15">
        <v>3</v>
      </c>
      <c r="G424" s="15">
        <f t="shared" si="22"/>
        <v>2</v>
      </c>
      <c r="H424" s="131">
        <v>4</v>
      </c>
      <c r="I424" s="85"/>
    </row>
    <row r="425" spans="1:9" ht="15.95" customHeight="1" x14ac:dyDescent="0.3">
      <c r="A425" s="131">
        <f t="shared" si="23"/>
        <v>12416</v>
      </c>
      <c r="B425" s="138" t="s">
        <v>135</v>
      </c>
      <c r="C425" s="138"/>
      <c r="D425" s="131"/>
      <c r="E425" s="15" t="s">
        <v>58</v>
      </c>
      <c r="F425" s="15">
        <v>3</v>
      </c>
      <c r="G425" s="15">
        <f t="shared" si="22"/>
        <v>2</v>
      </c>
      <c r="H425" s="131">
        <v>4</v>
      </c>
      <c r="I425" s="85"/>
    </row>
    <row r="426" spans="1:9" ht="15.95" customHeight="1" x14ac:dyDescent="0.3">
      <c r="A426" s="131">
        <f t="shared" si="23"/>
        <v>12424</v>
      </c>
      <c r="B426" s="138" t="s">
        <v>136</v>
      </c>
      <c r="C426" s="138"/>
      <c r="D426" s="131"/>
      <c r="E426" s="15" t="s">
        <v>58</v>
      </c>
      <c r="F426" s="15">
        <v>3</v>
      </c>
      <c r="G426" s="15">
        <f t="shared" si="22"/>
        <v>2</v>
      </c>
      <c r="H426" s="131">
        <v>4</v>
      </c>
      <c r="I426" s="85"/>
    </row>
    <row r="427" spans="1:9" ht="15.95" customHeight="1" x14ac:dyDescent="0.3">
      <c r="A427" s="131">
        <f t="shared" si="23"/>
        <v>12432</v>
      </c>
      <c r="B427" s="138" t="s">
        <v>137</v>
      </c>
      <c r="C427" s="138"/>
      <c r="D427" s="131"/>
      <c r="E427" s="15" t="s">
        <v>58</v>
      </c>
      <c r="F427" s="15">
        <v>3</v>
      </c>
      <c r="G427" s="15">
        <f t="shared" si="22"/>
        <v>2</v>
      </c>
      <c r="H427" s="131">
        <v>4</v>
      </c>
      <c r="I427" s="85"/>
    </row>
    <row r="428" spans="1:9" ht="15.95" customHeight="1" x14ac:dyDescent="0.3">
      <c r="A428" s="131">
        <f t="shared" si="23"/>
        <v>12440</v>
      </c>
      <c r="B428" s="138" t="s">
        <v>81</v>
      </c>
      <c r="C428" s="138"/>
      <c r="D428" s="131"/>
      <c r="E428" s="15" t="s">
        <v>58</v>
      </c>
      <c r="F428" s="15">
        <v>3</v>
      </c>
      <c r="G428" s="15">
        <f t="shared" si="22"/>
        <v>2</v>
      </c>
      <c r="H428" s="131">
        <v>4</v>
      </c>
      <c r="I428" s="85"/>
    </row>
    <row r="429" spans="1:9" ht="15.95" customHeight="1" x14ac:dyDescent="0.3">
      <c r="A429" s="131">
        <f t="shared" si="23"/>
        <v>12448</v>
      </c>
      <c r="B429" s="138" t="s">
        <v>236</v>
      </c>
      <c r="C429" s="138"/>
      <c r="D429" s="131"/>
      <c r="E429" s="15" t="s">
        <v>58</v>
      </c>
      <c r="F429" s="15">
        <v>3</v>
      </c>
      <c r="G429" s="15">
        <f t="shared" si="22"/>
        <v>2</v>
      </c>
      <c r="H429" s="131">
        <v>4</v>
      </c>
      <c r="I429" s="85"/>
    </row>
    <row r="430" spans="1:9" ht="15.95" customHeight="1" x14ac:dyDescent="0.3">
      <c r="A430" s="131">
        <f t="shared" si="23"/>
        <v>12456</v>
      </c>
      <c r="B430" s="138" t="s">
        <v>237</v>
      </c>
      <c r="C430" s="138"/>
      <c r="D430" s="131"/>
      <c r="E430" s="15" t="s">
        <v>58</v>
      </c>
      <c r="F430" s="15">
        <v>3</v>
      </c>
      <c r="G430" s="15">
        <f t="shared" si="22"/>
        <v>2</v>
      </c>
      <c r="H430" s="131">
        <v>4</v>
      </c>
      <c r="I430" s="85"/>
    </row>
    <row r="431" spans="1:9" ht="15.95" customHeight="1" x14ac:dyDescent="0.3">
      <c r="A431" s="131">
        <f t="shared" si="23"/>
        <v>12464</v>
      </c>
      <c r="B431" s="138" t="s">
        <v>238</v>
      </c>
      <c r="C431" s="138"/>
      <c r="D431" s="131"/>
      <c r="E431" s="15" t="s">
        <v>58</v>
      </c>
      <c r="F431" s="15">
        <v>3</v>
      </c>
      <c r="G431" s="15">
        <f t="shared" si="22"/>
        <v>2</v>
      </c>
      <c r="H431" s="131">
        <v>4</v>
      </c>
      <c r="I431" s="85"/>
    </row>
    <row r="432" spans="1:9" ht="15.95" customHeight="1" x14ac:dyDescent="0.3">
      <c r="A432" s="131">
        <f t="shared" si="23"/>
        <v>12472</v>
      </c>
      <c r="B432" s="138" t="s">
        <v>239</v>
      </c>
      <c r="C432" s="138"/>
      <c r="D432" s="131"/>
      <c r="E432" s="15" t="s">
        <v>58</v>
      </c>
      <c r="F432" s="15">
        <v>3</v>
      </c>
      <c r="G432" s="15">
        <f t="shared" si="22"/>
        <v>2</v>
      </c>
      <c r="H432" s="131">
        <v>4</v>
      </c>
      <c r="I432" s="85"/>
    </row>
    <row r="433" spans="1:9" ht="15.95" customHeight="1" x14ac:dyDescent="0.3">
      <c r="A433" s="131">
        <f t="shared" si="23"/>
        <v>12480</v>
      </c>
      <c r="B433" s="138" t="s">
        <v>240</v>
      </c>
      <c r="C433" s="138"/>
      <c r="D433" s="131"/>
      <c r="E433" s="15" t="s">
        <v>58</v>
      </c>
      <c r="F433" s="15">
        <v>3</v>
      </c>
      <c r="G433" s="15">
        <f t="shared" si="22"/>
        <v>2</v>
      </c>
      <c r="H433" s="131">
        <v>4</v>
      </c>
      <c r="I433" s="85"/>
    </row>
    <row r="434" spans="1:9" ht="15.95" customHeight="1" x14ac:dyDescent="0.3">
      <c r="A434" s="131">
        <f t="shared" si="23"/>
        <v>12488</v>
      </c>
      <c r="B434" s="138" t="s">
        <v>241</v>
      </c>
      <c r="C434" s="138"/>
      <c r="D434" s="131"/>
      <c r="E434" s="15" t="s">
        <v>58</v>
      </c>
      <c r="F434" s="15">
        <v>3</v>
      </c>
      <c r="G434" s="15">
        <f t="shared" si="22"/>
        <v>2</v>
      </c>
      <c r="H434" s="131">
        <v>4</v>
      </c>
      <c r="I434" s="85"/>
    </row>
    <row r="435" spans="1:9" ht="15.95" customHeight="1" x14ac:dyDescent="0.3">
      <c r="A435" s="131">
        <f t="shared" si="23"/>
        <v>12496</v>
      </c>
      <c r="B435" s="138" t="s">
        <v>242</v>
      </c>
      <c r="C435" s="138"/>
      <c r="D435" s="131"/>
      <c r="E435" s="15" t="s">
        <v>58</v>
      </c>
      <c r="F435" s="15">
        <v>3</v>
      </c>
      <c r="G435" s="15">
        <f t="shared" si="22"/>
        <v>2</v>
      </c>
      <c r="H435" s="131">
        <v>4</v>
      </c>
      <c r="I435" s="85"/>
    </row>
    <row r="436" spans="1:9" ht="15.95" customHeight="1" x14ac:dyDescent="0.3">
      <c r="A436" s="131">
        <f t="shared" si="23"/>
        <v>12504</v>
      </c>
      <c r="B436" s="138" t="s">
        <v>25</v>
      </c>
      <c r="C436" s="138"/>
      <c r="D436" s="131"/>
      <c r="E436" s="15" t="s">
        <v>58</v>
      </c>
      <c r="F436" s="15">
        <v>3</v>
      </c>
      <c r="G436" s="15">
        <f t="shared" si="22"/>
        <v>2</v>
      </c>
      <c r="H436" s="131">
        <v>4</v>
      </c>
      <c r="I436" s="85"/>
    </row>
    <row r="437" spans="1:9" ht="15.95" customHeight="1" x14ac:dyDescent="0.3">
      <c r="A437" s="131">
        <f t="shared" si="23"/>
        <v>12512</v>
      </c>
      <c r="B437" s="138" t="s">
        <v>26</v>
      </c>
      <c r="C437" s="138"/>
      <c r="D437" s="131"/>
      <c r="E437" s="15" t="s">
        <v>58</v>
      </c>
      <c r="F437" s="15">
        <v>3</v>
      </c>
      <c r="G437" s="15">
        <f>IF(OR(E437="U16", E437="S16"),1,IF(E437="TS",6,2))</f>
        <v>2</v>
      </c>
      <c r="H437" s="131">
        <v>4</v>
      </c>
      <c r="I437" s="85"/>
    </row>
    <row r="438" spans="1:9" ht="15.95" customHeight="1" x14ac:dyDescent="0.3">
      <c r="A438" s="131">
        <f t="shared" si="23"/>
        <v>12520</v>
      </c>
      <c r="B438" s="138" t="s">
        <v>401</v>
      </c>
      <c r="C438" s="138"/>
      <c r="D438" s="131"/>
      <c r="E438" s="15" t="s">
        <v>258</v>
      </c>
      <c r="F438" s="15">
        <v>3</v>
      </c>
      <c r="G438" s="15">
        <f>IF(OR(E438="U16", E438="S16"),1,IF(E438="TS",6,2))</f>
        <v>2</v>
      </c>
      <c r="H438" s="131">
        <v>1</v>
      </c>
      <c r="I438" s="85"/>
    </row>
    <row r="439" spans="1:9" ht="15.95" customHeight="1" x14ac:dyDescent="0.3">
      <c r="A439" s="131">
        <f t="shared" si="23"/>
        <v>12522</v>
      </c>
      <c r="B439" s="138" t="s">
        <v>195</v>
      </c>
      <c r="C439" s="138"/>
      <c r="D439" s="131"/>
      <c r="E439" s="15" t="s">
        <v>123</v>
      </c>
      <c r="F439" s="15">
        <v>3</v>
      </c>
      <c r="G439" s="15">
        <f t="shared" si="22"/>
        <v>1</v>
      </c>
      <c r="H439" s="131">
        <v>1</v>
      </c>
      <c r="I439" s="85"/>
    </row>
    <row r="440" spans="1:9" ht="15.95" customHeight="1" x14ac:dyDescent="0.3">
      <c r="A440" s="131">
        <f t="shared" si="23"/>
        <v>12523</v>
      </c>
      <c r="B440" s="138" t="s">
        <v>397</v>
      </c>
      <c r="C440" s="138"/>
      <c r="D440" s="131"/>
      <c r="E440" s="15" t="s">
        <v>123</v>
      </c>
      <c r="F440" s="15">
        <v>3</v>
      </c>
      <c r="G440" s="15">
        <f>IF(OR(E440="U16", E440="S16"),1,IF(E440="TS",6,2))</f>
        <v>1</v>
      </c>
      <c r="H440" s="131">
        <v>1</v>
      </c>
      <c r="I440" s="85"/>
    </row>
    <row r="441" spans="1:9" ht="15.95" customHeight="1" x14ac:dyDescent="0.3">
      <c r="A441" s="131">
        <f t="shared" si="23"/>
        <v>12524</v>
      </c>
      <c r="B441" s="138"/>
      <c r="C441" s="138"/>
      <c r="D441" s="131"/>
      <c r="E441" s="15" t="s">
        <v>123</v>
      </c>
      <c r="F441" s="15">
        <v>3</v>
      </c>
      <c r="G441" s="15">
        <f>IF(OR(E441="U16", E441="S16"),1,IF(E441="TS",6,2))</f>
        <v>1</v>
      </c>
      <c r="H441" s="131">
        <v>6</v>
      </c>
      <c r="I441" s="85"/>
    </row>
    <row r="442" spans="1:9" ht="15.95" customHeight="1" x14ac:dyDescent="0.3">
      <c r="A442" s="162" t="s">
        <v>437</v>
      </c>
      <c r="B442" s="162"/>
      <c r="C442" s="162"/>
      <c r="D442" s="162"/>
      <c r="E442" s="162"/>
      <c r="F442" s="162"/>
      <c r="G442" s="162"/>
      <c r="H442" s="162"/>
      <c r="I442" s="88"/>
    </row>
    <row r="443" spans="1:9" ht="15.95" customHeight="1" x14ac:dyDescent="0.3">
      <c r="A443" s="131">
        <f>A441+(G441*H441)</f>
        <v>12530</v>
      </c>
      <c r="B443" s="138" t="s">
        <v>399</v>
      </c>
      <c r="C443" s="138"/>
      <c r="D443" s="131"/>
      <c r="E443" s="15" t="s">
        <v>123</v>
      </c>
      <c r="F443" s="15">
        <v>3</v>
      </c>
      <c r="G443" s="15">
        <f t="shared" ref="G443:G482" si="24">IF(OR(E443="U16", E443="S16"),1,IF(E443="TS",6,2))</f>
        <v>1</v>
      </c>
      <c r="H443" s="131">
        <v>1</v>
      </c>
      <c r="I443" s="85"/>
    </row>
    <row r="444" spans="1:9" ht="15.95" customHeight="1" x14ac:dyDescent="0.3">
      <c r="A444" s="131">
        <f t="shared" ref="A444:A484" si="25">A443+(G443*H443)</f>
        <v>12531</v>
      </c>
      <c r="B444" s="138" t="s">
        <v>400</v>
      </c>
      <c r="C444" s="138"/>
      <c r="D444" s="131"/>
      <c r="E444" s="15" t="s">
        <v>123</v>
      </c>
      <c r="F444" s="15">
        <v>3</v>
      </c>
      <c r="G444" s="15">
        <f t="shared" si="24"/>
        <v>1</v>
      </c>
      <c r="H444" s="131">
        <v>1</v>
      </c>
      <c r="I444" s="85"/>
    </row>
    <row r="445" spans="1:9" ht="15.95" customHeight="1" thickBot="1" x14ac:dyDescent="0.35">
      <c r="A445" s="132">
        <f t="shared" si="25"/>
        <v>12532</v>
      </c>
      <c r="B445" s="110" t="s">
        <v>795</v>
      </c>
      <c r="C445" s="110"/>
      <c r="D445" s="132"/>
      <c r="E445" s="17" t="s">
        <v>258</v>
      </c>
      <c r="F445" s="17">
        <v>3</v>
      </c>
      <c r="G445" s="17">
        <f t="shared" si="24"/>
        <v>2</v>
      </c>
      <c r="H445" s="132">
        <v>1</v>
      </c>
      <c r="I445" s="85"/>
    </row>
    <row r="446" spans="1:9" ht="15.95" customHeight="1" x14ac:dyDescent="0.3">
      <c r="A446" s="34">
        <f t="shared" si="25"/>
        <v>12534</v>
      </c>
      <c r="B446" s="188" t="s">
        <v>796</v>
      </c>
      <c r="C446" s="134" t="s">
        <v>797</v>
      </c>
      <c r="D446" s="35"/>
      <c r="E446" s="35" t="s">
        <v>123</v>
      </c>
      <c r="F446" s="35">
        <v>3</v>
      </c>
      <c r="G446" s="35">
        <f t="shared" si="24"/>
        <v>1</v>
      </c>
      <c r="H446" s="36">
        <v>1</v>
      </c>
      <c r="I446" s="92"/>
    </row>
    <row r="447" spans="1:9" ht="15.95" customHeight="1" x14ac:dyDescent="0.3">
      <c r="A447" s="63">
        <f t="shared" si="25"/>
        <v>12535</v>
      </c>
      <c r="B447" s="189"/>
      <c r="C447" s="135" t="s">
        <v>798</v>
      </c>
      <c r="D447" s="137"/>
      <c r="E447" s="137" t="s">
        <v>123</v>
      </c>
      <c r="F447" s="137">
        <v>3</v>
      </c>
      <c r="G447" s="137">
        <f t="shared" si="24"/>
        <v>1</v>
      </c>
      <c r="H447" s="65">
        <v>1</v>
      </c>
      <c r="I447" s="92"/>
    </row>
    <row r="448" spans="1:9" ht="15.95" customHeight="1" x14ac:dyDescent="0.3">
      <c r="A448" s="63">
        <f t="shared" si="25"/>
        <v>12536</v>
      </c>
      <c r="B448" s="189"/>
      <c r="C448" s="135" t="s">
        <v>799</v>
      </c>
      <c r="D448" s="137"/>
      <c r="E448" s="137" t="s">
        <v>58</v>
      </c>
      <c r="F448" s="137">
        <v>3</v>
      </c>
      <c r="G448" s="137">
        <f t="shared" si="24"/>
        <v>2</v>
      </c>
      <c r="H448" s="65">
        <v>1</v>
      </c>
      <c r="I448" s="92"/>
    </row>
    <row r="449" spans="1:9" ht="15.95" customHeight="1" x14ac:dyDescent="0.3">
      <c r="A449" s="63">
        <f t="shared" si="25"/>
        <v>12538</v>
      </c>
      <c r="B449" s="189"/>
      <c r="C449" s="135" t="s">
        <v>800</v>
      </c>
      <c r="D449" s="137"/>
      <c r="E449" s="137" t="s">
        <v>123</v>
      </c>
      <c r="F449" s="137">
        <v>3</v>
      </c>
      <c r="G449" s="137">
        <f t="shared" si="24"/>
        <v>1</v>
      </c>
      <c r="H449" s="65">
        <v>1</v>
      </c>
      <c r="I449" s="92"/>
    </row>
    <row r="450" spans="1:9" ht="15.95" customHeight="1" thickBot="1" x14ac:dyDescent="0.35">
      <c r="A450" s="37">
        <f t="shared" si="25"/>
        <v>12539</v>
      </c>
      <c r="B450" s="190"/>
      <c r="C450" s="136" t="s">
        <v>801</v>
      </c>
      <c r="D450" s="38"/>
      <c r="E450" s="38" t="s">
        <v>123</v>
      </c>
      <c r="F450" s="38">
        <v>3</v>
      </c>
      <c r="G450" s="38">
        <f t="shared" si="24"/>
        <v>1</v>
      </c>
      <c r="H450" s="39">
        <v>1</v>
      </c>
      <c r="I450" s="92"/>
    </row>
    <row r="451" spans="1:9" ht="15.95" customHeight="1" x14ac:dyDescent="0.3">
      <c r="A451" s="133">
        <f t="shared" si="25"/>
        <v>12540</v>
      </c>
      <c r="B451" s="111" t="s">
        <v>802</v>
      </c>
      <c r="C451" s="111"/>
      <c r="D451" s="133"/>
      <c r="E451" s="32" t="s">
        <v>123</v>
      </c>
      <c r="F451" s="32">
        <v>3</v>
      </c>
      <c r="G451" s="32">
        <f t="shared" si="24"/>
        <v>1</v>
      </c>
      <c r="H451" s="133">
        <v>6</v>
      </c>
      <c r="I451" s="85"/>
    </row>
    <row r="452" spans="1:9" ht="15.95" customHeight="1" x14ac:dyDescent="0.3">
      <c r="A452" s="131">
        <f t="shared" si="25"/>
        <v>12546</v>
      </c>
      <c r="B452" s="138" t="s">
        <v>803</v>
      </c>
      <c r="C452" s="138"/>
      <c r="D452" s="131"/>
      <c r="E452" s="15" t="s">
        <v>123</v>
      </c>
      <c r="F452" s="15">
        <v>3</v>
      </c>
      <c r="G452" s="15">
        <f t="shared" si="24"/>
        <v>1</v>
      </c>
      <c r="H452" s="131">
        <v>6</v>
      </c>
      <c r="I452" s="85"/>
    </row>
    <row r="453" spans="1:9" ht="15.95" customHeight="1" x14ac:dyDescent="0.3">
      <c r="A453" s="131">
        <f t="shared" si="25"/>
        <v>12552</v>
      </c>
      <c r="B453" s="138" t="s">
        <v>804</v>
      </c>
      <c r="C453" s="138"/>
      <c r="D453" s="131"/>
      <c r="E453" s="15" t="s">
        <v>123</v>
      </c>
      <c r="F453" s="15">
        <v>3</v>
      </c>
      <c r="G453" s="15">
        <f t="shared" si="24"/>
        <v>1</v>
      </c>
      <c r="H453" s="131">
        <v>6</v>
      </c>
      <c r="I453" s="85"/>
    </row>
    <row r="454" spans="1:9" ht="15.95" customHeight="1" x14ac:dyDescent="0.3">
      <c r="A454" s="131">
        <f t="shared" si="25"/>
        <v>12558</v>
      </c>
      <c r="B454" s="138" t="s">
        <v>805</v>
      </c>
      <c r="C454" s="138"/>
      <c r="D454" s="131"/>
      <c r="E454" s="15" t="s">
        <v>123</v>
      </c>
      <c r="F454" s="15">
        <v>3</v>
      </c>
      <c r="G454" s="15">
        <f t="shared" si="24"/>
        <v>1</v>
      </c>
      <c r="H454" s="131">
        <v>6</v>
      </c>
      <c r="I454" s="85"/>
    </row>
    <row r="455" spans="1:9" ht="15.95" customHeight="1" x14ac:dyDescent="0.3">
      <c r="A455" s="131">
        <f t="shared" si="25"/>
        <v>12564</v>
      </c>
      <c r="B455" s="138" t="s">
        <v>806</v>
      </c>
      <c r="C455" s="138"/>
      <c r="D455" s="131"/>
      <c r="E455" s="15" t="s">
        <v>123</v>
      </c>
      <c r="F455" s="15">
        <v>3</v>
      </c>
      <c r="G455" s="15">
        <f t="shared" si="24"/>
        <v>1</v>
      </c>
      <c r="H455" s="131">
        <v>6</v>
      </c>
      <c r="I455" s="85"/>
    </row>
    <row r="456" spans="1:9" ht="15.95" customHeight="1" x14ac:dyDescent="0.3">
      <c r="A456" s="131">
        <f t="shared" si="25"/>
        <v>12570</v>
      </c>
      <c r="B456" s="138" t="s">
        <v>807</v>
      </c>
      <c r="C456" s="138"/>
      <c r="D456" s="131"/>
      <c r="E456" s="15" t="s">
        <v>123</v>
      </c>
      <c r="F456" s="15">
        <v>3</v>
      </c>
      <c r="G456" s="15">
        <f t="shared" si="24"/>
        <v>1</v>
      </c>
      <c r="H456" s="131">
        <v>6</v>
      </c>
      <c r="I456" s="85"/>
    </row>
    <row r="457" spans="1:9" ht="15.95" customHeight="1" x14ac:dyDescent="0.3">
      <c r="A457" s="131">
        <f t="shared" si="25"/>
        <v>12576</v>
      </c>
      <c r="B457" s="138" t="s">
        <v>808</v>
      </c>
      <c r="C457" s="138"/>
      <c r="D457" s="131"/>
      <c r="E457" s="15" t="s">
        <v>123</v>
      </c>
      <c r="F457" s="15">
        <v>3</v>
      </c>
      <c r="G457" s="15">
        <f t="shared" si="24"/>
        <v>1</v>
      </c>
      <c r="H457" s="131">
        <v>6</v>
      </c>
      <c r="I457" s="85"/>
    </row>
    <row r="458" spans="1:9" ht="15.95" customHeight="1" x14ac:dyDescent="0.3">
      <c r="A458" s="131">
        <f t="shared" si="25"/>
        <v>12582</v>
      </c>
      <c r="B458" s="138" t="s">
        <v>809</v>
      </c>
      <c r="C458" s="138"/>
      <c r="D458" s="131"/>
      <c r="E458" s="15" t="s">
        <v>123</v>
      </c>
      <c r="F458" s="15">
        <v>3</v>
      </c>
      <c r="G458" s="15">
        <f t="shared" si="24"/>
        <v>1</v>
      </c>
      <c r="H458" s="131">
        <v>6</v>
      </c>
      <c r="I458" s="85"/>
    </row>
    <row r="459" spans="1:9" ht="15.95" customHeight="1" x14ac:dyDescent="0.3">
      <c r="A459" s="131">
        <f t="shared" si="25"/>
        <v>12588</v>
      </c>
      <c r="B459" s="138" t="s">
        <v>810</v>
      </c>
      <c r="C459" s="138"/>
      <c r="D459" s="131"/>
      <c r="E459" s="15" t="s">
        <v>123</v>
      </c>
      <c r="F459" s="15">
        <v>3</v>
      </c>
      <c r="G459" s="15">
        <f t="shared" si="24"/>
        <v>1</v>
      </c>
      <c r="H459" s="131">
        <v>6</v>
      </c>
      <c r="I459" s="85"/>
    </row>
    <row r="460" spans="1:9" ht="15.95" customHeight="1" x14ac:dyDescent="0.3">
      <c r="A460" s="131">
        <f t="shared" si="25"/>
        <v>12594</v>
      </c>
      <c r="B460" s="138" t="s">
        <v>811</v>
      </c>
      <c r="C460" s="138"/>
      <c r="D460" s="131"/>
      <c r="E460" s="15" t="s">
        <v>123</v>
      </c>
      <c r="F460" s="15">
        <v>3</v>
      </c>
      <c r="G460" s="15">
        <f t="shared" si="24"/>
        <v>1</v>
      </c>
      <c r="H460" s="131">
        <v>6</v>
      </c>
      <c r="I460" s="85"/>
    </row>
    <row r="461" spans="1:9" ht="15.95" customHeight="1" x14ac:dyDescent="0.3">
      <c r="A461" s="131">
        <f t="shared" si="25"/>
        <v>12600</v>
      </c>
      <c r="B461" s="138" t="s">
        <v>812</v>
      </c>
      <c r="C461" s="138"/>
      <c r="D461" s="131"/>
      <c r="E461" s="15" t="s">
        <v>123</v>
      </c>
      <c r="F461" s="15">
        <v>3</v>
      </c>
      <c r="G461" s="15">
        <f t="shared" si="24"/>
        <v>1</v>
      </c>
      <c r="H461" s="131">
        <v>6</v>
      </c>
      <c r="I461" s="85"/>
    </row>
    <row r="462" spans="1:9" ht="15.95" customHeight="1" x14ac:dyDescent="0.3">
      <c r="A462" s="131">
        <f t="shared" si="25"/>
        <v>12606</v>
      </c>
      <c r="B462" s="138" t="s">
        <v>813</v>
      </c>
      <c r="C462" s="138"/>
      <c r="D462" s="131"/>
      <c r="E462" s="15" t="s">
        <v>123</v>
      </c>
      <c r="F462" s="15">
        <v>3</v>
      </c>
      <c r="G462" s="15">
        <f t="shared" si="24"/>
        <v>1</v>
      </c>
      <c r="H462" s="131">
        <v>6</v>
      </c>
      <c r="I462" s="85"/>
    </row>
    <row r="463" spans="1:9" ht="15.95" customHeight="1" x14ac:dyDescent="0.3">
      <c r="A463" s="131">
        <f t="shared" si="25"/>
        <v>12612</v>
      </c>
      <c r="B463" s="138" t="s">
        <v>814</v>
      </c>
      <c r="C463" s="138"/>
      <c r="D463" s="131"/>
      <c r="E463" s="15" t="s">
        <v>123</v>
      </c>
      <c r="F463" s="15">
        <v>3</v>
      </c>
      <c r="G463" s="15">
        <f t="shared" si="24"/>
        <v>1</v>
      </c>
      <c r="H463" s="131">
        <v>6</v>
      </c>
      <c r="I463" s="85"/>
    </row>
    <row r="464" spans="1:9" ht="15.95" customHeight="1" x14ac:dyDescent="0.3">
      <c r="A464" s="131">
        <f t="shared" si="25"/>
        <v>12618</v>
      </c>
      <c r="B464" s="138" t="s">
        <v>815</v>
      </c>
      <c r="C464" s="138"/>
      <c r="D464" s="131"/>
      <c r="E464" s="15" t="s">
        <v>123</v>
      </c>
      <c r="F464" s="15">
        <v>3</v>
      </c>
      <c r="G464" s="15">
        <f t="shared" si="24"/>
        <v>1</v>
      </c>
      <c r="H464" s="131">
        <v>6</v>
      </c>
      <c r="I464" s="85"/>
    </row>
    <row r="465" spans="1:9" ht="15.95" customHeight="1" x14ac:dyDescent="0.3">
      <c r="A465" s="131">
        <f t="shared" si="25"/>
        <v>12624</v>
      </c>
      <c r="B465" s="138" t="s">
        <v>816</v>
      </c>
      <c r="C465" s="138"/>
      <c r="D465" s="131"/>
      <c r="E465" s="15" t="s">
        <v>123</v>
      </c>
      <c r="F465" s="15">
        <v>3</v>
      </c>
      <c r="G465" s="15">
        <f t="shared" si="24"/>
        <v>1</v>
      </c>
      <c r="H465" s="131">
        <v>6</v>
      </c>
      <c r="I465" s="85"/>
    </row>
    <row r="466" spans="1:9" ht="15.95" customHeight="1" x14ac:dyDescent="0.3">
      <c r="A466" s="131">
        <f t="shared" si="25"/>
        <v>12630</v>
      </c>
      <c r="B466" s="138" t="s">
        <v>817</v>
      </c>
      <c r="C466" s="138"/>
      <c r="D466" s="131"/>
      <c r="E466" s="15" t="s">
        <v>123</v>
      </c>
      <c r="F466" s="15">
        <v>3</v>
      </c>
      <c r="G466" s="15">
        <f t="shared" si="24"/>
        <v>1</v>
      </c>
      <c r="H466" s="131">
        <v>6</v>
      </c>
      <c r="I466" s="85"/>
    </row>
    <row r="467" spans="1:9" ht="15.95" customHeight="1" x14ac:dyDescent="0.3">
      <c r="A467" s="131">
        <f t="shared" si="25"/>
        <v>12636</v>
      </c>
      <c r="B467" s="138" t="s">
        <v>818</v>
      </c>
      <c r="C467" s="138"/>
      <c r="D467" s="131"/>
      <c r="E467" s="15" t="s">
        <v>123</v>
      </c>
      <c r="F467" s="15">
        <v>3</v>
      </c>
      <c r="G467" s="15">
        <f t="shared" si="24"/>
        <v>1</v>
      </c>
      <c r="H467" s="131">
        <v>6</v>
      </c>
      <c r="I467" s="85"/>
    </row>
    <row r="468" spans="1:9" ht="15.95" customHeight="1" x14ac:dyDescent="0.3">
      <c r="A468" s="131">
        <f t="shared" si="25"/>
        <v>12642</v>
      </c>
      <c r="B468" s="138" t="s">
        <v>819</v>
      </c>
      <c r="C468" s="138"/>
      <c r="D468" s="131"/>
      <c r="E468" s="15" t="s">
        <v>123</v>
      </c>
      <c r="F468" s="15">
        <v>3</v>
      </c>
      <c r="G468" s="15">
        <f t="shared" si="24"/>
        <v>1</v>
      </c>
      <c r="H468" s="131">
        <v>6</v>
      </c>
      <c r="I468" s="85"/>
    </row>
    <row r="469" spans="1:9" ht="15.95" customHeight="1" x14ac:dyDescent="0.3">
      <c r="A469" s="131">
        <f t="shared" si="25"/>
        <v>12648</v>
      </c>
      <c r="B469" s="138" t="s">
        <v>820</v>
      </c>
      <c r="C469" s="138"/>
      <c r="D469" s="131"/>
      <c r="E469" s="15" t="s">
        <v>123</v>
      </c>
      <c r="F469" s="15">
        <v>3</v>
      </c>
      <c r="G469" s="15">
        <f t="shared" si="24"/>
        <v>1</v>
      </c>
      <c r="H469" s="131">
        <v>6</v>
      </c>
      <c r="I469" s="85"/>
    </row>
    <row r="470" spans="1:9" ht="15.95" customHeight="1" x14ac:dyDescent="0.3">
      <c r="A470" s="131">
        <f t="shared" si="25"/>
        <v>12654</v>
      </c>
      <c r="B470" s="138" t="s">
        <v>821</v>
      </c>
      <c r="C470" s="138"/>
      <c r="D470" s="131"/>
      <c r="E470" s="15" t="s">
        <v>123</v>
      </c>
      <c r="F470" s="15">
        <v>3</v>
      </c>
      <c r="G470" s="15">
        <f t="shared" si="24"/>
        <v>1</v>
      </c>
      <c r="H470" s="131">
        <v>6</v>
      </c>
      <c r="I470" s="85"/>
    </row>
    <row r="471" spans="1:9" ht="15.95" customHeight="1" x14ac:dyDescent="0.3">
      <c r="A471" s="131">
        <f t="shared" si="25"/>
        <v>12660</v>
      </c>
      <c r="B471" s="138" t="s">
        <v>822</v>
      </c>
      <c r="C471" s="138"/>
      <c r="D471" s="131"/>
      <c r="E471" s="15" t="s">
        <v>123</v>
      </c>
      <c r="F471" s="15">
        <v>3</v>
      </c>
      <c r="G471" s="15">
        <f t="shared" si="24"/>
        <v>1</v>
      </c>
      <c r="H471" s="131">
        <v>6</v>
      </c>
      <c r="I471" s="85"/>
    </row>
    <row r="472" spans="1:9" ht="15.95" customHeight="1" x14ac:dyDescent="0.3">
      <c r="A472" s="131">
        <f t="shared" si="25"/>
        <v>12666</v>
      </c>
      <c r="B472" s="138" t="s">
        <v>823</v>
      </c>
      <c r="C472" s="138"/>
      <c r="D472" s="131"/>
      <c r="E472" s="15" t="s">
        <v>123</v>
      </c>
      <c r="F472" s="15">
        <v>3</v>
      </c>
      <c r="G472" s="15">
        <f t="shared" si="24"/>
        <v>1</v>
      </c>
      <c r="H472" s="131">
        <v>6</v>
      </c>
      <c r="I472" s="85"/>
    </row>
    <row r="473" spans="1:9" ht="15.95" customHeight="1" x14ac:dyDescent="0.3">
      <c r="A473" s="131">
        <f t="shared" si="25"/>
        <v>12672</v>
      </c>
      <c r="B473" s="138" t="s">
        <v>824</v>
      </c>
      <c r="C473" s="138"/>
      <c r="D473" s="131"/>
      <c r="E473" s="15" t="s">
        <v>123</v>
      </c>
      <c r="F473" s="15">
        <v>3</v>
      </c>
      <c r="G473" s="15">
        <f t="shared" si="24"/>
        <v>1</v>
      </c>
      <c r="H473" s="131">
        <v>6</v>
      </c>
      <c r="I473" s="85"/>
    </row>
    <row r="474" spans="1:9" ht="15.95" customHeight="1" x14ac:dyDescent="0.3">
      <c r="A474" s="131">
        <f t="shared" si="25"/>
        <v>12678</v>
      </c>
      <c r="B474" s="138" t="s">
        <v>825</v>
      </c>
      <c r="C474" s="138"/>
      <c r="D474" s="131"/>
      <c r="E474" s="15" t="s">
        <v>123</v>
      </c>
      <c r="F474" s="15">
        <v>3</v>
      </c>
      <c r="G474" s="15">
        <f t="shared" si="24"/>
        <v>1</v>
      </c>
      <c r="H474" s="131">
        <v>6</v>
      </c>
      <c r="I474" s="85"/>
    </row>
    <row r="475" spans="1:9" ht="15.95" customHeight="1" x14ac:dyDescent="0.3">
      <c r="A475" s="131">
        <f t="shared" si="25"/>
        <v>12684</v>
      </c>
      <c r="B475" s="138" t="s">
        <v>826</v>
      </c>
      <c r="C475" s="138"/>
      <c r="D475" s="131"/>
      <c r="E475" s="15" t="s">
        <v>123</v>
      </c>
      <c r="F475" s="15">
        <v>3</v>
      </c>
      <c r="G475" s="15">
        <f t="shared" si="24"/>
        <v>1</v>
      </c>
      <c r="H475" s="131">
        <v>6</v>
      </c>
      <c r="I475" s="85"/>
    </row>
    <row r="476" spans="1:9" ht="15.95" customHeight="1" x14ac:dyDescent="0.3">
      <c r="A476" s="131">
        <f t="shared" si="25"/>
        <v>12690</v>
      </c>
      <c r="B476" s="138" t="s">
        <v>827</v>
      </c>
      <c r="C476" s="138"/>
      <c r="D476" s="131"/>
      <c r="E476" s="15" t="s">
        <v>123</v>
      </c>
      <c r="F476" s="15">
        <v>3</v>
      </c>
      <c r="G476" s="15">
        <f t="shared" si="24"/>
        <v>1</v>
      </c>
      <c r="H476" s="131">
        <v>6</v>
      </c>
      <c r="I476" s="85"/>
    </row>
    <row r="477" spans="1:9" ht="15.95" customHeight="1" x14ac:dyDescent="0.3">
      <c r="A477" s="131">
        <f t="shared" si="25"/>
        <v>12696</v>
      </c>
      <c r="B477" s="138" t="s">
        <v>828</v>
      </c>
      <c r="C477" s="138"/>
      <c r="D477" s="131"/>
      <c r="E477" s="15" t="s">
        <v>123</v>
      </c>
      <c r="F477" s="15">
        <v>3</v>
      </c>
      <c r="G477" s="15">
        <f t="shared" si="24"/>
        <v>1</v>
      </c>
      <c r="H477" s="131">
        <v>6</v>
      </c>
      <c r="I477" s="85"/>
    </row>
    <row r="478" spans="1:9" ht="15.95" customHeight="1" x14ac:dyDescent="0.3">
      <c r="A478" s="131">
        <f t="shared" si="25"/>
        <v>12702</v>
      </c>
      <c r="B478" s="138" t="s">
        <v>829</v>
      </c>
      <c r="C478" s="138"/>
      <c r="D478" s="131"/>
      <c r="E478" s="15" t="s">
        <v>123</v>
      </c>
      <c r="F478" s="15">
        <v>3</v>
      </c>
      <c r="G478" s="15">
        <f t="shared" si="24"/>
        <v>1</v>
      </c>
      <c r="H478" s="131">
        <v>6</v>
      </c>
      <c r="I478" s="85"/>
    </row>
    <row r="479" spans="1:9" ht="15.95" customHeight="1" x14ac:dyDescent="0.3">
      <c r="A479" s="131">
        <f t="shared" si="25"/>
        <v>12708</v>
      </c>
      <c r="B479" s="138" t="s">
        <v>830</v>
      </c>
      <c r="C479" s="138"/>
      <c r="D479" s="131"/>
      <c r="E479" s="15" t="s">
        <v>123</v>
      </c>
      <c r="F479" s="15">
        <v>3</v>
      </c>
      <c r="G479" s="15">
        <f t="shared" si="24"/>
        <v>1</v>
      </c>
      <c r="H479" s="131">
        <v>6</v>
      </c>
      <c r="I479" s="85"/>
    </row>
    <row r="480" spans="1:9" ht="15.95" customHeight="1" x14ac:dyDescent="0.3">
      <c r="A480" s="131">
        <f t="shared" si="25"/>
        <v>12714</v>
      </c>
      <c r="B480" s="138" t="s">
        <v>831</v>
      </c>
      <c r="C480" s="138"/>
      <c r="D480" s="131"/>
      <c r="E480" s="15" t="s">
        <v>123</v>
      </c>
      <c r="F480" s="15">
        <v>3</v>
      </c>
      <c r="G480" s="15">
        <f t="shared" si="24"/>
        <v>1</v>
      </c>
      <c r="H480" s="131">
        <v>6</v>
      </c>
      <c r="I480" s="85"/>
    </row>
    <row r="481" spans="1:10" ht="15.95" customHeight="1" x14ac:dyDescent="0.3">
      <c r="A481" s="131">
        <f t="shared" si="25"/>
        <v>12720</v>
      </c>
      <c r="B481" s="138" t="s">
        <v>832</v>
      </c>
      <c r="C481" s="138"/>
      <c r="D481" s="131"/>
      <c r="E481" s="15" t="s">
        <v>123</v>
      </c>
      <c r="F481" s="15">
        <v>3</v>
      </c>
      <c r="G481" s="15">
        <f t="shared" si="24"/>
        <v>1</v>
      </c>
      <c r="H481" s="131">
        <v>6</v>
      </c>
      <c r="I481" s="85"/>
    </row>
    <row r="482" spans="1:10" ht="15.95" customHeight="1" x14ac:dyDescent="0.3">
      <c r="A482" s="131">
        <f t="shared" si="25"/>
        <v>12726</v>
      </c>
      <c r="B482" s="138" t="s">
        <v>833</v>
      </c>
      <c r="C482" s="138"/>
      <c r="D482" s="131"/>
      <c r="E482" s="15" t="s">
        <v>208</v>
      </c>
      <c r="F482" s="15">
        <v>3</v>
      </c>
      <c r="G482" s="15">
        <f t="shared" si="24"/>
        <v>2</v>
      </c>
      <c r="H482" s="131">
        <v>1</v>
      </c>
      <c r="I482" s="85"/>
    </row>
    <row r="483" spans="1:10" ht="15.95" customHeight="1" x14ac:dyDescent="0.3">
      <c r="A483" s="131">
        <f t="shared" si="25"/>
        <v>12728</v>
      </c>
      <c r="B483" s="138" t="s">
        <v>1042</v>
      </c>
      <c r="C483" s="138" t="s">
        <v>1043</v>
      </c>
      <c r="D483" s="131"/>
      <c r="E483" s="15" t="s">
        <v>123</v>
      </c>
      <c r="F483" s="15">
        <v>3</v>
      </c>
      <c r="G483" s="15">
        <f>IF(OR(E483="U16", E483="S16"),1,IF(E483="TS",6,2))</f>
        <v>1</v>
      </c>
      <c r="H483" s="131">
        <v>1</v>
      </c>
      <c r="I483" s="85"/>
    </row>
    <row r="484" spans="1:10" ht="15.95" customHeight="1" x14ac:dyDescent="0.3">
      <c r="A484" s="131">
        <f t="shared" si="25"/>
        <v>12729</v>
      </c>
      <c r="B484" s="138"/>
      <c r="C484" s="138"/>
      <c r="D484" s="131"/>
      <c r="E484" s="15" t="s">
        <v>123</v>
      </c>
      <c r="F484" s="15">
        <v>3</v>
      </c>
      <c r="G484" s="15">
        <f>IF(OR(E484="U16", E484="S16"),1,IF(E484="TS",6,2))</f>
        <v>1</v>
      </c>
      <c r="H484" s="131">
        <v>1</v>
      </c>
      <c r="I484" s="85"/>
    </row>
    <row r="485" spans="1:10" ht="15.95" customHeight="1" x14ac:dyDescent="0.3">
      <c r="A485" s="162" t="s">
        <v>438</v>
      </c>
      <c r="B485" s="162"/>
      <c r="C485" s="162"/>
      <c r="D485" s="162"/>
      <c r="E485" s="162"/>
      <c r="F485" s="162"/>
      <c r="G485" s="162"/>
      <c r="H485" s="162"/>
      <c r="I485" s="88"/>
    </row>
    <row r="486" spans="1:10" ht="15.95" customHeight="1" x14ac:dyDescent="0.3">
      <c r="A486" s="131">
        <f>A484+(G484*H484)</f>
        <v>12730</v>
      </c>
      <c r="B486" s="138" t="s">
        <v>268</v>
      </c>
      <c r="C486" s="138" t="s">
        <v>834</v>
      </c>
      <c r="D486" s="131"/>
      <c r="E486" s="15" t="s">
        <v>123</v>
      </c>
      <c r="F486" s="15">
        <v>3</v>
      </c>
      <c r="G486" s="15">
        <f t="shared" ref="G486:G525" si="26">IF(OR(E486="U16", E486="S16"),1,IF(E486="TS",6,2))</f>
        <v>1</v>
      </c>
      <c r="H486" s="131">
        <v>1</v>
      </c>
      <c r="I486" s="85"/>
    </row>
    <row r="487" spans="1:10" ht="15.95" customHeight="1" x14ac:dyDescent="0.3">
      <c r="A487" s="131">
        <f t="shared" ref="A487:A526" si="27">A486+(G486*H486)</f>
        <v>12731</v>
      </c>
      <c r="B487" s="138" t="s">
        <v>269</v>
      </c>
      <c r="C487" s="138" t="s">
        <v>834</v>
      </c>
      <c r="D487" s="131"/>
      <c r="E487" s="15" t="s">
        <v>123</v>
      </c>
      <c r="F487" s="15">
        <v>3</v>
      </c>
      <c r="G487" s="15">
        <f t="shared" si="26"/>
        <v>1</v>
      </c>
      <c r="H487" s="131">
        <v>1</v>
      </c>
      <c r="I487" s="85"/>
    </row>
    <row r="488" spans="1:10" ht="15.95" customHeight="1" x14ac:dyDescent="0.3">
      <c r="A488" s="131">
        <f t="shared" si="27"/>
        <v>12732</v>
      </c>
      <c r="B488" s="138" t="s">
        <v>270</v>
      </c>
      <c r="C488" s="138" t="s">
        <v>835</v>
      </c>
      <c r="D488" s="131"/>
      <c r="E488" s="15" t="s">
        <v>123</v>
      </c>
      <c r="F488" s="15">
        <v>3</v>
      </c>
      <c r="G488" s="15">
        <f t="shared" si="26"/>
        <v>1</v>
      </c>
      <c r="H488" s="131">
        <v>1</v>
      </c>
      <c r="I488" s="85"/>
    </row>
    <row r="489" spans="1:10" ht="15.95" customHeight="1" x14ac:dyDescent="0.3">
      <c r="A489" s="131">
        <f t="shared" si="27"/>
        <v>12733</v>
      </c>
      <c r="B489" s="138" t="s">
        <v>1099</v>
      </c>
      <c r="C489" s="138"/>
      <c r="D489" s="131"/>
      <c r="E489" s="15" t="s">
        <v>123</v>
      </c>
      <c r="F489" s="15">
        <v>3</v>
      </c>
      <c r="G489" s="15">
        <f t="shared" si="26"/>
        <v>1</v>
      </c>
      <c r="H489" s="131">
        <v>1</v>
      </c>
      <c r="I489" s="85"/>
    </row>
    <row r="490" spans="1:10" ht="15.95" customHeight="1" x14ac:dyDescent="0.3">
      <c r="A490" s="137">
        <f>A489+(G489*H489)</f>
        <v>12734</v>
      </c>
      <c r="B490" s="191" t="s">
        <v>836</v>
      </c>
      <c r="C490" s="135" t="s">
        <v>837</v>
      </c>
      <c r="D490" s="137"/>
      <c r="E490" s="137" t="s">
        <v>91</v>
      </c>
      <c r="F490" s="137">
        <v>3</v>
      </c>
      <c r="G490" s="137">
        <f t="shared" si="26"/>
        <v>2</v>
      </c>
      <c r="H490" s="137">
        <v>1</v>
      </c>
      <c r="I490" s="92"/>
      <c r="J490" s="139" t="s">
        <v>529</v>
      </c>
    </row>
    <row r="491" spans="1:10" ht="15.95" customHeight="1" x14ac:dyDescent="0.3">
      <c r="A491" s="137">
        <f>A490+(G490*H490)</f>
        <v>12736</v>
      </c>
      <c r="B491" s="191"/>
      <c r="C491" s="135" t="s">
        <v>838</v>
      </c>
      <c r="D491" s="137"/>
      <c r="E491" s="137" t="s">
        <v>123</v>
      </c>
      <c r="F491" s="137">
        <v>3</v>
      </c>
      <c r="G491" s="137">
        <v>1</v>
      </c>
      <c r="H491" s="137">
        <v>1</v>
      </c>
      <c r="I491" s="92"/>
    </row>
    <row r="492" spans="1:10" ht="15.95" customHeight="1" x14ac:dyDescent="0.3">
      <c r="A492" s="137">
        <f>A491+(G491*H491)</f>
        <v>12737</v>
      </c>
      <c r="B492" s="191"/>
      <c r="C492" s="135" t="s">
        <v>839</v>
      </c>
      <c r="D492" s="137"/>
      <c r="E492" s="137" t="s">
        <v>123</v>
      </c>
      <c r="F492" s="137">
        <v>3</v>
      </c>
      <c r="G492" s="137">
        <f t="shared" si="26"/>
        <v>1</v>
      </c>
      <c r="H492" s="137">
        <v>1</v>
      </c>
      <c r="I492" s="92"/>
    </row>
    <row r="493" spans="1:10" ht="15.95" customHeight="1" x14ac:dyDescent="0.3">
      <c r="A493" s="137">
        <f>A492+(G492*H492)</f>
        <v>12738</v>
      </c>
      <c r="B493" s="191"/>
      <c r="C493" s="135" t="s">
        <v>840</v>
      </c>
      <c r="D493" s="137"/>
      <c r="E493" s="137" t="s">
        <v>436</v>
      </c>
      <c r="F493" s="137">
        <v>3</v>
      </c>
      <c r="G493" s="137">
        <f>IF(OR(E493="U16", E493="S16"),1,IF(E493="TS",6,2))</f>
        <v>2</v>
      </c>
      <c r="H493" s="137">
        <v>1</v>
      </c>
      <c r="I493" s="92"/>
    </row>
    <row r="494" spans="1:10" ht="15.95" customHeight="1" x14ac:dyDescent="0.3">
      <c r="A494" s="137">
        <f>A493+(G493*H493)</f>
        <v>12740</v>
      </c>
      <c r="B494" s="191"/>
      <c r="C494" s="135" t="s">
        <v>841</v>
      </c>
      <c r="D494" s="137"/>
      <c r="E494" s="137" t="s">
        <v>436</v>
      </c>
      <c r="F494" s="137">
        <v>3</v>
      </c>
      <c r="G494" s="137">
        <f t="shared" si="26"/>
        <v>2</v>
      </c>
      <c r="H494" s="137">
        <v>1</v>
      </c>
      <c r="I494" s="92"/>
    </row>
    <row r="495" spans="1:10" ht="15.95" customHeight="1" x14ac:dyDescent="0.3">
      <c r="A495" s="131">
        <f t="shared" si="27"/>
        <v>12742</v>
      </c>
      <c r="B495" s="138" t="s">
        <v>842</v>
      </c>
      <c r="C495" s="138"/>
      <c r="D495" s="131"/>
      <c r="E495" s="15" t="s">
        <v>123</v>
      </c>
      <c r="F495" s="15">
        <v>3</v>
      </c>
      <c r="G495" s="15">
        <f t="shared" si="26"/>
        <v>1</v>
      </c>
      <c r="H495" s="131">
        <v>8</v>
      </c>
      <c r="I495" s="85"/>
    </row>
    <row r="496" spans="1:10" ht="15.95" customHeight="1" x14ac:dyDescent="0.3">
      <c r="A496" s="131">
        <f t="shared" si="27"/>
        <v>12750</v>
      </c>
      <c r="B496" s="138" t="s">
        <v>843</v>
      </c>
      <c r="C496" s="138"/>
      <c r="D496" s="131"/>
      <c r="E496" s="15" t="s">
        <v>123</v>
      </c>
      <c r="F496" s="15">
        <v>3</v>
      </c>
      <c r="G496" s="15">
        <f t="shared" si="26"/>
        <v>1</v>
      </c>
      <c r="H496" s="131">
        <v>8</v>
      </c>
      <c r="I496" s="85"/>
    </row>
    <row r="497" spans="1:9" ht="15.95" customHeight="1" x14ac:dyDescent="0.3">
      <c r="A497" s="131">
        <f t="shared" si="27"/>
        <v>12758</v>
      </c>
      <c r="B497" s="138" t="s">
        <v>844</v>
      </c>
      <c r="C497" s="138"/>
      <c r="D497" s="131"/>
      <c r="E497" s="15" t="s">
        <v>123</v>
      </c>
      <c r="F497" s="15">
        <v>3</v>
      </c>
      <c r="G497" s="15">
        <f t="shared" si="26"/>
        <v>1</v>
      </c>
      <c r="H497" s="131">
        <v>8</v>
      </c>
      <c r="I497" s="85"/>
    </row>
    <row r="498" spans="1:9" ht="15.95" customHeight="1" x14ac:dyDescent="0.3">
      <c r="A498" s="131">
        <f t="shared" si="27"/>
        <v>12766</v>
      </c>
      <c r="B498" s="138" t="s">
        <v>845</v>
      </c>
      <c r="C498" s="138"/>
      <c r="D498" s="131"/>
      <c r="E498" s="15" t="s">
        <v>123</v>
      </c>
      <c r="F498" s="15">
        <v>3</v>
      </c>
      <c r="G498" s="15">
        <f t="shared" si="26"/>
        <v>1</v>
      </c>
      <c r="H498" s="131">
        <v>8</v>
      </c>
      <c r="I498" s="85"/>
    </row>
    <row r="499" spans="1:9" ht="15.95" customHeight="1" x14ac:dyDescent="0.3">
      <c r="A499" s="131">
        <f t="shared" si="27"/>
        <v>12774</v>
      </c>
      <c r="B499" s="138" t="s">
        <v>846</v>
      </c>
      <c r="C499" s="138"/>
      <c r="D499" s="131"/>
      <c r="E499" s="15" t="s">
        <v>123</v>
      </c>
      <c r="F499" s="15">
        <v>3</v>
      </c>
      <c r="G499" s="15">
        <f t="shared" si="26"/>
        <v>1</v>
      </c>
      <c r="H499" s="131">
        <v>8</v>
      </c>
      <c r="I499" s="85"/>
    </row>
    <row r="500" spans="1:9" ht="15.95" customHeight="1" x14ac:dyDescent="0.3">
      <c r="A500" s="131">
        <f t="shared" si="27"/>
        <v>12782</v>
      </c>
      <c r="B500" s="138" t="s">
        <v>847</v>
      </c>
      <c r="C500" s="138"/>
      <c r="D500" s="131"/>
      <c r="E500" s="15" t="s">
        <v>123</v>
      </c>
      <c r="F500" s="15">
        <v>3</v>
      </c>
      <c r="G500" s="15">
        <f t="shared" si="26"/>
        <v>1</v>
      </c>
      <c r="H500" s="131">
        <v>8</v>
      </c>
      <c r="I500" s="85"/>
    </row>
    <row r="501" spans="1:9" ht="15.95" customHeight="1" x14ac:dyDescent="0.3">
      <c r="A501" s="131">
        <f t="shared" si="27"/>
        <v>12790</v>
      </c>
      <c r="B501" s="138" t="s">
        <v>848</v>
      </c>
      <c r="C501" s="138"/>
      <c r="D501" s="131"/>
      <c r="E501" s="15" t="s">
        <v>123</v>
      </c>
      <c r="F501" s="15">
        <v>3</v>
      </c>
      <c r="G501" s="15">
        <f t="shared" si="26"/>
        <v>1</v>
      </c>
      <c r="H501" s="131">
        <v>8</v>
      </c>
      <c r="I501" s="85"/>
    </row>
    <row r="502" spans="1:9" ht="15.95" customHeight="1" x14ac:dyDescent="0.3">
      <c r="A502" s="131">
        <f t="shared" si="27"/>
        <v>12798</v>
      </c>
      <c r="B502" s="138" t="s">
        <v>849</v>
      </c>
      <c r="C502" s="138"/>
      <c r="D502" s="131"/>
      <c r="E502" s="15" t="s">
        <v>123</v>
      </c>
      <c r="F502" s="15">
        <v>3</v>
      </c>
      <c r="G502" s="15">
        <f t="shared" si="26"/>
        <v>1</v>
      </c>
      <c r="H502" s="131">
        <v>8</v>
      </c>
      <c r="I502" s="85"/>
    </row>
    <row r="503" spans="1:9" ht="15.95" customHeight="1" x14ac:dyDescent="0.3">
      <c r="A503" s="131">
        <f t="shared" si="27"/>
        <v>12806</v>
      </c>
      <c r="B503" s="138" t="s">
        <v>850</v>
      </c>
      <c r="C503" s="138"/>
      <c r="D503" s="131"/>
      <c r="E503" s="15" t="s">
        <v>123</v>
      </c>
      <c r="F503" s="15">
        <v>3</v>
      </c>
      <c r="G503" s="15">
        <f t="shared" si="26"/>
        <v>1</v>
      </c>
      <c r="H503" s="131">
        <v>8</v>
      </c>
      <c r="I503" s="85"/>
    </row>
    <row r="504" spans="1:9" ht="15.95" customHeight="1" x14ac:dyDescent="0.3">
      <c r="A504" s="131">
        <f t="shared" si="27"/>
        <v>12814</v>
      </c>
      <c r="B504" s="138" t="s">
        <v>851</v>
      </c>
      <c r="C504" s="138"/>
      <c r="D504" s="131"/>
      <c r="E504" s="15" t="s">
        <v>123</v>
      </c>
      <c r="F504" s="15">
        <v>3</v>
      </c>
      <c r="G504" s="15">
        <f t="shared" si="26"/>
        <v>1</v>
      </c>
      <c r="H504" s="131">
        <v>8</v>
      </c>
      <c r="I504" s="85"/>
    </row>
    <row r="505" spans="1:9" ht="15.95" customHeight="1" x14ac:dyDescent="0.3">
      <c r="A505" s="131">
        <f t="shared" si="27"/>
        <v>12822</v>
      </c>
      <c r="B505" s="138" t="s">
        <v>852</v>
      </c>
      <c r="C505" s="138"/>
      <c r="D505" s="131"/>
      <c r="E505" s="15" t="s">
        <v>123</v>
      </c>
      <c r="F505" s="15">
        <v>3</v>
      </c>
      <c r="G505" s="15">
        <f t="shared" si="26"/>
        <v>1</v>
      </c>
      <c r="H505" s="131">
        <v>8</v>
      </c>
      <c r="I505" s="85"/>
    </row>
    <row r="506" spans="1:9" ht="15.95" customHeight="1" x14ac:dyDescent="0.3">
      <c r="A506" s="131">
        <f t="shared" si="27"/>
        <v>12830</v>
      </c>
      <c r="B506" s="138" t="s">
        <v>853</v>
      </c>
      <c r="C506" s="138"/>
      <c r="D506" s="131"/>
      <c r="E506" s="15" t="s">
        <v>123</v>
      </c>
      <c r="F506" s="15">
        <v>3</v>
      </c>
      <c r="G506" s="15">
        <f t="shared" si="26"/>
        <v>1</v>
      </c>
      <c r="H506" s="131">
        <v>8</v>
      </c>
      <c r="I506" s="85"/>
    </row>
    <row r="507" spans="1:9" ht="15.95" customHeight="1" x14ac:dyDescent="0.3">
      <c r="A507" s="131">
        <f t="shared" si="27"/>
        <v>12838</v>
      </c>
      <c r="B507" s="138" t="s">
        <v>854</v>
      </c>
      <c r="C507" s="138"/>
      <c r="D507" s="131"/>
      <c r="E507" s="15" t="s">
        <v>123</v>
      </c>
      <c r="F507" s="15">
        <v>3</v>
      </c>
      <c r="G507" s="15">
        <f t="shared" si="26"/>
        <v>1</v>
      </c>
      <c r="H507" s="131">
        <v>8</v>
      </c>
      <c r="I507" s="85"/>
    </row>
    <row r="508" spans="1:9" ht="15.95" customHeight="1" x14ac:dyDescent="0.3">
      <c r="A508" s="131">
        <f t="shared" si="27"/>
        <v>12846</v>
      </c>
      <c r="B508" s="138" t="s">
        <v>855</v>
      </c>
      <c r="C508" s="138"/>
      <c r="D508" s="131"/>
      <c r="E508" s="15" t="s">
        <v>123</v>
      </c>
      <c r="F508" s="15">
        <v>3</v>
      </c>
      <c r="G508" s="15">
        <f t="shared" si="26"/>
        <v>1</v>
      </c>
      <c r="H508" s="131">
        <v>8</v>
      </c>
      <c r="I508" s="85"/>
    </row>
    <row r="509" spans="1:9" ht="15.95" customHeight="1" x14ac:dyDescent="0.3">
      <c r="A509" s="131">
        <f t="shared" si="27"/>
        <v>12854</v>
      </c>
      <c r="B509" s="138" t="s">
        <v>856</v>
      </c>
      <c r="C509" s="138"/>
      <c r="D509" s="131"/>
      <c r="E509" s="15" t="s">
        <v>123</v>
      </c>
      <c r="F509" s="15">
        <v>3</v>
      </c>
      <c r="G509" s="15">
        <f t="shared" si="26"/>
        <v>1</v>
      </c>
      <c r="H509" s="131">
        <v>8</v>
      </c>
      <c r="I509" s="85"/>
    </row>
    <row r="510" spans="1:9" ht="15.95" customHeight="1" x14ac:dyDescent="0.3">
      <c r="A510" s="131">
        <f t="shared" si="27"/>
        <v>12862</v>
      </c>
      <c r="B510" s="138" t="s">
        <v>857</v>
      </c>
      <c r="C510" s="138"/>
      <c r="D510" s="131"/>
      <c r="E510" s="15" t="s">
        <v>123</v>
      </c>
      <c r="F510" s="15">
        <v>3</v>
      </c>
      <c r="G510" s="15">
        <f t="shared" si="26"/>
        <v>1</v>
      </c>
      <c r="H510" s="131">
        <v>8</v>
      </c>
      <c r="I510" s="85"/>
    </row>
    <row r="511" spans="1:9" ht="15.95" customHeight="1" x14ac:dyDescent="0.3">
      <c r="A511" s="131">
        <f t="shared" si="27"/>
        <v>12870</v>
      </c>
      <c r="B511" s="138" t="s">
        <v>858</v>
      </c>
      <c r="C511" s="138"/>
      <c r="D511" s="131"/>
      <c r="E511" s="15" t="s">
        <v>123</v>
      </c>
      <c r="F511" s="15">
        <v>3</v>
      </c>
      <c r="G511" s="15">
        <f t="shared" si="26"/>
        <v>1</v>
      </c>
      <c r="H511" s="131">
        <v>8</v>
      </c>
      <c r="I511" s="85"/>
    </row>
    <row r="512" spans="1:9" ht="15.95" customHeight="1" x14ac:dyDescent="0.3">
      <c r="A512" s="131">
        <f t="shared" si="27"/>
        <v>12878</v>
      </c>
      <c r="B512" s="138" t="s">
        <v>859</v>
      </c>
      <c r="C512" s="138"/>
      <c r="D512" s="131"/>
      <c r="E512" s="15" t="s">
        <v>123</v>
      </c>
      <c r="F512" s="15">
        <v>3</v>
      </c>
      <c r="G512" s="15">
        <f t="shared" si="26"/>
        <v>1</v>
      </c>
      <c r="H512" s="131">
        <v>8</v>
      </c>
      <c r="I512" s="85"/>
    </row>
    <row r="513" spans="1:9" ht="15.95" customHeight="1" x14ac:dyDescent="0.3">
      <c r="A513" s="131">
        <f t="shared" si="27"/>
        <v>12886</v>
      </c>
      <c r="B513" s="138" t="s">
        <v>860</v>
      </c>
      <c r="C513" s="138"/>
      <c r="D513" s="131"/>
      <c r="E513" s="15" t="s">
        <v>123</v>
      </c>
      <c r="F513" s="15">
        <v>3</v>
      </c>
      <c r="G513" s="15">
        <f t="shared" si="26"/>
        <v>1</v>
      </c>
      <c r="H513" s="131">
        <v>8</v>
      </c>
      <c r="I513" s="85"/>
    </row>
    <row r="514" spans="1:9" ht="15.95" customHeight="1" x14ac:dyDescent="0.3">
      <c r="A514" s="131">
        <f t="shared" si="27"/>
        <v>12894</v>
      </c>
      <c r="B514" s="138" t="s">
        <v>861</v>
      </c>
      <c r="C514" s="138"/>
      <c r="D514" s="131"/>
      <c r="E514" s="15" t="s">
        <v>123</v>
      </c>
      <c r="F514" s="15">
        <v>3</v>
      </c>
      <c r="G514" s="15">
        <f t="shared" si="26"/>
        <v>1</v>
      </c>
      <c r="H514" s="131">
        <v>8</v>
      </c>
      <c r="I514" s="85"/>
    </row>
    <row r="515" spans="1:9" ht="15.95" customHeight="1" x14ac:dyDescent="0.3">
      <c r="A515" s="131">
        <f t="shared" si="27"/>
        <v>12902</v>
      </c>
      <c r="B515" s="138" t="s">
        <v>862</v>
      </c>
      <c r="C515" s="138"/>
      <c r="D515" s="131"/>
      <c r="E515" s="15" t="s">
        <v>123</v>
      </c>
      <c r="F515" s="15">
        <v>3</v>
      </c>
      <c r="G515" s="15">
        <f t="shared" si="26"/>
        <v>1</v>
      </c>
      <c r="H515" s="131">
        <v>8</v>
      </c>
      <c r="I515" s="85"/>
    </row>
    <row r="516" spans="1:9" ht="15.95" customHeight="1" x14ac:dyDescent="0.3">
      <c r="A516" s="131">
        <f t="shared" si="27"/>
        <v>12910</v>
      </c>
      <c r="B516" s="138" t="s">
        <v>863</v>
      </c>
      <c r="C516" s="138"/>
      <c r="D516" s="131"/>
      <c r="E516" s="15" t="s">
        <v>123</v>
      </c>
      <c r="F516" s="15">
        <v>3</v>
      </c>
      <c r="G516" s="15">
        <f t="shared" si="26"/>
        <v>1</v>
      </c>
      <c r="H516" s="131">
        <v>8</v>
      </c>
      <c r="I516" s="85"/>
    </row>
    <row r="517" spans="1:9" ht="15.95" customHeight="1" x14ac:dyDescent="0.3">
      <c r="A517" s="131">
        <f t="shared" si="27"/>
        <v>12918</v>
      </c>
      <c r="B517" s="138" t="s">
        <v>864</v>
      </c>
      <c r="C517" s="138"/>
      <c r="D517" s="131"/>
      <c r="E517" s="15" t="s">
        <v>123</v>
      </c>
      <c r="F517" s="15">
        <v>3</v>
      </c>
      <c r="G517" s="15">
        <f t="shared" si="26"/>
        <v>1</v>
      </c>
      <c r="H517" s="131">
        <v>8</v>
      </c>
      <c r="I517" s="85"/>
    </row>
    <row r="518" spans="1:9" ht="15.95" customHeight="1" x14ac:dyDescent="0.3">
      <c r="A518" s="131">
        <f t="shared" si="27"/>
        <v>12926</v>
      </c>
      <c r="B518" s="138" t="s">
        <v>865</v>
      </c>
      <c r="C518" s="138"/>
      <c r="D518" s="131"/>
      <c r="E518" s="15" t="s">
        <v>123</v>
      </c>
      <c r="F518" s="15">
        <v>3</v>
      </c>
      <c r="G518" s="15">
        <f t="shared" si="26"/>
        <v>1</v>
      </c>
      <c r="H518" s="131">
        <v>8</v>
      </c>
      <c r="I518" s="85"/>
    </row>
    <row r="519" spans="1:9" ht="15.95" customHeight="1" x14ac:dyDescent="0.3">
      <c r="A519" s="131">
        <f t="shared" si="27"/>
        <v>12934</v>
      </c>
      <c r="B519" s="138" t="s">
        <v>866</v>
      </c>
      <c r="C519" s="138"/>
      <c r="D519" s="131"/>
      <c r="E519" s="15" t="s">
        <v>123</v>
      </c>
      <c r="F519" s="15">
        <v>3</v>
      </c>
      <c r="G519" s="15">
        <f t="shared" si="26"/>
        <v>1</v>
      </c>
      <c r="H519" s="131">
        <v>8</v>
      </c>
      <c r="I519" s="85"/>
    </row>
    <row r="520" spans="1:9" ht="15.95" customHeight="1" x14ac:dyDescent="0.3">
      <c r="A520" s="131">
        <f t="shared" si="27"/>
        <v>12942</v>
      </c>
      <c r="B520" s="138" t="s">
        <v>867</v>
      </c>
      <c r="C520" s="138"/>
      <c r="D520" s="131"/>
      <c r="E520" s="15" t="s">
        <v>123</v>
      </c>
      <c r="F520" s="15">
        <v>3</v>
      </c>
      <c r="G520" s="15">
        <f t="shared" si="26"/>
        <v>1</v>
      </c>
      <c r="H520" s="131">
        <v>8</v>
      </c>
      <c r="I520" s="85"/>
    </row>
    <row r="521" spans="1:9" ht="15.95" customHeight="1" x14ac:dyDescent="0.3">
      <c r="A521" s="131">
        <f t="shared" si="27"/>
        <v>12950</v>
      </c>
      <c r="B521" s="138" t="s">
        <v>868</v>
      </c>
      <c r="C521" s="138"/>
      <c r="D521" s="131"/>
      <c r="E521" s="15" t="s">
        <v>123</v>
      </c>
      <c r="F521" s="15">
        <v>3</v>
      </c>
      <c r="G521" s="15">
        <f t="shared" si="26"/>
        <v>1</v>
      </c>
      <c r="H521" s="131">
        <v>8</v>
      </c>
      <c r="I521" s="85"/>
    </row>
    <row r="522" spans="1:9" ht="15.95" customHeight="1" x14ac:dyDescent="0.3">
      <c r="A522" s="131">
        <f t="shared" si="27"/>
        <v>12958</v>
      </c>
      <c r="B522" s="138" t="s">
        <v>869</v>
      </c>
      <c r="C522" s="138"/>
      <c r="D522" s="131"/>
      <c r="E522" s="15" t="s">
        <v>123</v>
      </c>
      <c r="F522" s="15">
        <v>3</v>
      </c>
      <c r="G522" s="15">
        <f t="shared" si="26"/>
        <v>1</v>
      </c>
      <c r="H522" s="131">
        <v>8</v>
      </c>
      <c r="I522" s="85"/>
    </row>
    <row r="523" spans="1:9" ht="15.95" customHeight="1" x14ac:dyDescent="0.3">
      <c r="A523" s="131">
        <f t="shared" si="27"/>
        <v>12966</v>
      </c>
      <c r="B523" s="138" t="s">
        <v>870</v>
      </c>
      <c r="C523" s="138"/>
      <c r="D523" s="131"/>
      <c r="E523" s="15" t="s">
        <v>123</v>
      </c>
      <c r="F523" s="15">
        <v>3</v>
      </c>
      <c r="G523" s="15">
        <f t="shared" si="26"/>
        <v>1</v>
      </c>
      <c r="H523" s="131">
        <v>8</v>
      </c>
      <c r="I523" s="85"/>
    </row>
    <row r="524" spans="1:9" ht="15.95" customHeight="1" x14ac:dyDescent="0.3">
      <c r="A524" s="131">
        <f t="shared" si="27"/>
        <v>12974</v>
      </c>
      <c r="B524" s="138" t="s">
        <v>871</v>
      </c>
      <c r="C524" s="138"/>
      <c r="D524" s="131"/>
      <c r="E524" s="15" t="s">
        <v>123</v>
      </c>
      <c r="F524" s="15">
        <v>3</v>
      </c>
      <c r="G524" s="15">
        <f t="shared" si="26"/>
        <v>1</v>
      </c>
      <c r="H524" s="131">
        <v>8</v>
      </c>
      <c r="I524" s="85"/>
    </row>
    <row r="525" spans="1:9" ht="15.95" customHeight="1" x14ac:dyDescent="0.3">
      <c r="A525" s="131">
        <f t="shared" si="27"/>
        <v>12982</v>
      </c>
      <c r="B525" s="138" t="s">
        <v>872</v>
      </c>
      <c r="C525" s="138"/>
      <c r="D525" s="131"/>
      <c r="E525" s="15" t="s">
        <v>123</v>
      </c>
      <c r="F525" s="15">
        <v>3</v>
      </c>
      <c r="G525" s="15">
        <f t="shared" si="26"/>
        <v>1</v>
      </c>
      <c r="H525" s="131">
        <v>8</v>
      </c>
      <c r="I525" s="85"/>
    </row>
    <row r="526" spans="1:9" ht="15.95" customHeight="1" x14ac:dyDescent="0.3">
      <c r="A526" s="131">
        <f t="shared" si="27"/>
        <v>12990</v>
      </c>
      <c r="B526" s="138"/>
      <c r="C526" s="138"/>
      <c r="D526" s="131"/>
      <c r="E526" s="15" t="s">
        <v>123</v>
      </c>
      <c r="F526" s="15">
        <v>3</v>
      </c>
      <c r="G526" s="15">
        <f>IF(OR(E526="U16", E526="S16"),1,IF(E526="TS",6,2))</f>
        <v>1</v>
      </c>
      <c r="H526" s="131">
        <v>40</v>
      </c>
      <c r="I526" s="85"/>
    </row>
    <row r="527" spans="1:9" ht="15.95" customHeight="1" x14ac:dyDescent="0.3">
      <c r="A527" s="162" t="s">
        <v>545</v>
      </c>
      <c r="B527" s="162"/>
      <c r="C527" s="162"/>
      <c r="D527" s="162"/>
      <c r="E527" s="162"/>
      <c r="F527" s="162"/>
      <c r="G527" s="162"/>
      <c r="H527" s="162"/>
      <c r="I527" s="88"/>
    </row>
    <row r="528" spans="1:9" ht="15.95" customHeight="1" x14ac:dyDescent="0.3">
      <c r="A528" s="15">
        <f>A526+(G526*H526)</f>
        <v>13030</v>
      </c>
      <c r="B528" s="138" t="s">
        <v>268</v>
      </c>
      <c r="C528" s="138" t="s">
        <v>834</v>
      </c>
      <c r="D528" s="131"/>
      <c r="E528" s="15" t="s">
        <v>123</v>
      </c>
      <c r="F528" s="15">
        <v>3</v>
      </c>
      <c r="G528" s="15">
        <f>IF(OR(E528="U16", E528="S16"),1,IF(E528="TS",6,2))</f>
        <v>1</v>
      </c>
      <c r="H528" s="131">
        <v>1</v>
      </c>
      <c r="I528" s="85"/>
    </row>
    <row r="529" spans="1:9" ht="15.95" customHeight="1" x14ac:dyDescent="0.3">
      <c r="A529" s="15">
        <f>A528+(G528*H528)</f>
        <v>13031</v>
      </c>
      <c r="B529" s="138" t="s">
        <v>269</v>
      </c>
      <c r="C529" s="138" t="s">
        <v>834</v>
      </c>
      <c r="D529" s="131"/>
      <c r="E529" s="15" t="s">
        <v>123</v>
      </c>
      <c r="F529" s="15">
        <v>3</v>
      </c>
      <c r="G529" s="15">
        <f>IF(OR(E529="U16", E529="S16"),1,IF(E529="TS",6,2))</f>
        <v>1</v>
      </c>
      <c r="H529" s="131">
        <v>1</v>
      </c>
      <c r="I529" s="85"/>
    </row>
    <row r="530" spans="1:9" ht="15.95" customHeight="1" x14ac:dyDescent="0.3">
      <c r="A530" s="15">
        <f>A529+(G529*H529)</f>
        <v>13032</v>
      </c>
      <c r="B530" s="138" t="s">
        <v>270</v>
      </c>
      <c r="C530" s="138" t="s">
        <v>834</v>
      </c>
      <c r="D530" s="131"/>
      <c r="E530" s="15" t="s">
        <v>123</v>
      </c>
      <c r="F530" s="15">
        <v>3</v>
      </c>
      <c r="G530" s="15">
        <f>IF(OR(E530="U16", E530="S16"),1,IF(E530="TS",6,2))</f>
        <v>1</v>
      </c>
      <c r="H530" s="131">
        <v>1</v>
      </c>
      <c r="I530" s="85"/>
    </row>
    <row r="531" spans="1:9" ht="15.95" customHeight="1" x14ac:dyDescent="0.3">
      <c r="A531" s="15">
        <f>A530+(G530*H530)</f>
        <v>13033</v>
      </c>
      <c r="B531" s="138" t="s">
        <v>1099</v>
      </c>
      <c r="C531" s="138"/>
      <c r="D531" s="131"/>
      <c r="E531" s="15" t="s">
        <v>123</v>
      </c>
      <c r="F531" s="15">
        <v>3</v>
      </c>
      <c r="G531" s="15">
        <f>IF(OR(E531="U16", E531="S16"),1,IF(E531="TS",6,2))</f>
        <v>1</v>
      </c>
      <c r="H531" s="131">
        <v>1</v>
      </c>
      <c r="I531" s="85"/>
    </row>
    <row r="532" spans="1:9" ht="15.95" customHeight="1" x14ac:dyDescent="0.3">
      <c r="A532" s="162" t="s">
        <v>381</v>
      </c>
      <c r="B532" s="162"/>
      <c r="C532" s="162"/>
      <c r="D532" s="162"/>
      <c r="E532" s="162"/>
      <c r="F532" s="162"/>
      <c r="G532" s="162"/>
      <c r="H532" s="162"/>
      <c r="I532" s="88"/>
    </row>
    <row r="533" spans="1:9" ht="15.95" customHeight="1" x14ac:dyDescent="0.3">
      <c r="A533" s="137">
        <f>A531+(G531*H531)</f>
        <v>13034</v>
      </c>
      <c r="B533" s="135" t="s">
        <v>267</v>
      </c>
      <c r="C533" s="135"/>
      <c r="D533" s="137"/>
      <c r="E533" s="137" t="s">
        <v>91</v>
      </c>
      <c r="F533" s="137">
        <v>3</v>
      </c>
      <c r="G533" s="137">
        <f t="shared" ref="G533:G570" si="28">IF(OR(E533="U16", E533="S16"),1,IF(E533="TS",6,2))</f>
        <v>2</v>
      </c>
      <c r="H533" s="137">
        <v>1</v>
      </c>
      <c r="I533" s="92"/>
    </row>
    <row r="534" spans="1:9" ht="15.95" customHeight="1" x14ac:dyDescent="0.3">
      <c r="A534" s="137">
        <f t="shared" ref="A534:A572" si="29">A533+(G533*H533)</f>
        <v>13036</v>
      </c>
      <c r="B534" s="135" t="s">
        <v>441</v>
      </c>
      <c r="C534" s="135"/>
      <c r="D534" s="137"/>
      <c r="E534" s="137" t="s">
        <v>123</v>
      </c>
      <c r="F534" s="137">
        <v>3</v>
      </c>
      <c r="G534" s="137">
        <f t="shared" si="28"/>
        <v>1</v>
      </c>
      <c r="H534" s="137">
        <v>1</v>
      </c>
      <c r="I534" s="92"/>
    </row>
    <row r="535" spans="1:9" ht="15.95" customHeight="1" x14ac:dyDescent="0.3">
      <c r="A535" s="137">
        <f t="shared" si="29"/>
        <v>13037</v>
      </c>
      <c r="B535" s="135" t="s">
        <v>442</v>
      </c>
      <c r="C535" s="135"/>
      <c r="D535" s="137"/>
      <c r="E535" s="137" t="s">
        <v>123</v>
      </c>
      <c r="F535" s="137">
        <v>3</v>
      </c>
      <c r="G535" s="137">
        <f t="shared" si="28"/>
        <v>1</v>
      </c>
      <c r="H535" s="137">
        <v>1</v>
      </c>
      <c r="I535" s="92"/>
    </row>
    <row r="536" spans="1:9" ht="108" x14ac:dyDescent="0.3">
      <c r="A536" s="137">
        <f t="shared" si="29"/>
        <v>13038</v>
      </c>
      <c r="B536" s="135" t="s">
        <v>254</v>
      </c>
      <c r="C536" s="135" t="s">
        <v>953</v>
      </c>
      <c r="D536" s="135"/>
      <c r="E536" s="137" t="s">
        <v>123</v>
      </c>
      <c r="F536" s="137">
        <v>3</v>
      </c>
      <c r="G536" s="137">
        <f t="shared" si="28"/>
        <v>1</v>
      </c>
      <c r="H536" s="137">
        <v>1</v>
      </c>
      <c r="I536" s="92"/>
    </row>
    <row r="537" spans="1:9" ht="15.95" customHeight="1" x14ac:dyDescent="0.3">
      <c r="A537" s="137">
        <f t="shared" si="29"/>
        <v>13039</v>
      </c>
      <c r="B537" s="135" t="s">
        <v>439</v>
      </c>
      <c r="C537" s="135"/>
      <c r="D537" s="137"/>
      <c r="E537" s="137" t="s">
        <v>123</v>
      </c>
      <c r="F537" s="137">
        <v>3</v>
      </c>
      <c r="G537" s="137">
        <f t="shared" si="28"/>
        <v>1</v>
      </c>
      <c r="H537" s="137">
        <v>1</v>
      </c>
      <c r="I537" s="92"/>
    </row>
    <row r="538" spans="1:9" ht="15.95" customHeight="1" x14ac:dyDescent="0.3">
      <c r="A538" s="137">
        <f t="shared" si="29"/>
        <v>13040</v>
      </c>
      <c r="B538" s="135" t="s">
        <v>440</v>
      </c>
      <c r="C538" s="135"/>
      <c r="D538" s="137"/>
      <c r="E538" s="137" t="s">
        <v>436</v>
      </c>
      <c r="F538" s="137">
        <v>3</v>
      </c>
      <c r="G538" s="137">
        <f t="shared" si="28"/>
        <v>2</v>
      </c>
      <c r="H538" s="137">
        <v>1</v>
      </c>
      <c r="I538" s="92"/>
    </row>
    <row r="539" spans="1:9" ht="15.95" customHeight="1" x14ac:dyDescent="0.3">
      <c r="A539" s="137">
        <f t="shared" si="29"/>
        <v>13042</v>
      </c>
      <c r="B539" s="135" t="s">
        <v>271</v>
      </c>
      <c r="C539" s="135"/>
      <c r="D539" s="137"/>
      <c r="E539" s="137" t="s">
        <v>436</v>
      </c>
      <c r="F539" s="137">
        <v>3</v>
      </c>
      <c r="G539" s="137">
        <f t="shared" si="28"/>
        <v>2</v>
      </c>
      <c r="H539" s="137">
        <v>1</v>
      </c>
      <c r="I539" s="92"/>
    </row>
    <row r="540" spans="1:9" ht="15.95" customHeight="1" x14ac:dyDescent="0.3">
      <c r="A540" s="137">
        <f t="shared" si="29"/>
        <v>13044</v>
      </c>
      <c r="B540" s="135" t="s">
        <v>272</v>
      </c>
      <c r="C540" s="135"/>
      <c r="D540" s="137"/>
      <c r="E540" s="137" t="s">
        <v>436</v>
      </c>
      <c r="F540" s="137">
        <v>3</v>
      </c>
      <c r="G540" s="137">
        <f t="shared" si="28"/>
        <v>2</v>
      </c>
      <c r="H540" s="137">
        <v>1</v>
      </c>
      <c r="I540" s="92"/>
    </row>
    <row r="541" spans="1:9" ht="15.75" customHeight="1" x14ac:dyDescent="0.3">
      <c r="A541" s="131">
        <f t="shared" si="29"/>
        <v>13046</v>
      </c>
      <c r="B541" s="138" t="s">
        <v>273</v>
      </c>
      <c r="C541" s="138"/>
      <c r="D541" s="143"/>
      <c r="E541" s="143" t="s">
        <v>123</v>
      </c>
      <c r="F541" s="143">
        <v>3</v>
      </c>
      <c r="G541" s="15">
        <f t="shared" si="28"/>
        <v>1</v>
      </c>
      <c r="H541" s="131">
        <v>12</v>
      </c>
      <c r="I541" s="85"/>
    </row>
    <row r="542" spans="1:9" ht="15.95" customHeight="1" x14ac:dyDescent="0.3">
      <c r="A542" s="131">
        <f t="shared" si="29"/>
        <v>13058</v>
      </c>
      <c r="B542" s="138" t="s">
        <v>274</v>
      </c>
      <c r="C542" s="138"/>
      <c r="D542" s="143"/>
      <c r="E542" s="143" t="s">
        <v>123</v>
      </c>
      <c r="F542" s="143">
        <v>3</v>
      </c>
      <c r="G542" s="15">
        <f t="shared" si="28"/>
        <v>1</v>
      </c>
      <c r="H542" s="131">
        <v>12</v>
      </c>
      <c r="I542" s="85"/>
    </row>
    <row r="543" spans="1:9" ht="15.95" customHeight="1" x14ac:dyDescent="0.3">
      <c r="A543" s="131">
        <f t="shared" si="29"/>
        <v>13070</v>
      </c>
      <c r="B543" s="138" t="s">
        <v>275</v>
      </c>
      <c r="C543" s="138"/>
      <c r="D543" s="143"/>
      <c r="E543" s="143" t="s">
        <v>123</v>
      </c>
      <c r="F543" s="143">
        <v>3</v>
      </c>
      <c r="G543" s="15">
        <f t="shared" si="28"/>
        <v>1</v>
      </c>
      <c r="H543" s="131">
        <v>12</v>
      </c>
      <c r="I543" s="85"/>
    </row>
    <row r="544" spans="1:9" ht="15.95" customHeight="1" x14ac:dyDescent="0.3">
      <c r="A544" s="131">
        <f t="shared" si="29"/>
        <v>13082</v>
      </c>
      <c r="B544" s="138" t="s">
        <v>276</v>
      </c>
      <c r="C544" s="138"/>
      <c r="D544" s="143"/>
      <c r="E544" s="143" t="s">
        <v>123</v>
      </c>
      <c r="F544" s="143">
        <v>3</v>
      </c>
      <c r="G544" s="15">
        <f t="shared" si="28"/>
        <v>1</v>
      </c>
      <c r="H544" s="131">
        <v>12</v>
      </c>
      <c r="I544" s="85"/>
    </row>
    <row r="545" spans="1:10" customFormat="1" ht="16.5" x14ac:dyDescent="0.3">
      <c r="A545" s="131">
        <f t="shared" si="29"/>
        <v>13094</v>
      </c>
      <c r="B545" s="138" t="s">
        <v>277</v>
      </c>
      <c r="C545" s="138"/>
      <c r="D545" s="143"/>
      <c r="E545" s="143" t="s">
        <v>123</v>
      </c>
      <c r="F545" s="143">
        <v>3</v>
      </c>
      <c r="G545" s="15">
        <f t="shared" si="28"/>
        <v>1</v>
      </c>
      <c r="H545" s="131">
        <v>12</v>
      </c>
      <c r="I545" s="85"/>
      <c r="J545" s="27"/>
    </row>
    <row r="546" spans="1:10" customFormat="1" ht="16.5" customHeight="1" x14ac:dyDescent="0.3">
      <c r="A546" s="131">
        <f t="shared" si="29"/>
        <v>13106</v>
      </c>
      <c r="B546" s="138" t="s">
        <v>278</v>
      </c>
      <c r="C546" s="138"/>
      <c r="D546" s="143"/>
      <c r="E546" s="143" t="s">
        <v>123</v>
      </c>
      <c r="F546" s="143">
        <v>3</v>
      </c>
      <c r="G546" s="15">
        <f t="shared" si="28"/>
        <v>1</v>
      </c>
      <c r="H546" s="131">
        <v>12</v>
      </c>
      <c r="I546" s="85"/>
      <c r="J546" s="27"/>
    </row>
    <row r="547" spans="1:10" customFormat="1" ht="16.5" x14ac:dyDescent="0.3">
      <c r="A547" s="131">
        <f t="shared" si="29"/>
        <v>13118</v>
      </c>
      <c r="B547" s="138" t="s">
        <v>279</v>
      </c>
      <c r="C547" s="138"/>
      <c r="D547" s="143"/>
      <c r="E547" s="143" t="s">
        <v>123</v>
      </c>
      <c r="F547" s="143">
        <v>3</v>
      </c>
      <c r="G547" s="15">
        <f t="shared" si="28"/>
        <v>1</v>
      </c>
      <c r="H547" s="131">
        <v>12</v>
      </c>
      <c r="I547" s="85"/>
      <c r="J547" s="27"/>
    </row>
    <row r="548" spans="1:10" customFormat="1" ht="16.5" x14ac:dyDescent="0.3">
      <c r="A548" s="131">
        <f t="shared" si="29"/>
        <v>13130</v>
      </c>
      <c r="B548" s="138" t="s">
        <v>280</v>
      </c>
      <c r="C548" s="138"/>
      <c r="D548" s="143"/>
      <c r="E548" s="143" t="s">
        <v>123</v>
      </c>
      <c r="F548" s="143">
        <v>3</v>
      </c>
      <c r="G548" s="15">
        <f t="shared" si="28"/>
        <v>1</v>
      </c>
      <c r="H548" s="131">
        <v>12</v>
      </c>
      <c r="I548" s="85"/>
      <c r="J548" s="27"/>
    </row>
    <row r="549" spans="1:10" customFormat="1" ht="16.5" x14ac:dyDescent="0.3">
      <c r="A549" s="131">
        <f t="shared" si="29"/>
        <v>13142</v>
      </c>
      <c r="B549" s="138" t="s">
        <v>281</v>
      </c>
      <c r="C549" s="138"/>
      <c r="D549" s="143"/>
      <c r="E549" s="143" t="s">
        <v>123</v>
      </c>
      <c r="F549" s="143">
        <v>3</v>
      </c>
      <c r="G549" s="15">
        <f t="shared" si="28"/>
        <v>1</v>
      </c>
      <c r="H549" s="131">
        <v>12</v>
      </c>
      <c r="I549" s="85"/>
      <c r="J549" s="27"/>
    </row>
    <row r="550" spans="1:10" customFormat="1" ht="16.5" x14ac:dyDescent="0.3">
      <c r="A550" s="131">
        <f t="shared" si="29"/>
        <v>13154</v>
      </c>
      <c r="B550" s="138" t="s">
        <v>282</v>
      </c>
      <c r="C550" s="138"/>
      <c r="D550" s="143"/>
      <c r="E550" s="143" t="s">
        <v>123</v>
      </c>
      <c r="F550" s="143">
        <v>3</v>
      </c>
      <c r="G550" s="15">
        <f t="shared" si="28"/>
        <v>1</v>
      </c>
      <c r="H550" s="131">
        <v>12</v>
      </c>
      <c r="I550" s="85"/>
      <c r="J550" s="27"/>
    </row>
    <row r="551" spans="1:10" customFormat="1" ht="16.5" x14ac:dyDescent="0.3">
      <c r="A551" s="131">
        <f t="shared" si="29"/>
        <v>13166</v>
      </c>
      <c r="B551" s="138" t="s">
        <v>283</v>
      </c>
      <c r="C551" s="138"/>
      <c r="D551" s="143"/>
      <c r="E551" s="143" t="s">
        <v>123</v>
      </c>
      <c r="F551" s="143">
        <v>3</v>
      </c>
      <c r="G551" s="15">
        <f t="shared" si="28"/>
        <v>1</v>
      </c>
      <c r="H551" s="131">
        <v>12</v>
      </c>
      <c r="I551" s="85"/>
      <c r="J551" s="27"/>
    </row>
    <row r="552" spans="1:10" customFormat="1" ht="16.5" x14ac:dyDescent="0.3">
      <c r="A552" s="131">
        <f t="shared" si="29"/>
        <v>13178</v>
      </c>
      <c r="B552" s="138" t="s">
        <v>284</v>
      </c>
      <c r="C552" s="138"/>
      <c r="D552" s="143"/>
      <c r="E552" s="143" t="s">
        <v>123</v>
      </c>
      <c r="F552" s="143">
        <v>3</v>
      </c>
      <c r="G552" s="15">
        <f t="shared" si="28"/>
        <v>1</v>
      </c>
      <c r="H552" s="131">
        <v>12</v>
      </c>
      <c r="I552" s="85"/>
      <c r="J552" s="27"/>
    </row>
    <row r="553" spans="1:10" customFormat="1" ht="16.5" x14ac:dyDescent="0.3">
      <c r="A553" s="131">
        <f t="shared" si="29"/>
        <v>13190</v>
      </c>
      <c r="B553" s="138" t="s">
        <v>285</v>
      </c>
      <c r="C553" s="138"/>
      <c r="D553" s="143"/>
      <c r="E553" s="143" t="s">
        <v>123</v>
      </c>
      <c r="F553" s="143">
        <v>3</v>
      </c>
      <c r="G553" s="15">
        <f t="shared" si="28"/>
        <v>1</v>
      </c>
      <c r="H553" s="131">
        <v>12</v>
      </c>
      <c r="I553" s="85"/>
      <c r="J553" s="27"/>
    </row>
    <row r="554" spans="1:10" customFormat="1" ht="16.5" x14ac:dyDescent="0.3">
      <c r="A554" s="131">
        <f t="shared" si="29"/>
        <v>13202</v>
      </c>
      <c r="B554" s="138" t="s">
        <v>286</v>
      </c>
      <c r="C554" s="138"/>
      <c r="D554" s="143"/>
      <c r="E554" s="143" t="s">
        <v>123</v>
      </c>
      <c r="F554" s="143">
        <v>3</v>
      </c>
      <c r="G554" s="15">
        <f t="shared" si="28"/>
        <v>1</v>
      </c>
      <c r="H554" s="131">
        <v>12</v>
      </c>
      <c r="I554" s="85"/>
      <c r="J554" s="27"/>
    </row>
    <row r="555" spans="1:10" customFormat="1" ht="16.5" x14ac:dyDescent="0.3">
      <c r="A555" s="131">
        <f t="shared" si="29"/>
        <v>13214</v>
      </c>
      <c r="B555" s="138" t="s">
        <v>287</v>
      </c>
      <c r="C555" s="138"/>
      <c r="D555" s="143"/>
      <c r="E555" s="143" t="s">
        <v>123</v>
      </c>
      <c r="F555" s="143">
        <v>3</v>
      </c>
      <c r="G555" s="15">
        <f t="shared" si="28"/>
        <v>1</v>
      </c>
      <c r="H555" s="131">
        <v>12</v>
      </c>
      <c r="I555" s="85"/>
      <c r="J555" s="27"/>
    </row>
    <row r="556" spans="1:10" ht="15.95" customHeight="1" x14ac:dyDescent="0.3">
      <c r="A556" s="131">
        <f t="shared" si="29"/>
        <v>13226</v>
      </c>
      <c r="B556" s="138" t="s">
        <v>288</v>
      </c>
      <c r="C556" s="138"/>
      <c r="D556" s="143"/>
      <c r="E556" s="143" t="s">
        <v>123</v>
      </c>
      <c r="F556" s="143">
        <v>3</v>
      </c>
      <c r="G556" s="15">
        <f t="shared" si="28"/>
        <v>1</v>
      </c>
      <c r="H556" s="131">
        <v>12</v>
      </c>
      <c r="I556" s="85"/>
    </row>
    <row r="557" spans="1:10" customFormat="1" ht="16.5" x14ac:dyDescent="0.3">
      <c r="A557" s="131">
        <f t="shared" si="29"/>
        <v>13238</v>
      </c>
      <c r="B557" s="138" t="s">
        <v>289</v>
      </c>
      <c r="C557" s="138"/>
      <c r="D557" s="143"/>
      <c r="E557" s="143" t="s">
        <v>123</v>
      </c>
      <c r="F557" s="143">
        <v>3</v>
      </c>
      <c r="G557" s="15">
        <f t="shared" si="28"/>
        <v>1</v>
      </c>
      <c r="H557" s="131">
        <v>12</v>
      </c>
      <c r="I557" s="85"/>
      <c r="J557" s="27"/>
    </row>
    <row r="558" spans="1:10" customFormat="1" ht="16.5" customHeight="1" x14ac:dyDescent="0.3">
      <c r="A558" s="131">
        <f t="shared" si="29"/>
        <v>13250</v>
      </c>
      <c r="B558" s="138" t="s">
        <v>290</v>
      </c>
      <c r="C558" s="138"/>
      <c r="D558" s="143"/>
      <c r="E558" s="143" t="s">
        <v>123</v>
      </c>
      <c r="F558" s="143">
        <v>3</v>
      </c>
      <c r="G558" s="15">
        <f t="shared" si="28"/>
        <v>1</v>
      </c>
      <c r="H558" s="131">
        <v>12</v>
      </c>
      <c r="I558" s="85"/>
      <c r="J558" s="27"/>
    </row>
    <row r="559" spans="1:10" customFormat="1" ht="16.5" x14ac:dyDescent="0.3">
      <c r="A559" s="131">
        <f t="shared" si="29"/>
        <v>13262</v>
      </c>
      <c r="B559" s="138" t="s">
        <v>291</v>
      </c>
      <c r="C559" s="138"/>
      <c r="D559" s="143"/>
      <c r="E559" s="143" t="s">
        <v>123</v>
      </c>
      <c r="F559" s="143">
        <v>3</v>
      </c>
      <c r="G559" s="15">
        <f t="shared" si="28"/>
        <v>1</v>
      </c>
      <c r="H559" s="131">
        <v>12</v>
      </c>
      <c r="I559" s="85"/>
      <c r="J559" s="27"/>
    </row>
    <row r="560" spans="1:10" customFormat="1" ht="16.5" x14ac:dyDescent="0.3">
      <c r="A560" s="131">
        <f t="shared" si="29"/>
        <v>13274</v>
      </c>
      <c r="B560" s="138" t="s">
        <v>292</v>
      </c>
      <c r="C560" s="138"/>
      <c r="D560" s="143"/>
      <c r="E560" s="143" t="s">
        <v>123</v>
      </c>
      <c r="F560" s="143">
        <v>3</v>
      </c>
      <c r="G560" s="15">
        <f t="shared" si="28"/>
        <v>1</v>
      </c>
      <c r="H560" s="131">
        <v>12</v>
      </c>
      <c r="I560" s="85"/>
      <c r="J560" s="27"/>
    </row>
    <row r="561" spans="1:10" customFormat="1" ht="16.5" x14ac:dyDescent="0.3">
      <c r="A561" s="131">
        <f t="shared" si="29"/>
        <v>13286</v>
      </c>
      <c r="B561" s="138" t="s">
        <v>293</v>
      </c>
      <c r="C561" s="138"/>
      <c r="D561" s="143"/>
      <c r="E561" s="143" t="s">
        <v>123</v>
      </c>
      <c r="F561" s="143">
        <v>3</v>
      </c>
      <c r="G561" s="15">
        <f t="shared" si="28"/>
        <v>1</v>
      </c>
      <c r="H561" s="131">
        <v>12</v>
      </c>
      <c r="I561" s="85"/>
      <c r="J561" s="27"/>
    </row>
    <row r="562" spans="1:10" customFormat="1" ht="16.5" x14ac:dyDescent="0.3">
      <c r="A562" s="131">
        <f t="shared" si="29"/>
        <v>13298</v>
      </c>
      <c r="B562" s="138" t="s">
        <v>294</v>
      </c>
      <c r="C562" s="138"/>
      <c r="D562" s="143"/>
      <c r="E562" s="143" t="s">
        <v>123</v>
      </c>
      <c r="F562" s="143">
        <v>3</v>
      </c>
      <c r="G562" s="15">
        <f t="shared" si="28"/>
        <v>1</v>
      </c>
      <c r="H562" s="131">
        <v>12</v>
      </c>
      <c r="I562" s="85"/>
      <c r="J562" s="27"/>
    </row>
    <row r="563" spans="1:10" customFormat="1" ht="16.5" x14ac:dyDescent="0.3">
      <c r="A563" s="131">
        <f t="shared" si="29"/>
        <v>13310</v>
      </c>
      <c r="B563" s="138" t="s">
        <v>295</v>
      </c>
      <c r="C563" s="138"/>
      <c r="D563" s="143"/>
      <c r="E563" s="143" t="s">
        <v>123</v>
      </c>
      <c r="F563" s="143">
        <v>3</v>
      </c>
      <c r="G563" s="15">
        <f t="shared" si="28"/>
        <v>1</v>
      </c>
      <c r="H563" s="131">
        <v>12</v>
      </c>
      <c r="I563" s="85"/>
      <c r="J563" s="27"/>
    </row>
    <row r="564" spans="1:10" customFormat="1" ht="16.5" x14ac:dyDescent="0.3">
      <c r="A564" s="131">
        <f t="shared" si="29"/>
        <v>13322</v>
      </c>
      <c r="B564" s="138" t="s">
        <v>296</v>
      </c>
      <c r="C564" s="138"/>
      <c r="D564" s="143"/>
      <c r="E564" s="143" t="s">
        <v>123</v>
      </c>
      <c r="F564" s="143">
        <v>3</v>
      </c>
      <c r="G564" s="15">
        <f t="shared" si="28"/>
        <v>1</v>
      </c>
      <c r="H564" s="131">
        <v>12</v>
      </c>
      <c r="I564" s="85"/>
      <c r="J564" s="27"/>
    </row>
    <row r="565" spans="1:10" customFormat="1" ht="16.5" x14ac:dyDescent="0.3">
      <c r="A565" s="131">
        <f t="shared" si="29"/>
        <v>13334</v>
      </c>
      <c r="B565" s="138" t="s">
        <v>297</v>
      </c>
      <c r="C565" s="138"/>
      <c r="D565" s="143"/>
      <c r="E565" s="143" t="s">
        <v>123</v>
      </c>
      <c r="F565" s="143">
        <v>3</v>
      </c>
      <c r="G565" s="15">
        <f t="shared" si="28"/>
        <v>1</v>
      </c>
      <c r="H565" s="131">
        <v>12</v>
      </c>
      <c r="I565" s="85"/>
      <c r="J565" s="27"/>
    </row>
    <row r="566" spans="1:10" customFormat="1" ht="16.5" x14ac:dyDescent="0.3">
      <c r="A566" s="131">
        <f t="shared" si="29"/>
        <v>13346</v>
      </c>
      <c r="B566" s="138" t="s">
        <v>298</v>
      </c>
      <c r="C566" s="138"/>
      <c r="D566" s="143"/>
      <c r="E566" s="143" t="s">
        <v>123</v>
      </c>
      <c r="F566" s="143">
        <v>3</v>
      </c>
      <c r="G566" s="15">
        <f t="shared" si="28"/>
        <v>1</v>
      </c>
      <c r="H566" s="131">
        <v>12</v>
      </c>
      <c r="I566" s="85"/>
      <c r="J566" s="27"/>
    </row>
    <row r="567" spans="1:10" customFormat="1" ht="16.5" x14ac:dyDescent="0.3">
      <c r="A567" s="131">
        <f t="shared" si="29"/>
        <v>13358</v>
      </c>
      <c r="B567" s="138" t="s">
        <v>299</v>
      </c>
      <c r="C567" s="138"/>
      <c r="D567" s="143"/>
      <c r="E567" s="143" t="s">
        <v>123</v>
      </c>
      <c r="F567" s="143">
        <v>3</v>
      </c>
      <c r="G567" s="15">
        <f t="shared" si="28"/>
        <v>1</v>
      </c>
      <c r="H567" s="131">
        <v>12</v>
      </c>
      <c r="I567" s="85"/>
      <c r="J567" s="27"/>
    </row>
    <row r="568" spans="1:10" customFormat="1" ht="16.5" x14ac:dyDescent="0.3">
      <c r="A568" s="131">
        <f t="shared" si="29"/>
        <v>13370</v>
      </c>
      <c r="B568" s="138" t="s">
        <v>300</v>
      </c>
      <c r="C568" s="138"/>
      <c r="D568" s="143"/>
      <c r="E568" s="143" t="s">
        <v>123</v>
      </c>
      <c r="F568" s="143">
        <v>3</v>
      </c>
      <c r="G568" s="15">
        <f t="shared" si="28"/>
        <v>1</v>
      </c>
      <c r="H568" s="131">
        <v>12</v>
      </c>
      <c r="I568" s="85"/>
      <c r="J568" s="27"/>
    </row>
    <row r="569" spans="1:10" customFormat="1" ht="16.5" x14ac:dyDescent="0.3">
      <c r="A569" s="131">
        <f t="shared" si="29"/>
        <v>13382</v>
      </c>
      <c r="B569" s="138" t="s">
        <v>301</v>
      </c>
      <c r="C569" s="138"/>
      <c r="D569" s="143"/>
      <c r="E569" s="143" t="s">
        <v>123</v>
      </c>
      <c r="F569" s="143">
        <v>3</v>
      </c>
      <c r="G569" s="15">
        <f t="shared" si="28"/>
        <v>1</v>
      </c>
      <c r="H569" s="131">
        <v>12</v>
      </c>
      <c r="I569" s="85"/>
      <c r="J569" s="27"/>
    </row>
    <row r="570" spans="1:10" customFormat="1" ht="16.5" x14ac:dyDescent="0.3">
      <c r="A570" s="131">
        <f t="shared" si="29"/>
        <v>13394</v>
      </c>
      <c r="B570" s="138" t="s">
        <v>302</v>
      </c>
      <c r="C570" s="138"/>
      <c r="D570" s="143"/>
      <c r="E570" s="143" t="s">
        <v>123</v>
      </c>
      <c r="F570" s="143">
        <v>3</v>
      </c>
      <c r="G570" s="15">
        <f t="shared" si="28"/>
        <v>1</v>
      </c>
      <c r="H570" s="131">
        <v>12</v>
      </c>
      <c r="I570" s="85"/>
      <c r="J570" s="27"/>
    </row>
    <row r="571" spans="1:10" customFormat="1" ht="16.5" x14ac:dyDescent="0.3">
      <c r="A571" s="131">
        <f t="shared" si="29"/>
        <v>13406</v>
      </c>
      <c r="B571" s="138" t="s">
        <v>382</v>
      </c>
      <c r="C571" s="138"/>
      <c r="D571" s="143"/>
      <c r="E571" s="143" t="s">
        <v>123</v>
      </c>
      <c r="F571" s="143">
        <v>3</v>
      </c>
      <c r="G571" s="15">
        <f>IF(OR(E571="U16", E571="S16"),1,IF(E571="TS",6,2))</f>
        <v>1</v>
      </c>
      <c r="H571" s="131">
        <v>12</v>
      </c>
      <c r="I571" s="85"/>
      <c r="J571" s="27"/>
    </row>
    <row r="572" spans="1:10" customFormat="1" ht="16.5" x14ac:dyDescent="0.3">
      <c r="A572" s="131">
        <f t="shared" si="29"/>
        <v>13418</v>
      </c>
      <c r="B572" s="138"/>
      <c r="C572" s="138"/>
      <c r="D572" s="143"/>
      <c r="E572" s="143" t="s">
        <v>123</v>
      </c>
      <c r="F572" s="143">
        <v>3</v>
      </c>
      <c r="G572" s="15">
        <f>IF(OR(E572="U16", E572="S16"),1,IF(E572="TS",6,2))</f>
        <v>1</v>
      </c>
      <c r="H572" s="131">
        <v>2</v>
      </c>
      <c r="I572" s="85"/>
      <c r="J572" s="27"/>
    </row>
    <row r="573" spans="1:10" customFormat="1" ht="16.5" customHeight="1" x14ac:dyDescent="0.3">
      <c r="A573" s="162" t="s">
        <v>589</v>
      </c>
      <c r="B573" s="162"/>
      <c r="C573" s="162"/>
      <c r="D573" s="162"/>
      <c r="E573" s="162"/>
      <c r="F573" s="162"/>
      <c r="G573" s="162"/>
      <c r="H573" s="162"/>
      <c r="I573" s="88"/>
      <c r="J573" s="27"/>
    </row>
    <row r="574" spans="1:10" ht="15.75" customHeight="1" x14ac:dyDescent="0.3">
      <c r="A574" s="131">
        <f>A572+(G572*H572)</f>
        <v>13420</v>
      </c>
      <c r="B574" s="11"/>
      <c r="C574" s="138"/>
      <c r="D574" s="131"/>
      <c r="E574" s="15" t="s">
        <v>123</v>
      </c>
      <c r="F574" s="15">
        <v>3</v>
      </c>
      <c r="G574" s="15">
        <f t="shared" ref="G574:G583" si="30">IF(OR(E574="U16", E574="S16"),1,IF(E574="TS",6,2))</f>
        <v>1</v>
      </c>
      <c r="H574" s="131">
        <v>1</v>
      </c>
      <c r="I574" s="85"/>
    </row>
    <row r="575" spans="1:10" ht="15.95" customHeight="1" x14ac:dyDescent="0.3">
      <c r="A575" s="131">
        <f>A574+(G574*H574)</f>
        <v>13421</v>
      </c>
      <c r="B575" s="11"/>
      <c r="C575" s="138"/>
      <c r="D575" s="131"/>
      <c r="E575" s="15" t="s">
        <v>123</v>
      </c>
      <c r="F575" s="15">
        <v>3</v>
      </c>
      <c r="G575" s="15">
        <f t="shared" si="30"/>
        <v>1</v>
      </c>
      <c r="H575" s="131">
        <v>1</v>
      </c>
      <c r="I575" s="85"/>
    </row>
    <row r="576" spans="1:10" ht="15.95" customHeight="1" x14ac:dyDescent="0.3">
      <c r="A576" s="131">
        <f t="shared" ref="A576:A583" si="31">A575+(G575*H575)</f>
        <v>13422</v>
      </c>
      <c r="B576" s="11"/>
      <c r="C576" s="138"/>
      <c r="D576" s="131"/>
      <c r="E576" s="15" t="s">
        <v>123</v>
      </c>
      <c r="F576" s="15">
        <v>3</v>
      </c>
      <c r="G576" s="15">
        <f t="shared" si="30"/>
        <v>1</v>
      </c>
      <c r="H576" s="131">
        <v>1</v>
      </c>
      <c r="I576" s="85"/>
    </row>
    <row r="577" spans="1:10" ht="15.95" customHeight="1" x14ac:dyDescent="0.3">
      <c r="A577" s="131">
        <f t="shared" si="31"/>
        <v>13423</v>
      </c>
      <c r="B577" s="11" t="s">
        <v>587</v>
      </c>
      <c r="C577" s="138"/>
      <c r="D577" s="131"/>
      <c r="E577" s="15" t="s">
        <v>123</v>
      </c>
      <c r="F577" s="15">
        <v>3</v>
      </c>
      <c r="G577" s="15">
        <f t="shared" si="30"/>
        <v>1</v>
      </c>
      <c r="H577" s="131">
        <v>1</v>
      </c>
      <c r="I577" s="85"/>
    </row>
    <row r="578" spans="1:10" customFormat="1" ht="16.5" x14ac:dyDescent="0.3">
      <c r="A578" s="131">
        <f t="shared" si="31"/>
        <v>13424</v>
      </c>
      <c r="B578" s="11" t="s">
        <v>588</v>
      </c>
      <c r="C578" s="138"/>
      <c r="D578" s="131"/>
      <c r="E578" s="15" t="s">
        <v>123</v>
      </c>
      <c r="F578" s="15">
        <v>3</v>
      </c>
      <c r="G578" s="15">
        <f t="shared" si="30"/>
        <v>1</v>
      </c>
      <c r="H578" s="131">
        <v>1</v>
      </c>
      <c r="I578" s="85"/>
      <c r="J578" s="27"/>
    </row>
    <row r="579" spans="1:10" customFormat="1" ht="16.5" customHeight="1" x14ac:dyDescent="0.3">
      <c r="A579" s="131">
        <f t="shared" si="31"/>
        <v>13425</v>
      </c>
      <c r="B579" s="11"/>
      <c r="C579" s="138"/>
      <c r="D579" s="131"/>
      <c r="E579" s="15" t="s">
        <v>123</v>
      </c>
      <c r="F579" s="15">
        <v>3</v>
      </c>
      <c r="G579" s="15">
        <f t="shared" si="30"/>
        <v>1</v>
      </c>
      <c r="H579" s="131">
        <v>1</v>
      </c>
      <c r="I579" s="85"/>
      <c r="J579" s="27"/>
    </row>
    <row r="580" spans="1:10" customFormat="1" ht="16.5" x14ac:dyDescent="0.3">
      <c r="A580" s="131">
        <f t="shared" si="31"/>
        <v>13426</v>
      </c>
      <c r="B580" s="11"/>
      <c r="C580" s="138"/>
      <c r="D580" s="131"/>
      <c r="E580" s="15" t="s">
        <v>123</v>
      </c>
      <c r="F580" s="15">
        <v>3</v>
      </c>
      <c r="G580" s="15">
        <f t="shared" si="30"/>
        <v>1</v>
      </c>
      <c r="H580" s="131">
        <v>1</v>
      </c>
      <c r="I580" s="85"/>
      <c r="J580" s="27"/>
    </row>
    <row r="581" spans="1:10" customFormat="1" ht="16.5" x14ac:dyDescent="0.3">
      <c r="A581" s="131">
        <f t="shared" si="31"/>
        <v>13427</v>
      </c>
      <c r="B581" s="11"/>
      <c r="C581" s="138"/>
      <c r="D581" s="131"/>
      <c r="E581" s="15" t="s">
        <v>123</v>
      </c>
      <c r="F581" s="15">
        <v>3</v>
      </c>
      <c r="G581" s="15">
        <f t="shared" si="30"/>
        <v>1</v>
      </c>
      <c r="H581" s="131">
        <v>1</v>
      </c>
      <c r="I581" s="85"/>
      <c r="J581" s="27"/>
    </row>
    <row r="582" spans="1:10" customFormat="1" ht="16.5" customHeight="1" x14ac:dyDescent="0.3">
      <c r="A582" s="131">
        <f t="shared" si="31"/>
        <v>13428</v>
      </c>
      <c r="B582" s="11"/>
      <c r="C582" s="138"/>
      <c r="D582" s="131"/>
      <c r="E582" s="15" t="s">
        <v>123</v>
      </c>
      <c r="F582" s="15">
        <v>3</v>
      </c>
      <c r="G582" s="15">
        <f t="shared" si="30"/>
        <v>1</v>
      </c>
      <c r="H582" s="131">
        <v>1</v>
      </c>
      <c r="I582" s="85"/>
      <c r="J582" s="27"/>
    </row>
    <row r="583" spans="1:10" customFormat="1" ht="16.5" x14ac:dyDescent="0.3">
      <c r="A583" s="131">
        <f t="shared" si="31"/>
        <v>13429</v>
      </c>
      <c r="B583" s="11"/>
      <c r="C583" s="138"/>
      <c r="D583" s="131"/>
      <c r="E583" s="15" t="s">
        <v>123</v>
      </c>
      <c r="F583" s="15">
        <v>3</v>
      </c>
      <c r="G583" s="15">
        <f t="shared" si="30"/>
        <v>1</v>
      </c>
      <c r="H583" s="131">
        <v>1</v>
      </c>
      <c r="I583" s="85"/>
      <c r="J583" s="27"/>
    </row>
    <row r="584" spans="1:10" ht="15.95" customHeight="1" x14ac:dyDescent="0.3">
      <c r="A584" s="162" t="s">
        <v>115</v>
      </c>
      <c r="B584" s="162"/>
      <c r="C584" s="162"/>
      <c r="D584" s="162"/>
      <c r="E584" s="162"/>
      <c r="F584" s="162"/>
      <c r="G584" s="162"/>
      <c r="H584" s="162"/>
      <c r="I584" s="93"/>
      <c r="J584" s="183" t="s">
        <v>266</v>
      </c>
    </row>
    <row r="585" spans="1:10" ht="15.95" customHeight="1" x14ac:dyDescent="0.3">
      <c r="A585" s="131">
        <f>A583+(G583*H583)</f>
        <v>13430</v>
      </c>
      <c r="B585" s="138" t="s">
        <v>179</v>
      </c>
      <c r="C585" s="138"/>
      <c r="D585" s="131"/>
      <c r="E585" s="15" t="s">
        <v>114</v>
      </c>
      <c r="F585" s="15">
        <v>3</v>
      </c>
      <c r="G585" s="15">
        <f t="shared" ref="G585:G596" si="32">IF(OR(E585="U16", E585="S16"),1,IF(E585="TS",6,2))</f>
        <v>1</v>
      </c>
      <c r="H585" s="131">
        <v>160</v>
      </c>
      <c r="I585" s="89"/>
      <c r="J585" s="183"/>
    </row>
    <row r="586" spans="1:10" ht="15.95" customHeight="1" x14ac:dyDescent="0.3">
      <c r="A586" s="131">
        <f t="shared" ref="A586:A596" si="33">A585+(G585*H585)</f>
        <v>13590</v>
      </c>
      <c r="B586" s="138" t="s">
        <v>32</v>
      </c>
      <c r="C586" s="138"/>
      <c r="D586" s="131"/>
      <c r="E586" s="15" t="s">
        <v>114</v>
      </c>
      <c r="F586" s="15">
        <v>3</v>
      </c>
      <c r="G586" s="15">
        <f t="shared" si="32"/>
        <v>1</v>
      </c>
      <c r="H586" s="131">
        <v>160</v>
      </c>
      <c r="I586" s="89"/>
      <c r="J586" s="183"/>
    </row>
    <row r="587" spans="1:10" ht="15.95" customHeight="1" x14ac:dyDescent="0.3">
      <c r="A587" s="131">
        <f t="shared" si="33"/>
        <v>13750</v>
      </c>
      <c r="B587" s="138" t="s">
        <v>33</v>
      </c>
      <c r="C587" s="138"/>
      <c r="D587" s="131"/>
      <c r="E587" s="15" t="s">
        <v>114</v>
      </c>
      <c r="F587" s="15">
        <v>3</v>
      </c>
      <c r="G587" s="15">
        <f t="shared" si="32"/>
        <v>1</v>
      </c>
      <c r="H587" s="131">
        <v>160</v>
      </c>
      <c r="I587" s="89"/>
      <c r="J587" s="183"/>
    </row>
    <row r="588" spans="1:10" ht="15.95" customHeight="1" x14ac:dyDescent="0.3">
      <c r="A588" s="131">
        <f t="shared" si="33"/>
        <v>13910</v>
      </c>
      <c r="B588" s="138" t="s">
        <v>34</v>
      </c>
      <c r="C588" s="138"/>
      <c r="D588" s="131"/>
      <c r="E588" s="15" t="s">
        <v>114</v>
      </c>
      <c r="F588" s="15">
        <v>3</v>
      </c>
      <c r="G588" s="15">
        <f t="shared" si="32"/>
        <v>1</v>
      </c>
      <c r="H588" s="131">
        <v>160</v>
      </c>
      <c r="I588" s="89"/>
      <c r="J588" s="183"/>
    </row>
    <row r="589" spans="1:10" ht="15.95" customHeight="1" x14ac:dyDescent="0.3">
      <c r="A589" s="131">
        <f t="shared" si="33"/>
        <v>14070</v>
      </c>
      <c r="B589" s="138" t="s">
        <v>35</v>
      </c>
      <c r="C589" s="138"/>
      <c r="D589" s="131"/>
      <c r="E589" s="15" t="s">
        <v>114</v>
      </c>
      <c r="F589" s="15">
        <v>3</v>
      </c>
      <c r="G589" s="15">
        <f t="shared" si="32"/>
        <v>1</v>
      </c>
      <c r="H589" s="131">
        <v>160</v>
      </c>
      <c r="I589" s="89"/>
      <c r="J589" s="183"/>
    </row>
    <row r="590" spans="1:10" ht="15.95" customHeight="1" x14ac:dyDescent="0.3">
      <c r="A590" s="131">
        <f t="shared" si="33"/>
        <v>14230</v>
      </c>
      <c r="B590" s="138" t="s">
        <v>36</v>
      </c>
      <c r="C590" s="138"/>
      <c r="D590" s="131"/>
      <c r="E590" s="15" t="s">
        <v>114</v>
      </c>
      <c r="F590" s="15">
        <v>3</v>
      </c>
      <c r="G590" s="15">
        <f t="shared" si="32"/>
        <v>1</v>
      </c>
      <c r="H590" s="131">
        <v>160</v>
      </c>
      <c r="I590" s="89"/>
      <c r="J590" s="183"/>
    </row>
    <row r="591" spans="1:10" ht="15.95" customHeight="1" x14ac:dyDescent="0.3">
      <c r="A591" s="131">
        <f t="shared" si="33"/>
        <v>14390</v>
      </c>
      <c r="B591" s="138" t="s">
        <v>37</v>
      </c>
      <c r="C591" s="138"/>
      <c r="D591" s="131"/>
      <c r="E591" s="15" t="s">
        <v>114</v>
      </c>
      <c r="F591" s="15">
        <v>3</v>
      </c>
      <c r="G591" s="15">
        <f t="shared" si="32"/>
        <v>1</v>
      </c>
      <c r="H591" s="131">
        <v>160</v>
      </c>
      <c r="I591" s="89"/>
      <c r="J591" s="183"/>
    </row>
    <row r="592" spans="1:10" ht="15.95" customHeight="1" x14ac:dyDescent="0.3">
      <c r="A592" s="131">
        <f t="shared" si="33"/>
        <v>14550</v>
      </c>
      <c r="B592" s="138" t="s">
        <v>38</v>
      </c>
      <c r="C592" s="138"/>
      <c r="D592" s="131"/>
      <c r="E592" s="15" t="s">
        <v>114</v>
      </c>
      <c r="F592" s="15">
        <v>3</v>
      </c>
      <c r="G592" s="15">
        <f t="shared" si="32"/>
        <v>1</v>
      </c>
      <c r="H592" s="131">
        <v>160</v>
      </c>
      <c r="I592" s="89"/>
      <c r="J592" s="183"/>
    </row>
    <row r="593" spans="1:10" ht="15.95" customHeight="1" x14ac:dyDescent="0.3">
      <c r="A593" s="131">
        <f t="shared" si="33"/>
        <v>14710</v>
      </c>
      <c r="B593" s="138" t="s">
        <v>39</v>
      </c>
      <c r="C593" s="138"/>
      <c r="D593" s="131"/>
      <c r="E593" s="15" t="s">
        <v>114</v>
      </c>
      <c r="F593" s="15">
        <v>3</v>
      </c>
      <c r="G593" s="15">
        <f t="shared" si="32"/>
        <v>1</v>
      </c>
      <c r="H593" s="131">
        <v>160</v>
      </c>
      <c r="I593" s="89"/>
      <c r="J593" s="183"/>
    </row>
    <row r="594" spans="1:10" ht="15.95" customHeight="1" x14ac:dyDescent="0.3">
      <c r="A594" s="131">
        <f t="shared" si="33"/>
        <v>14870</v>
      </c>
      <c r="B594" s="138" t="s">
        <v>547</v>
      </c>
      <c r="C594" s="138"/>
      <c r="D594" s="131"/>
      <c r="E594" s="15" t="s">
        <v>436</v>
      </c>
      <c r="F594" s="15">
        <v>3</v>
      </c>
      <c r="G594" s="15">
        <f>IF(OR(E594="U16", E594="S16"),1,IF(E594="TS",6,2))</f>
        <v>2</v>
      </c>
      <c r="H594" s="131">
        <v>1</v>
      </c>
      <c r="I594" s="89"/>
      <c r="J594" s="183"/>
    </row>
    <row r="595" spans="1:10" ht="15.95" customHeight="1" x14ac:dyDescent="0.3">
      <c r="A595" s="131">
        <f t="shared" si="33"/>
        <v>14872</v>
      </c>
      <c r="B595" s="138" t="s">
        <v>548</v>
      </c>
      <c r="C595" s="138"/>
      <c r="D595" s="131"/>
      <c r="E595" s="15" t="s">
        <v>436</v>
      </c>
      <c r="F595" s="15">
        <v>3</v>
      </c>
      <c r="G595" s="15">
        <f t="shared" si="32"/>
        <v>2</v>
      </c>
      <c r="H595" s="131">
        <v>1</v>
      </c>
      <c r="I595" s="89"/>
      <c r="J595" s="183"/>
    </row>
    <row r="596" spans="1:10" ht="15.95" customHeight="1" x14ac:dyDescent="0.3">
      <c r="A596" s="131">
        <f t="shared" si="33"/>
        <v>14874</v>
      </c>
      <c r="B596" s="138"/>
      <c r="C596" s="138"/>
      <c r="D596" s="131"/>
      <c r="E596" s="15" t="s">
        <v>114</v>
      </c>
      <c r="F596" s="15">
        <v>3</v>
      </c>
      <c r="G596" s="15">
        <f t="shared" si="32"/>
        <v>1</v>
      </c>
      <c r="H596" s="131">
        <v>6</v>
      </c>
      <c r="I596" s="85"/>
      <c r="J596" s="70"/>
    </row>
    <row r="597" spans="1:10" customFormat="1" ht="16.5" x14ac:dyDescent="0.3">
      <c r="A597" s="162" t="s">
        <v>538</v>
      </c>
      <c r="B597" s="162"/>
      <c r="C597" s="162"/>
      <c r="D597" s="162"/>
      <c r="E597" s="162"/>
      <c r="F597" s="162"/>
      <c r="G597" s="162"/>
      <c r="H597" s="162"/>
      <c r="I597" s="88"/>
      <c r="J597" s="27"/>
    </row>
    <row r="598" spans="1:10" customFormat="1" ht="16.5" x14ac:dyDescent="0.3">
      <c r="A598" s="131">
        <f>A596+(G596*H596)</f>
        <v>14880</v>
      </c>
      <c r="B598" s="138" t="s">
        <v>873</v>
      </c>
      <c r="C598" s="138"/>
      <c r="D598" s="131"/>
      <c r="E598" s="15" t="s">
        <v>91</v>
      </c>
      <c r="F598" s="15">
        <v>3</v>
      </c>
      <c r="G598" s="15">
        <f t="shared" ref="G598:G645" si="34">IF(OR(E598="U16", E598="S16"),1,IF(E598="TS",6,2))</f>
        <v>2</v>
      </c>
      <c r="H598" s="131">
        <v>1</v>
      </c>
      <c r="I598" s="85"/>
      <c r="J598" s="27"/>
    </row>
    <row r="599" spans="1:10" customFormat="1" ht="16.5" x14ac:dyDescent="0.3">
      <c r="A599" s="131">
        <f t="shared" ref="A599:A646" si="35">A598+(G598*H598)</f>
        <v>14882</v>
      </c>
      <c r="B599" s="138" t="s">
        <v>154</v>
      </c>
      <c r="C599" s="138"/>
      <c r="D599" s="131"/>
      <c r="E599" s="15" t="s">
        <v>58</v>
      </c>
      <c r="F599" s="15">
        <v>3</v>
      </c>
      <c r="G599" s="15">
        <f t="shared" si="34"/>
        <v>2</v>
      </c>
      <c r="H599" s="131">
        <v>1</v>
      </c>
      <c r="I599" s="85"/>
      <c r="J599" s="27"/>
    </row>
    <row r="600" spans="1:10" customFormat="1" ht="16.5" x14ac:dyDescent="0.3">
      <c r="A600" s="131">
        <f t="shared" si="35"/>
        <v>14884</v>
      </c>
      <c r="B600" s="138" t="s">
        <v>155</v>
      </c>
      <c r="C600" s="138"/>
      <c r="D600" s="138"/>
      <c r="E600" s="15" t="s">
        <v>58</v>
      </c>
      <c r="F600" s="15">
        <v>3</v>
      </c>
      <c r="G600" s="15">
        <f t="shared" si="34"/>
        <v>2</v>
      </c>
      <c r="H600" s="131">
        <v>1</v>
      </c>
      <c r="I600" s="85"/>
      <c r="J600" s="27"/>
    </row>
    <row r="601" spans="1:10" customFormat="1" ht="16.5" x14ac:dyDescent="0.3">
      <c r="A601" s="131">
        <f t="shared" si="35"/>
        <v>14886</v>
      </c>
      <c r="B601" s="138" t="s">
        <v>156</v>
      </c>
      <c r="C601" s="138"/>
      <c r="D601" s="138"/>
      <c r="E601" s="15" t="s">
        <v>58</v>
      </c>
      <c r="F601" s="15">
        <v>3</v>
      </c>
      <c r="G601" s="15">
        <f t="shared" si="34"/>
        <v>2</v>
      </c>
      <c r="H601" s="131">
        <v>1</v>
      </c>
      <c r="I601" s="85"/>
      <c r="J601" s="27"/>
    </row>
    <row r="602" spans="1:10" customFormat="1" ht="16.5" x14ac:dyDescent="0.3">
      <c r="A602" s="131">
        <f t="shared" si="35"/>
        <v>14888</v>
      </c>
      <c r="B602" s="138" t="s">
        <v>874</v>
      </c>
      <c r="C602" s="138"/>
      <c r="D602" s="138"/>
      <c r="E602" s="15" t="s">
        <v>58</v>
      </c>
      <c r="F602" s="15">
        <v>3</v>
      </c>
      <c r="G602" s="15">
        <f t="shared" si="34"/>
        <v>2</v>
      </c>
      <c r="H602" s="131">
        <v>1</v>
      </c>
      <c r="I602" s="85"/>
      <c r="J602" s="27"/>
    </row>
    <row r="603" spans="1:10" customFormat="1" ht="16.5" x14ac:dyDescent="0.3">
      <c r="A603" s="131">
        <f t="shared" si="35"/>
        <v>14890</v>
      </c>
      <c r="B603" s="138" t="s">
        <v>875</v>
      </c>
      <c r="C603" s="138"/>
      <c r="D603" s="138"/>
      <c r="E603" s="15" t="s">
        <v>58</v>
      </c>
      <c r="F603" s="15">
        <v>3</v>
      </c>
      <c r="G603" s="15">
        <f t="shared" si="34"/>
        <v>2</v>
      </c>
      <c r="H603" s="131">
        <v>1</v>
      </c>
      <c r="I603" s="85"/>
      <c r="J603" s="27"/>
    </row>
    <row r="604" spans="1:10" customFormat="1" ht="16.5" x14ac:dyDescent="0.3">
      <c r="A604" s="131">
        <f t="shared" si="35"/>
        <v>14892</v>
      </c>
      <c r="B604" s="138" t="s">
        <v>876</v>
      </c>
      <c r="C604" s="138"/>
      <c r="D604" s="138"/>
      <c r="E604" s="15" t="s">
        <v>58</v>
      </c>
      <c r="F604" s="15">
        <v>3</v>
      </c>
      <c r="G604" s="15">
        <f t="shared" si="34"/>
        <v>2</v>
      </c>
      <c r="H604" s="131">
        <v>1</v>
      </c>
      <c r="I604" s="85"/>
      <c r="J604" s="27"/>
    </row>
    <row r="605" spans="1:10" ht="15.95" customHeight="1" x14ac:dyDescent="0.3">
      <c r="A605" s="131">
        <f t="shared" si="35"/>
        <v>14894</v>
      </c>
      <c r="B605" s="138" t="s">
        <v>877</v>
      </c>
      <c r="C605" s="138"/>
      <c r="D605" s="138"/>
      <c r="E605" s="15" t="s">
        <v>58</v>
      </c>
      <c r="F605" s="15">
        <v>3</v>
      </c>
      <c r="G605" s="15">
        <f>IF(OR(E605="U16", E605="S16"),1,IF(E605="TS",6,2))</f>
        <v>2</v>
      </c>
      <c r="H605" s="131">
        <v>1</v>
      </c>
      <c r="I605" s="85"/>
    </row>
    <row r="606" spans="1:10" customFormat="1" ht="16.5" x14ac:dyDescent="0.3">
      <c r="A606" s="131">
        <f t="shared" si="35"/>
        <v>14896</v>
      </c>
      <c r="B606" s="138" t="s">
        <v>878</v>
      </c>
      <c r="C606" s="138"/>
      <c r="D606" s="138"/>
      <c r="E606" s="15" t="s">
        <v>58</v>
      </c>
      <c r="F606" s="15">
        <v>3</v>
      </c>
      <c r="G606" s="15">
        <f>IF(OR(E606="U16", E606="S16"),1,IF(E606="TS",6,2))</f>
        <v>2</v>
      </c>
      <c r="H606" s="131">
        <v>1</v>
      </c>
      <c r="I606" s="85"/>
      <c r="J606" s="27"/>
    </row>
    <row r="607" spans="1:10" customFormat="1" ht="16.5" customHeight="1" x14ac:dyDescent="0.3">
      <c r="A607" s="131">
        <f t="shared" si="35"/>
        <v>14898</v>
      </c>
      <c r="B607" s="138" t="s">
        <v>879</v>
      </c>
      <c r="C607" s="138"/>
      <c r="D607" s="138"/>
      <c r="E607" s="15" t="s">
        <v>58</v>
      </c>
      <c r="F607" s="15">
        <v>3</v>
      </c>
      <c r="G607" s="15">
        <f>IF(OR(E607="U16", E607="S16"),1,IF(E607="TS",6,2))</f>
        <v>2</v>
      </c>
      <c r="H607" s="131">
        <v>1</v>
      </c>
      <c r="I607" s="85"/>
      <c r="J607" s="27"/>
    </row>
    <row r="608" spans="1:10" customFormat="1" ht="16.5" x14ac:dyDescent="0.3">
      <c r="A608" s="131">
        <f t="shared" si="35"/>
        <v>14900</v>
      </c>
      <c r="B608" s="138" t="s">
        <v>880</v>
      </c>
      <c r="C608" s="138"/>
      <c r="D608" s="138"/>
      <c r="E608" s="15" t="s">
        <v>58</v>
      </c>
      <c r="F608" s="15">
        <v>3</v>
      </c>
      <c r="G608" s="15">
        <f t="shared" si="34"/>
        <v>2</v>
      </c>
      <c r="H608" s="131">
        <v>1</v>
      </c>
      <c r="I608" s="85"/>
      <c r="J608" s="27"/>
    </row>
    <row r="609" spans="1:10" customFormat="1" ht="16.5" x14ac:dyDescent="0.3">
      <c r="A609" s="131">
        <f t="shared" si="35"/>
        <v>14902</v>
      </c>
      <c r="B609" s="138" t="s">
        <v>881</v>
      </c>
      <c r="C609" s="138"/>
      <c r="D609" s="138"/>
      <c r="E609" s="15" t="s">
        <v>58</v>
      </c>
      <c r="F609" s="15">
        <v>3</v>
      </c>
      <c r="G609" s="15">
        <f t="shared" si="34"/>
        <v>2</v>
      </c>
      <c r="H609" s="131">
        <v>1</v>
      </c>
      <c r="I609" s="85"/>
      <c r="J609" s="139"/>
    </row>
    <row r="610" spans="1:10" customFormat="1" ht="16.5" x14ac:dyDescent="0.3">
      <c r="A610" s="131">
        <f t="shared" si="35"/>
        <v>14904</v>
      </c>
      <c r="B610" s="138" t="s">
        <v>0</v>
      </c>
      <c r="C610" s="138"/>
      <c r="D610" s="138"/>
      <c r="E610" s="15" t="s">
        <v>58</v>
      </c>
      <c r="F610" s="15">
        <v>3</v>
      </c>
      <c r="G610" s="15">
        <f t="shared" si="34"/>
        <v>2</v>
      </c>
      <c r="H610" s="131">
        <v>1</v>
      </c>
      <c r="I610" s="85"/>
      <c r="J610" s="139"/>
    </row>
    <row r="611" spans="1:10" customFormat="1" ht="16.5" x14ac:dyDescent="0.3">
      <c r="A611" s="131">
        <f t="shared" si="35"/>
        <v>14906</v>
      </c>
      <c r="B611" s="138" t="s">
        <v>1</v>
      </c>
      <c r="C611" s="138"/>
      <c r="D611" s="138"/>
      <c r="E611" s="15" t="s">
        <v>58</v>
      </c>
      <c r="F611" s="15">
        <v>3</v>
      </c>
      <c r="G611" s="15">
        <f t="shared" si="34"/>
        <v>2</v>
      </c>
      <c r="H611" s="131">
        <v>1</v>
      </c>
      <c r="I611" s="85"/>
      <c r="J611" s="27"/>
    </row>
    <row r="612" spans="1:10" customFormat="1" ht="16.5" x14ac:dyDescent="0.3">
      <c r="A612" s="131">
        <f t="shared" si="35"/>
        <v>14908</v>
      </c>
      <c r="B612" s="138" t="s">
        <v>2</v>
      </c>
      <c r="C612" s="138"/>
      <c r="D612" s="138"/>
      <c r="E612" s="15" t="s">
        <v>58</v>
      </c>
      <c r="F612" s="15">
        <v>3</v>
      </c>
      <c r="G612" s="15">
        <f t="shared" si="34"/>
        <v>2</v>
      </c>
      <c r="H612" s="131">
        <v>1</v>
      </c>
      <c r="I612" s="85"/>
      <c r="J612" s="27"/>
    </row>
    <row r="613" spans="1:10" customFormat="1" ht="16.5" x14ac:dyDescent="0.3">
      <c r="A613" s="131">
        <f t="shared" si="35"/>
        <v>14910</v>
      </c>
      <c r="B613" s="138" t="s">
        <v>122</v>
      </c>
      <c r="C613" s="138"/>
      <c r="D613" s="138"/>
      <c r="E613" s="15" t="s">
        <v>58</v>
      </c>
      <c r="F613" s="15">
        <v>3</v>
      </c>
      <c r="G613" s="15">
        <f t="shared" si="34"/>
        <v>2</v>
      </c>
      <c r="H613" s="131">
        <v>1</v>
      </c>
      <c r="I613" s="85"/>
      <c r="J613" s="27"/>
    </row>
    <row r="614" spans="1:10" customFormat="1" ht="16.5" x14ac:dyDescent="0.3">
      <c r="A614" s="131">
        <f t="shared" si="35"/>
        <v>14912</v>
      </c>
      <c r="B614" s="138" t="s">
        <v>882</v>
      </c>
      <c r="C614" s="138"/>
      <c r="D614" s="138"/>
      <c r="E614" s="15" t="s">
        <v>58</v>
      </c>
      <c r="F614" s="15">
        <v>3</v>
      </c>
      <c r="G614" s="15">
        <f t="shared" si="34"/>
        <v>2</v>
      </c>
      <c r="H614" s="131">
        <v>1</v>
      </c>
      <c r="I614" s="85"/>
      <c r="J614" s="27"/>
    </row>
    <row r="615" spans="1:10" customFormat="1" ht="16.5" x14ac:dyDescent="0.3">
      <c r="A615" s="131">
        <f t="shared" si="35"/>
        <v>14914</v>
      </c>
      <c r="B615" s="138" t="s">
        <v>883</v>
      </c>
      <c r="C615" s="138"/>
      <c r="D615" s="138"/>
      <c r="E615" s="15" t="s">
        <v>58</v>
      </c>
      <c r="F615" s="15">
        <v>3</v>
      </c>
      <c r="G615" s="15">
        <f t="shared" si="34"/>
        <v>2</v>
      </c>
      <c r="H615" s="131">
        <v>1</v>
      </c>
      <c r="I615" s="85"/>
      <c r="J615" s="27"/>
    </row>
    <row r="616" spans="1:10" customFormat="1" ht="16.5" x14ac:dyDescent="0.3">
      <c r="A616" s="131">
        <f t="shared" si="35"/>
        <v>14916</v>
      </c>
      <c r="B616" s="138" t="s">
        <v>884</v>
      </c>
      <c r="C616" s="138"/>
      <c r="D616" s="138"/>
      <c r="E616" s="15" t="s">
        <v>58</v>
      </c>
      <c r="F616" s="15">
        <v>3</v>
      </c>
      <c r="G616" s="15">
        <f t="shared" si="34"/>
        <v>2</v>
      </c>
      <c r="H616" s="131">
        <v>1</v>
      </c>
      <c r="I616" s="85"/>
      <c r="J616" s="27"/>
    </row>
    <row r="617" spans="1:10" ht="15.95" customHeight="1" x14ac:dyDescent="0.3">
      <c r="A617" s="131">
        <f t="shared" si="35"/>
        <v>14918</v>
      </c>
      <c r="B617" s="138" t="s">
        <v>885</v>
      </c>
      <c r="C617" s="138"/>
      <c r="D617" s="138"/>
      <c r="E617" s="15" t="s">
        <v>58</v>
      </c>
      <c r="F617" s="15">
        <v>3</v>
      </c>
      <c r="G617" s="15">
        <f t="shared" si="34"/>
        <v>2</v>
      </c>
      <c r="H617" s="131">
        <v>1</v>
      </c>
      <c r="I617" s="85"/>
    </row>
    <row r="618" spans="1:10" ht="15.95" customHeight="1" x14ac:dyDescent="0.3">
      <c r="A618" s="131">
        <f t="shared" si="35"/>
        <v>14920</v>
      </c>
      <c r="B618" s="138" t="s">
        <v>886</v>
      </c>
      <c r="C618" s="138"/>
      <c r="D618" s="138"/>
      <c r="E618" s="15" t="s">
        <v>58</v>
      </c>
      <c r="F618" s="15">
        <v>3</v>
      </c>
      <c r="G618" s="15">
        <f t="shared" si="34"/>
        <v>2</v>
      </c>
      <c r="H618" s="131">
        <v>1</v>
      </c>
      <c r="I618" s="85"/>
    </row>
    <row r="619" spans="1:10" ht="15.95" customHeight="1" x14ac:dyDescent="0.3">
      <c r="A619" s="131">
        <f t="shared" si="35"/>
        <v>14922</v>
      </c>
      <c r="B619" s="138" t="s">
        <v>887</v>
      </c>
      <c r="C619" s="138"/>
      <c r="D619" s="131"/>
      <c r="E619" s="15" t="s">
        <v>58</v>
      </c>
      <c r="F619" s="15">
        <v>3</v>
      </c>
      <c r="G619" s="15">
        <f t="shared" si="34"/>
        <v>2</v>
      </c>
      <c r="H619" s="131">
        <v>1</v>
      </c>
      <c r="I619" s="85"/>
    </row>
    <row r="620" spans="1:10" customFormat="1" ht="16.5" x14ac:dyDescent="0.3">
      <c r="A620" s="131">
        <f t="shared" si="35"/>
        <v>14924</v>
      </c>
      <c r="B620" s="138" t="s">
        <v>888</v>
      </c>
      <c r="C620" s="138"/>
      <c r="D620" s="131"/>
      <c r="E620" s="15" t="s">
        <v>58</v>
      </c>
      <c r="F620" s="15">
        <v>3</v>
      </c>
      <c r="G620" s="15">
        <f t="shared" si="34"/>
        <v>2</v>
      </c>
      <c r="H620" s="131">
        <v>1</v>
      </c>
      <c r="I620" s="85"/>
      <c r="J620" s="27"/>
    </row>
    <row r="621" spans="1:10" customFormat="1" ht="16.5" customHeight="1" x14ac:dyDescent="0.3">
      <c r="A621" s="131">
        <f t="shared" si="35"/>
        <v>14926</v>
      </c>
      <c r="B621" s="138" t="s">
        <v>889</v>
      </c>
      <c r="C621" s="138"/>
      <c r="D621" s="131"/>
      <c r="E621" s="15" t="s">
        <v>58</v>
      </c>
      <c r="F621" s="15">
        <v>3</v>
      </c>
      <c r="G621" s="15">
        <f t="shared" si="34"/>
        <v>2</v>
      </c>
      <c r="H621" s="131">
        <v>1</v>
      </c>
      <c r="I621" s="85"/>
      <c r="J621" s="27"/>
    </row>
    <row r="622" spans="1:10" customFormat="1" ht="16.5" x14ac:dyDescent="0.3">
      <c r="A622" s="131">
        <f t="shared" si="35"/>
        <v>14928</v>
      </c>
      <c r="B622" s="138" t="s">
        <v>890</v>
      </c>
      <c r="C622" s="138"/>
      <c r="D622" s="131"/>
      <c r="E622" s="15" t="s">
        <v>58</v>
      </c>
      <c r="F622" s="15">
        <v>3</v>
      </c>
      <c r="G622" s="15">
        <f t="shared" si="34"/>
        <v>2</v>
      </c>
      <c r="H622" s="131">
        <v>1</v>
      </c>
      <c r="I622" s="85"/>
      <c r="J622" s="27"/>
    </row>
    <row r="623" spans="1:10" customFormat="1" ht="16.5" x14ac:dyDescent="0.3">
      <c r="A623" s="131">
        <f t="shared" si="35"/>
        <v>14930</v>
      </c>
      <c r="B623" s="138" t="s">
        <v>891</v>
      </c>
      <c r="C623" s="138"/>
      <c r="D623" s="131"/>
      <c r="E623" s="15" t="s">
        <v>58</v>
      </c>
      <c r="F623" s="15">
        <v>3</v>
      </c>
      <c r="G623" s="15">
        <f t="shared" si="34"/>
        <v>2</v>
      </c>
      <c r="H623" s="131">
        <v>1</v>
      </c>
      <c r="I623" s="85"/>
      <c r="J623" s="27"/>
    </row>
    <row r="624" spans="1:10" customFormat="1" ht="16.5" x14ac:dyDescent="0.3">
      <c r="A624" s="131">
        <f t="shared" si="35"/>
        <v>14932</v>
      </c>
      <c r="B624" s="138" t="s">
        <v>892</v>
      </c>
      <c r="C624" s="138"/>
      <c r="D624" s="131"/>
      <c r="E624" s="15" t="s">
        <v>58</v>
      </c>
      <c r="F624" s="15">
        <v>3</v>
      </c>
      <c r="G624" s="15">
        <f t="shared" si="34"/>
        <v>2</v>
      </c>
      <c r="H624" s="131">
        <v>1</v>
      </c>
      <c r="I624" s="85"/>
      <c r="J624" s="27"/>
    </row>
    <row r="625" spans="1:10" customFormat="1" ht="16.5" x14ac:dyDescent="0.3">
      <c r="A625" s="131">
        <f t="shared" si="35"/>
        <v>14934</v>
      </c>
      <c r="B625" s="138" t="s">
        <v>893</v>
      </c>
      <c r="C625" s="138"/>
      <c r="D625" s="131"/>
      <c r="E625" s="15" t="s">
        <v>58</v>
      </c>
      <c r="F625" s="15">
        <v>3</v>
      </c>
      <c r="G625" s="15">
        <f t="shared" si="34"/>
        <v>2</v>
      </c>
      <c r="H625" s="131">
        <v>1</v>
      </c>
      <c r="I625" s="85"/>
      <c r="J625" s="27"/>
    </row>
    <row r="626" spans="1:10" ht="15.95" customHeight="1" x14ac:dyDescent="0.3">
      <c r="A626" s="131">
        <f t="shared" si="35"/>
        <v>14936</v>
      </c>
      <c r="B626" s="138" t="s">
        <v>894</v>
      </c>
      <c r="C626" s="138"/>
      <c r="D626" s="131"/>
      <c r="E626" s="15" t="s">
        <v>58</v>
      </c>
      <c r="F626" s="15">
        <v>3</v>
      </c>
      <c r="G626" s="15">
        <f t="shared" si="34"/>
        <v>2</v>
      </c>
      <c r="H626" s="131">
        <v>1</v>
      </c>
      <c r="I626" s="85"/>
    </row>
    <row r="627" spans="1:10" ht="15.95" customHeight="1" x14ac:dyDescent="0.3">
      <c r="A627" s="131">
        <f t="shared" si="35"/>
        <v>14938</v>
      </c>
      <c r="B627" s="138" t="s">
        <v>895</v>
      </c>
      <c r="C627" s="138"/>
      <c r="D627" s="131"/>
      <c r="E627" s="15" t="s">
        <v>58</v>
      </c>
      <c r="F627" s="15">
        <v>3</v>
      </c>
      <c r="G627" s="15">
        <f t="shared" si="34"/>
        <v>2</v>
      </c>
      <c r="H627" s="131">
        <v>1</v>
      </c>
      <c r="I627" s="85"/>
    </row>
    <row r="628" spans="1:10" ht="15.95" customHeight="1" x14ac:dyDescent="0.3">
      <c r="A628" s="131">
        <f t="shared" si="35"/>
        <v>14940</v>
      </c>
      <c r="B628" s="138" t="s">
        <v>896</v>
      </c>
      <c r="C628" s="138"/>
      <c r="D628" s="131"/>
      <c r="E628" s="15" t="s">
        <v>58</v>
      </c>
      <c r="F628" s="15">
        <v>3</v>
      </c>
      <c r="G628" s="15">
        <f t="shared" si="34"/>
        <v>2</v>
      </c>
      <c r="H628" s="131">
        <v>1</v>
      </c>
      <c r="I628" s="85"/>
    </row>
    <row r="629" spans="1:10" customFormat="1" ht="16.5" x14ac:dyDescent="0.3">
      <c r="A629" s="131">
        <f t="shared" si="35"/>
        <v>14942</v>
      </c>
      <c r="B629" s="138" t="s">
        <v>897</v>
      </c>
      <c r="C629" s="138"/>
      <c r="D629" s="138"/>
      <c r="E629" s="15" t="s">
        <v>58</v>
      </c>
      <c r="F629" s="15">
        <v>3</v>
      </c>
      <c r="G629" s="15">
        <f t="shared" si="34"/>
        <v>2</v>
      </c>
      <c r="H629" s="131">
        <v>1</v>
      </c>
      <c r="I629" s="85"/>
      <c r="J629" s="27"/>
    </row>
    <row r="630" spans="1:10" customFormat="1" ht="16.5" customHeight="1" x14ac:dyDescent="0.3">
      <c r="A630" s="131">
        <f t="shared" si="35"/>
        <v>14944</v>
      </c>
      <c r="B630" s="138" t="s">
        <v>132</v>
      </c>
      <c r="C630" s="138"/>
      <c r="D630" s="138"/>
      <c r="E630" s="15" t="s">
        <v>58</v>
      </c>
      <c r="F630" s="15">
        <v>3</v>
      </c>
      <c r="G630" s="15">
        <f t="shared" si="34"/>
        <v>2</v>
      </c>
      <c r="H630" s="131">
        <v>1</v>
      </c>
      <c r="I630" s="85"/>
      <c r="J630" s="27"/>
    </row>
    <row r="631" spans="1:10" customFormat="1" ht="16.5" x14ac:dyDescent="0.3">
      <c r="A631" s="131">
        <f t="shared" si="35"/>
        <v>14946</v>
      </c>
      <c r="B631" s="138" t="s">
        <v>133</v>
      </c>
      <c r="C631" s="138"/>
      <c r="D631" s="138"/>
      <c r="E631" s="15" t="s">
        <v>58</v>
      </c>
      <c r="F631" s="15">
        <v>3</v>
      </c>
      <c r="G631" s="15">
        <f t="shared" si="34"/>
        <v>2</v>
      </c>
      <c r="H631" s="131">
        <v>1</v>
      </c>
      <c r="I631" s="85"/>
      <c r="J631" s="27"/>
    </row>
    <row r="632" spans="1:10" customFormat="1" ht="16.5" x14ac:dyDescent="0.3">
      <c r="A632" s="131">
        <f t="shared" si="35"/>
        <v>14948</v>
      </c>
      <c r="B632" s="138" t="s">
        <v>898</v>
      </c>
      <c r="C632" s="138"/>
      <c r="D632" s="138"/>
      <c r="E632" s="15" t="s">
        <v>58</v>
      </c>
      <c r="F632" s="15">
        <v>3</v>
      </c>
      <c r="G632" s="15">
        <f t="shared" si="34"/>
        <v>2</v>
      </c>
      <c r="H632" s="131">
        <v>1</v>
      </c>
      <c r="I632" s="85"/>
      <c r="J632" s="27"/>
    </row>
    <row r="633" spans="1:10" customFormat="1" ht="16.5" x14ac:dyDescent="0.3">
      <c r="A633" s="131">
        <f t="shared" si="35"/>
        <v>14950</v>
      </c>
      <c r="B633" s="138" t="s">
        <v>899</v>
      </c>
      <c r="C633" s="138"/>
      <c r="D633" s="131"/>
      <c r="E633" s="15" t="s">
        <v>58</v>
      </c>
      <c r="F633" s="15">
        <v>3</v>
      </c>
      <c r="G633" s="15">
        <f t="shared" si="34"/>
        <v>2</v>
      </c>
      <c r="H633" s="131">
        <v>1</v>
      </c>
      <c r="I633" s="85"/>
      <c r="J633" s="27"/>
    </row>
    <row r="634" spans="1:10" customFormat="1" ht="16.5" x14ac:dyDescent="0.3">
      <c r="A634" s="131">
        <f t="shared" si="35"/>
        <v>14952</v>
      </c>
      <c r="B634" s="138" t="s">
        <v>900</v>
      </c>
      <c r="C634" s="138"/>
      <c r="D634" s="131"/>
      <c r="E634" s="15" t="s">
        <v>58</v>
      </c>
      <c r="F634" s="15">
        <v>3</v>
      </c>
      <c r="G634" s="15">
        <f t="shared" si="34"/>
        <v>2</v>
      </c>
      <c r="H634" s="131">
        <v>1</v>
      </c>
      <c r="I634" s="85"/>
      <c r="J634" s="27"/>
    </row>
    <row r="635" spans="1:10" customFormat="1" ht="16.5" x14ac:dyDescent="0.3">
      <c r="A635" s="131">
        <f t="shared" si="35"/>
        <v>14954</v>
      </c>
      <c r="B635" s="138" t="s">
        <v>901</v>
      </c>
      <c r="C635" s="138"/>
      <c r="D635" s="131"/>
      <c r="E635" s="15" t="s">
        <v>58</v>
      </c>
      <c r="F635" s="15">
        <v>3</v>
      </c>
      <c r="G635" s="15">
        <f t="shared" si="34"/>
        <v>2</v>
      </c>
      <c r="H635" s="131">
        <v>1</v>
      </c>
      <c r="I635" s="85"/>
      <c r="J635" s="27"/>
    </row>
    <row r="636" spans="1:10" ht="16.5" customHeight="1" x14ac:dyDescent="0.3">
      <c r="A636" s="131">
        <f t="shared" si="35"/>
        <v>14956</v>
      </c>
      <c r="B636" s="138" t="s">
        <v>902</v>
      </c>
      <c r="C636" s="138"/>
      <c r="D636" s="131"/>
      <c r="E636" s="15" t="s">
        <v>58</v>
      </c>
      <c r="F636" s="15">
        <v>3</v>
      </c>
      <c r="G636" s="15">
        <f t="shared" si="34"/>
        <v>2</v>
      </c>
      <c r="H636" s="131">
        <v>1</v>
      </c>
      <c r="I636" s="85"/>
      <c r="J636" s="139" t="s">
        <v>551</v>
      </c>
    </row>
    <row r="637" spans="1:10" ht="16.5" customHeight="1" x14ac:dyDescent="0.3">
      <c r="A637" s="131">
        <f t="shared" si="35"/>
        <v>14958</v>
      </c>
      <c r="B637" s="138" t="s">
        <v>94</v>
      </c>
      <c r="C637" s="138"/>
      <c r="D637" s="131"/>
      <c r="E637" s="15" t="s">
        <v>114</v>
      </c>
      <c r="F637" s="15">
        <v>3</v>
      </c>
      <c r="G637" s="15">
        <f t="shared" si="34"/>
        <v>1</v>
      </c>
      <c r="H637" s="131">
        <v>24</v>
      </c>
      <c r="I637" s="85"/>
    </row>
    <row r="638" spans="1:10" ht="16.5" customHeight="1" x14ac:dyDescent="0.3">
      <c r="A638" s="131">
        <f t="shared" si="35"/>
        <v>14982</v>
      </c>
      <c r="B638" s="138" t="s">
        <v>95</v>
      </c>
      <c r="C638" s="138"/>
      <c r="D638" s="131"/>
      <c r="E638" s="15" t="s">
        <v>114</v>
      </c>
      <c r="F638" s="15">
        <v>3</v>
      </c>
      <c r="G638" s="15">
        <f t="shared" si="34"/>
        <v>1</v>
      </c>
      <c r="H638" s="131">
        <v>24</v>
      </c>
      <c r="I638" s="85"/>
      <c r="J638" s="139" t="s">
        <v>552</v>
      </c>
    </row>
    <row r="639" spans="1:10" ht="16.5" customHeight="1" x14ac:dyDescent="0.3">
      <c r="A639" s="131">
        <f t="shared" si="35"/>
        <v>15006</v>
      </c>
      <c r="B639" s="138" t="s">
        <v>96</v>
      </c>
      <c r="C639" s="138"/>
      <c r="D639" s="131"/>
      <c r="E639" s="15" t="s">
        <v>114</v>
      </c>
      <c r="F639" s="15">
        <v>3</v>
      </c>
      <c r="G639" s="15">
        <f t="shared" si="34"/>
        <v>1</v>
      </c>
      <c r="H639" s="131">
        <v>24</v>
      </c>
      <c r="I639" s="85"/>
    </row>
    <row r="640" spans="1:10" ht="16.5" customHeight="1" x14ac:dyDescent="0.3">
      <c r="A640" s="131">
        <f t="shared" si="35"/>
        <v>15030</v>
      </c>
      <c r="B640" s="138" t="s">
        <v>97</v>
      </c>
      <c r="C640" s="138"/>
      <c r="D640" s="131"/>
      <c r="E640" s="15" t="s">
        <v>114</v>
      </c>
      <c r="F640" s="15">
        <v>3</v>
      </c>
      <c r="G640" s="15">
        <f t="shared" si="34"/>
        <v>1</v>
      </c>
      <c r="H640" s="131">
        <v>24</v>
      </c>
      <c r="I640" s="85"/>
    </row>
    <row r="641" spans="1:9" ht="16.5" customHeight="1" x14ac:dyDescent="0.3">
      <c r="A641" s="131">
        <f t="shared" si="35"/>
        <v>15054</v>
      </c>
      <c r="B641" s="138" t="s">
        <v>98</v>
      </c>
      <c r="C641" s="138"/>
      <c r="D641" s="131"/>
      <c r="E641" s="15" t="s">
        <v>114</v>
      </c>
      <c r="F641" s="15">
        <v>3</v>
      </c>
      <c r="G641" s="15">
        <f t="shared" si="34"/>
        <v>1</v>
      </c>
      <c r="H641" s="131">
        <v>24</v>
      </c>
      <c r="I641" s="85"/>
    </row>
    <row r="642" spans="1:9" ht="16.5" customHeight="1" x14ac:dyDescent="0.3">
      <c r="A642" s="131">
        <f t="shared" si="35"/>
        <v>15078</v>
      </c>
      <c r="B642" s="138" t="s">
        <v>99</v>
      </c>
      <c r="C642" s="138"/>
      <c r="D642" s="131"/>
      <c r="E642" s="15" t="s">
        <v>114</v>
      </c>
      <c r="F642" s="15">
        <v>3</v>
      </c>
      <c r="G642" s="15">
        <f t="shared" si="34"/>
        <v>1</v>
      </c>
      <c r="H642" s="131">
        <v>24</v>
      </c>
      <c r="I642" s="85"/>
    </row>
    <row r="643" spans="1:9" ht="16.5" customHeight="1" x14ac:dyDescent="0.3">
      <c r="A643" s="131">
        <f t="shared" si="35"/>
        <v>15102</v>
      </c>
      <c r="B643" s="138" t="s">
        <v>100</v>
      </c>
      <c r="C643" s="138"/>
      <c r="D643" s="131"/>
      <c r="E643" s="15" t="s">
        <v>114</v>
      </c>
      <c r="F643" s="15">
        <v>3</v>
      </c>
      <c r="G643" s="15">
        <f t="shared" si="34"/>
        <v>1</v>
      </c>
      <c r="H643" s="131">
        <v>24</v>
      </c>
      <c r="I643" s="85"/>
    </row>
    <row r="644" spans="1:9" ht="16.5" customHeight="1" x14ac:dyDescent="0.3">
      <c r="A644" s="131">
        <f t="shared" si="35"/>
        <v>15126</v>
      </c>
      <c r="B644" s="138" t="s">
        <v>101</v>
      </c>
      <c r="C644" s="138"/>
      <c r="D644" s="131"/>
      <c r="E644" s="15" t="s">
        <v>114</v>
      </c>
      <c r="F644" s="15">
        <v>3</v>
      </c>
      <c r="G644" s="15">
        <f t="shared" si="34"/>
        <v>1</v>
      </c>
      <c r="H644" s="131">
        <v>24</v>
      </c>
      <c r="I644" s="85"/>
    </row>
    <row r="645" spans="1:9" ht="16.5" customHeight="1" x14ac:dyDescent="0.3">
      <c r="A645" s="131">
        <f t="shared" si="35"/>
        <v>15150</v>
      </c>
      <c r="B645" s="138" t="s">
        <v>102</v>
      </c>
      <c r="C645" s="138"/>
      <c r="D645" s="131"/>
      <c r="E645" s="15" t="s">
        <v>114</v>
      </c>
      <c r="F645" s="15">
        <v>3</v>
      </c>
      <c r="G645" s="15">
        <f t="shared" si="34"/>
        <v>1</v>
      </c>
      <c r="H645" s="131">
        <v>24</v>
      </c>
      <c r="I645" s="85"/>
    </row>
    <row r="646" spans="1:9" ht="16.5" customHeight="1" x14ac:dyDescent="0.3">
      <c r="A646" s="131">
        <f t="shared" si="35"/>
        <v>15174</v>
      </c>
      <c r="B646" s="138" t="s">
        <v>41</v>
      </c>
      <c r="C646" s="138"/>
      <c r="D646" s="131"/>
      <c r="E646" s="15" t="s">
        <v>123</v>
      </c>
      <c r="F646" s="15">
        <v>3</v>
      </c>
      <c r="G646" s="15">
        <f>IF(OR(E646="U16", E646="S16"),1,IF(E646="TS",6,2))</f>
        <v>1</v>
      </c>
      <c r="H646" s="131">
        <v>6</v>
      </c>
      <c r="I646" s="85"/>
    </row>
    <row r="647" spans="1:9" ht="16.5" customHeight="1" x14ac:dyDescent="0.3">
      <c r="A647" s="162" t="s">
        <v>550</v>
      </c>
      <c r="B647" s="162"/>
      <c r="C647" s="162"/>
      <c r="D647" s="162"/>
      <c r="E647" s="162"/>
      <c r="F647" s="162"/>
      <c r="G647" s="162"/>
      <c r="H647" s="162"/>
      <c r="I647" s="88"/>
    </row>
    <row r="648" spans="1:9" ht="16.5" customHeight="1" x14ac:dyDescent="0.3">
      <c r="A648" s="143">
        <f>A646+(G646*H646)</f>
        <v>15180</v>
      </c>
      <c r="B648" s="144" t="s">
        <v>90</v>
      </c>
      <c r="C648" s="144"/>
      <c r="D648" s="143"/>
      <c r="E648" s="143" t="s">
        <v>91</v>
      </c>
      <c r="F648" s="143">
        <v>3</v>
      </c>
      <c r="G648" s="143">
        <f t="shared" ref="G648:G655" si="36">IF(OR(E648="U16", E648="S16"),1,IF(E648="TS",6,2))</f>
        <v>2</v>
      </c>
      <c r="H648" s="143">
        <v>1</v>
      </c>
      <c r="I648" s="86"/>
    </row>
    <row r="649" spans="1:9" ht="16.5" customHeight="1" x14ac:dyDescent="0.3">
      <c r="A649" s="143">
        <f t="shared" ref="A649:A705" si="37">A648+(G648*H648)</f>
        <v>15182</v>
      </c>
      <c r="B649" s="144" t="s">
        <v>903</v>
      </c>
      <c r="C649" s="144"/>
      <c r="D649" s="143"/>
      <c r="E649" s="143" t="s">
        <v>58</v>
      </c>
      <c r="F649" s="143">
        <v>3</v>
      </c>
      <c r="G649" s="143">
        <f>IF(OR(E649="U16", E649="S16"),1,IF(E649="TS",6,2))</f>
        <v>2</v>
      </c>
      <c r="H649" s="143">
        <v>1</v>
      </c>
      <c r="I649" s="86"/>
    </row>
    <row r="650" spans="1:9" ht="16.5" customHeight="1" x14ac:dyDescent="0.3">
      <c r="A650" s="143">
        <f t="shared" si="37"/>
        <v>15184</v>
      </c>
      <c r="B650" s="144" t="s">
        <v>904</v>
      </c>
      <c r="C650" s="144"/>
      <c r="D650" s="143"/>
      <c r="E650" s="143" t="s">
        <v>58</v>
      </c>
      <c r="F650" s="143">
        <v>3</v>
      </c>
      <c r="G650" s="143">
        <f t="shared" si="36"/>
        <v>2</v>
      </c>
      <c r="H650" s="143">
        <v>1</v>
      </c>
      <c r="I650" s="86"/>
    </row>
    <row r="651" spans="1:9" ht="16.5" customHeight="1" x14ac:dyDescent="0.3">
      <c r="A651" s="143">
        <f t="shared" si="37"/>
        <v>15186</v>
      </c>
      <c r="B651" s="144" t="s">
        <v>905</v>
      </c>
      <c r="C651" s="144"/>
      <c r="D651" s="144"/>
      <c r="E651" s="143" t="s">
        <v>58</v>
      </c>
      <c r="F651" s="143">
        <v>3</v>
      </c>
      <c r="G651" s="143">
        <f t="shared" si="36"/>
        <v>2</v>
      </c>
      <c r="H651" s="143">
        <v>1</v>
      </c>
      <c r="I651" s="86"/>
    </row>
    <row r="652" spans="1:9" ht="16.5" customHeight="1" x14ac:dyDescent="0.3">
      <c r="A652" s="143">
        <f t="shared" si="37"/>
        <v>15188</v>
      </c>
      <c r="B652" s="144" t="s">
        <v>906</v>
      </c>
      <c r="C652" s="144"/>
      <c r="D652" s="144"/>
      <c r="E652" s="143" t="s">
        <v>58</v>
      </c>
      <c r="F652" s="143">
        <v>3</v>
      </c>
      <c r="G652" s="143">
        <f t="shared" si="36"/>
        <v>2</v>
      </c>
      <c r="H652" s="143">
        <v>1</v>
      </c>
      <c r="I652" s="86"/>
    </row>
    <row r="653" spans="1:9" ht="16.5" customHeight="1" x14ac:dyDescent="0.3">
      <c r="A653" s="143">
        <f t="shared" si="37"/>
        <v>15190</v>
      </c>
      <c r="B653" s="144" t="s">
        <v>907</v>
      </c>
      <c r="C653" s="144"/>
      <c r="D653" s="144"/>
      <c r="E653" s="143" t="s">
        <v>58</v>
      </c>
      <c r="F653" s="143">
        <v>3</v>
      </c>
      <c r="G653" s="143">
        <f t="shared" si="36"/>
        <v>2</v>
      </c>
      <c r="H653" s="143">
        <v>4</v>
      </c>
      <c r="I653" s="86"/>
    </row>
    <row r="654" spans="1:9" ht="16.5" customHeight="1" x14ac:dyDescent="0.3">
      <c r="A654" s="143">
        <f t="shared" si="37"/>
        <v>15198</v>
      </c>
      <c r="B654" s="144" t="s">
        <v>908</v>
      </c>
      <c r="C654" s="144"/>
      <c r="D654" s="144"/>
      <c r="E654" s="143" t="s">
        <v>58</v>
      </c>
      <c r="F654" s="143">
        <v>3</v>
      </c>
      <c r="G654" s="143">
        <f t="shared" si="36"/>
        <v>2</v>
      </c>
      <c r="H654" s="143">
        <v>4</v>
      </c>
      <c r="I654" s="86"/>
    </row>
    <row r="655" spans="1:9" ht="16.5" customHeight="1" x14ac:dyDescent="0.3">
      <c r="A655" s="143">
        <f t="shared" si="37"/>
        <v>15206</v>
      </c>
      <c r="B655" s="144" t="s">
        <v>909</v>
      </c>
      <c r="C655" s="144"/>
      <c r="D655" s="144"/>
      <c r="E655" s="143" t="s">
        <v>58</v>
      </c>
      <c r="F655" s="143">
        <v>3</v>
      </c>
      <c r="G655" s="143">
        <f t="shared" si="36"/>
        <v>2</v>
      </c>
      <c r="H655" s="143">
        <v>4</v>
      </c>
      <c r="I655" s="86"/>
    </row>
    <row r="656" spans="1:9" ht="16.5" customHeight="1" x14ac:dyDescent="0.3">
      <c r="A656" s="143">
        <f t="shared" si="37"/>
        <v>15214</v>
      </c>
      <c r="B656" s="144" t="s">
        <v>910</v>
      </c>
      <c r="C656" s="144"/>
      <c r="D656" s="144"/>
      <c r="E656" s="143" t="s">
        <v>58</v>
      </c>
      <c r="F656" s="143">
        <v>3</v>
      </c>
      <c r="G656" s="143">
        <f>IF(OR(E656="U16", E656="S16"),1,IF(E656="TS",6,2))</f>
        <v>2</v>
      </c>
      <c r="H656" s="143">
        <v>4</v>
      </c>
      <c r="I656" s="86"/>
    </row>
    <row r="657" spans="1:9" ht="16.5" customHeight="1" x14ac:dyDescent="0.3">
      <c r="A657" s="143">
        <f t="shared" si="37"/>
        <v>15222</v>
      </c>
      <c r="B657" s="144" t="s">
        <v>911</v>
      </c>
      <c r="C657" s="144"/>
      <c r="D657" s="144"/>
      <c r="E657" s="143" t="s">
        <v>58</v>
      </c>
      <c r="F657" s="143">
        <v>3</v>
      </c>
      <c r="G657" s="143">
        <f>IF(OR(E657="U16", E657="S16"),1,IF(E657="TS",6,2))</f>
        <v>2</v>
      </c>
      <c r="H657" s="143">
        <v>4</v>
      </c>
      <c r="I657" s="86"/>
    </row>
    <row r="658" spans="1:9" ht="16.5" customHeight="1" x14ac:dyDescent="0.3">
      <c r="A658" s="143">
        <f t="shared" si="37"/>
        <v>15230</v>
      </c>
      <c r="B658" s="144" t="s">
        <v>912</v>
      </c>
      <c r="C658" s="144"/>
      <c r="D658" s="144"/>
      <c r="E658" s="143" t="s">
        <v>58</v>
      </c>
      <c r="F658" s="143">
        <v>3</v>
      </c>
      <c r="G658" s="143">
        <f>IF(OR(E658="U16", E658="S16"),1,IF(E658="TS",6,2))</f>
        <v>2</v>
      </c>
      <c r="H658" s="143">
        <v>4</v>
      </c>
      <c r="I658" s="86"/>
    </row>
    <row r="659" spans="1:9" ht="16.5" customHeight="1" x14ac:dyDescent="0.3">
      <c r="A659" s="143">
        <f t="shared" si="37"/>
        <v>15238</v>
      </c>
      <c r="B659" s="144" t="s">
        <v>913</v>
      </c>
      <c r="C659" s="144"/>
      <c r="D659" s="144"/>
      <c r="E659" s="143" t="s">
        <v>58</v>
      </c>
      <c r="F659" s="143">
        <v>3</v>
      </c>
      <c r="G659" s="143">
        <f t="shared" ref="G659:G709" si="38">IF(OR(E659="U16", E659="S16"),1,IF(E659="TS",6,2))</f>
        <v>2</v>
      </c>
      <c r="H659" s="143">
        <v>4</v>
      </c>
      <c r="I659" s="86"/>
    </row>
    <row r="660" spans="1:9" ht="16.5" customHeight="1" x14ac:dyDescent="0.3">
      <c r="A660" s="143">
        <f t="shared" si="37"/>
        <v>15246</v>
      </c>
      <c r="B660" s="144" t="s">
        <v>914</v>
      </c>
      <c r="C660" s="144"/>
      <c r="D660" s="144"/>
      <c r="E660" s="143" t="s">
        <v>58</v>
      </c>
      <c r="F660" s="143">
        <v>3</v>
      </c>
      <c r="G660" s="143">
        <f t="shared" si="38"/>
        <v>2</v>
      </c>
      <c r="H660" s="143">
        <v>4</v>
      </c>
      <c r="I660" s="86"/>
    </row>
    <row r="661" spans="1:9" ht="16.5" customHeight="1" x14ac:dyDescent="0.3">
      <c r="A661" s="143">
        <f t="shared" si="37"/>
        <v>15254</v>
      </c>
      <c r="B661" s="144" t="s">
        <v>915</v>
      </c>
      <c r="C661" s="144"/>
      <c r="D661" s="144"/>
      <c r="E661" s="143" t="s">
        <v>58</v>
      </c>
      <c r="F661" s="143">
        <v>3</v>
      </c>
      <c r="G661" s="143">
        <f t="shared" si="38"/>
        <v>2</v>
      </c>
      <c r="H661" s="143">
        <v>4</v>
      </c>
      <c r="I661" s="86"/>
    </row>
    <row r="662" spans="1:9" ht="16.5" customHeight="1" x14ac:dyDescent="0.3">
      <c r="A662" s="143">
        <f t="shared" si="37"/>
        <v>15262</v>
      </c>
      <c r="B662" s="144" t="s">
        <v>916</v>
      </c>
      <c r="C662" s="144"/>
      <c r="D662" s="144"/>
      <c r="E662" s="143" t="s">
        <v>58</v>
      </c>
      <c r="F662" s="143">
        <v>3</v>
      </c>
      <c r="G662" s="143">
        <f t="shared" si="38"/>
        <v>2</v>
      </c>
      <c r="H662" s="143">
        <v>4</v>
      </c>
      <c r="I662" s="86"/>
    </row>
    <row r="663" spans="1:9" ht="16.5" customHeight="1" x14ac:dyDescent="0.3">
      <c r="A663" s="143">
        <f t="shared" si="37"/>
        <v>15270</v>
      </c>
      <c r="B663" s="144" t="s">
        <v>917</v>
      </c>
      <c r="C663" s="144"/>
      <c r="D663" s="144"/>
      <c r="E663" s="143" t="s">
        <v>58</v>
      </c>
      <c r="F663" s="143">
        <v>3</v>
      </c>
      <c r="G663" s="143">
        <f t="shared" si="38"/>
        <v>2</v>
      </c>
      <c r="H663" s="143">
        <v>4</v>
      </c>
      <c r="I663" s="86"/>
    </row>
    <row r="664" spans="1:9" ht="16.5" customHeight="1" x14ac:dyDescent="0.3">
      <c r="A664" s="143">
        <f t="shared" si="37"/>
        <v>15278</v>
      </c>
      <c r="B664" s="144" t="s">
        <v>918</v>
      </c>
      <c r="C664" s="144"/>
      <c r="D664" s="144"/>
      <c r="E664" s="143" t="s">
        <v>58</v>
      </c>
      <c r="F664" s="143">
        <v>3</v>
      </c>
      <c r="G664" s="143">
        <f t="shared" si="38"/>
        <v>2</v>
      </c>
      <c r="H664" s="143">
        <v>4</v>
      </c>
      <c r="I664" s="86"/>
    </row>
    <row r="665" spans="1:9" ht="16.5" customHeight="1" x14ac:dyDescent="0.3">
      <c r="A665" s="143">
        <f t="shared" si="37"/>
        <v>15286</v>
      </c>
      <c r="B665" s="144" t="s">
        <v>919</v>
      </c>
      <c r="C665" s="144"/>
      <c r="D665" s="144"/>
      <c r="E665" s="143" t="s">
        <v>58</v>
      </c>
      <c r="F665" s="143">
        <v>3</v>
      </c>
      <c r="G665" s="143">
        <f t="shared" si="38"/>
        <v>2</v>
      </c>
      <c r="H665" s="143">
        <v>4</v>
      </c>
      <c r="I665" s="86"/>
    </row>
    <row r="666" spans="1:9" ht="16.5" customHeight="1" x14ac:dyDescent="0.3">
      <c r="A666" s="143">
        <f t="shared" si="37"/>
        <v>15294</v>
      </c>
      <c r="B666" s="144" t="s">
        <v>920</v>
      </c>
      <c r="C666" s="144"/>
      <c r="D666" s="144"/>
      <c r="E666" s="143" t="s">
        <v>58</v>
      </c>
      <c r="F666" s="143">
        <v>3</v>
      </c>
      <c r="G666" s="143">
        <f t="shared" si="38"/>
        <v>2</v>
      </c>
      <c r="H666" s="143">
        <v>4</v>
      </c>
      <c r="I666" s="86"/>
    </row>
    <row r="667" spans="1:9" ht="16.5" customHeight="1" x14ac:dyDescent="0.3">
      <c r="A667" s="143">
        <f t="shared" si="37"/>
        <v>15302</v>
      </c>
      <c r="B667" s="144" t="s">
        <v>921</v>
      </c>
      <c r="C667" s="144"/>
      <c r="D667" s="144"/>
      <c r="E667" s="143" t="s">
        <v>58</v>
      </c>
      <c r="F667" s="143">
        <v>3</v>
      </c>
      <c r="G667" s="143">
        <f t="shared" si="38"/>
        <v>2</v>
      </c>
      <c r="H667" s="143">
        <v>4</v>
      </c>
      <c r="I667" s="86"/>
    </row>
    <row r="668" spans="1:9" ht="16.5" customHeight="1" x14ac:dyDescent="0.3">
      <c r="A668" s="143">
        <f t="shared" si="37"/>
        <v>15310</v>
      </c>
      <c r="B668" s="144" t="s">
        <v>922</v>
      </c>
      <c r="C668" s="144"/>
      <c r="D668" s="144"/>
      <c r="E668" s="143" t="s">
        <v>58</v>
      </c>
      <c r="F668" s="143">
        <v>3</v>
      </c>
      <c r="G668" s="143">
        <f t="shared" si="38"/>
        <v>2</v>
      </c>
      <c r="H668" s="143">
        <v>4</v>
      </c>
      <c r="I668" s="86"/>
    </row>
    <row r="669" spans="1:9" ht="16.5" customHeight="1" x14ac:dyDescent="0.3">
      <c r="A669" s="143">
        <f t="shared" si="37"/>
        <v>15318</v>
      </c>
      <c r="B669" s="144" t="s">
        <v>923</v>
      </c>
      <c r="C669" s="144"/>
      <c r="D669" s="144"/>
      <c r="E669" s="143" t="s">
        <v>58</v>
      </c>
      <c r="F669" s="143">
        <v>3</v>
      </c>
      <c r="G669" s="143">
        <f t="shared" si="38"/>
        <v>2</v>
      </c>
      <c r="H669" s="143">
        <v>4</v>
      </c>
      <c r="I669" s="86"/>
    </row>
    <row r="670" spans="1:9" ht="16.5" customHeight="1" x14ac:dyDescent="0.3">
      <c r="A670" s="143">
        <f t="shared" si="37"/>
        <v>15326</v>
      </c>
      <c r="B670" s="144" t="s">
        <v>924</v>
      </c>
      <c r="C670" s="144"/>
      <c r="D670" s="143"/>
      <c r="E670" s="143" t="s">
        <v>58</v>
      </c>
      <c r="F670" s="143">
        <v>3</v>
      </c>
      <c r="G670" s="143">
        <f t="shared" si="38"/>
        <v>2</v>
      </c>
      <c r="H670" s="143">
        <v>4</v>
      </c>
      <c r="I670" s="86"/>
    </row>
    <row r="671" spans="1:9" ht="16.5" customHeight="1" x14ac:dyDescent="0.3">
      <c r="A671" s="143">
        <f t="shared" si="37"/>
        <v>15334</v>
      </c>
      <c r="B671" s="144" t="s">
        <v>925</v>
      </c>
      <c r="C671" s="144"/>
      <c r="D671" s="143"/>
      <c r="E671" s="143" t="s">
        <v>58</v>
      </c>
      <c r="F671" s="143">
        <v>3</v>
      </c>
      <c r="G671" s="143">
        <f t="shared" si="38"/>
        <v>2</v>
      </c>
      <c r="H671" s="143">
        <v>4</v>
      </c>
      <c r="I671" s="86"/>
    </row>
    <row r="672" spans="1:9" ht="16.5" customHeight="1" x14ac:dyDescent="0.3">
      <c r="A672" s="143">
        <f t="shared" si="37"/>
        <v>15342</v>
      </c>
      <c r="B672" s="144" t="s">
        <v>926</v>
      </c>
      <c r="C672" s="144"/>
      <c r="D672" s="143"/>
      <c r="E672" s="143" t="s">
        <v>58</v>
      </c>
      <c r="F672" s="143">
        <v>3</v>
      </c>
      <c r="G672" s="143">
        <f t="shared" si="38"/>
        <v>2</v>
      </c>
      <c r="H672" s="143">
        <v>4</v>
      </c>
      <c r="I672" s="86"/>
    </row>
    <row r="673" spans="1:9" ht="16.5" customHeight="1" x14ac:dyDescent="0.3">
      <c r="A673" s="143">
        <f t="shared" si="37"/>
        <v>15350</v>
      </c>
      <c r="B673" s="144" t="s">
        <v>927</v>
      </c>
      <c r="C673" s="144"/>
      <c r="D673" s="143"/>
      <c r="E673" s="143" t="s">
        <v>58</v>
      </c>
      <c r="F673" s="143">
        <v>3</v>
      </c>
      <c r="G673" s="143">
        <f t="shared" si="38"/>
        <v>2</v>
      </c>
      <c r="H673" s="143">
        <v>4</v>
      </c>
      <c r="I673" s="86"/>
    </row>
    <row r="674" spans="1:9" ht="16.5" customHeight="1" x14ac:dyDescent="0.3">
      <c r="A674" s="143">
        <f t="shared" si="37"/>
        <v>15358</v>
      </c>
      <c r="B674" s="144" t="s">
        <v>928</v>
      </c>
      <c r="C674" s="144"/>
      <c r="D674" s="143"/>
      <c r="E674" s="143" t="s">
        <v>58</v>
      </c>
      <c r="F674" s="143">
        <v>3</v>
      </c>
      <c r="G674" s="143">
        <f t="shared" si="38"/>
        <v>2</v>
      </c>
      <c r="H674" s="143">
        <v>4</v>
      </c>
      <c r="I674" s="86"/>
    </row>
    <row r="675" spans="1:9" ht="16.5" customHeight="1" x14ac:dyDescent="0.3">
      <c r="A675" s="143">
        <f t="shared" si="37"/>
        <v>15366</v>
      </c>
      <c r="B675" s="144" t="s">
        <v>929</v>
      </c>
      <c r="C675" s="144"/>
      <c r="D675" s="143"/>
      <c r="E675" s="143" t="s">
        <v>58</v>
      </c>
      <c r="F675" s="143">
        <v>3</v>
      </c>
      <c r="G675" s="143">
        <f t="shared" si="38"/>
        <v>2</v>
      </c>
      <c r="H675" s="143">
        <v>4</v>
      </c>
      <c r="I675" s="86"/>
    </row>
    <row r="676" spans="1:9" ht="16.5" customHeight="1" x14ac:dyDescent="0.3">
      <c r="A676" s="143">
        <f t="shared" si="37"/>
        <v>15374</v>
      </c>
      <c r="B676" s="144"/>
      <c r="C676" s="144"/>
      <c r="D676" s="143"/>
      <c r="E676" s="143" t="s">
        <v>123</v>
      </c>
      <c r="F676" s="143">
        <v>3</v>
      </c>
      <c r="G676" s="143">
        <f t="shared" si="38"/>
        <v>1</v>
      </c>
      <c r="H676" s="143">
        <v>6</v>
      </c>
      <c r="I676" s="86"/>
    </row>
    <row r="677" spans="1:9" ht="16.5" customHeight="1" x14ac:dyDescent="0.3">
      <c r="A677" s="143">
        <f t="shared" si="37"/>
        <v>15380</v>
      </c>
      <c r="B677" s="144" t="s">
        <v>90</v>
      </c>
      <c r="C677" s="144"/>
      <c r="D677" s="143"/>
      <c r="E677" s="143" t="s">
        <v>91</v>
      </c>
      <c r="F677" s="143">
        <v>3</v>
      </c>
      <c r="G677" s="143">
        <f>IF(OR(E677="U16", E677="S16"),1,IF(E677="TS",6,2))</f>
        <v>2</v>
      </c>
      <c r="H677" s="143">
        <v>1</v>
      </c>
      <c r="I677" s="86"/>
    </row>
    <row r="678" spans="1:9" ht="16.5" customHeight="1" x14ac:dyDescent="0.3">
      <c r="A678" s="143">
        <f t="shared" si="37"/>
        <v>15382</v>
      </c>
      <c r="B678" s="144" t="s">
        <v>903</v>
      </c>
      <c r="C678" s="144"/>
      <c r="D678" s="143"/>
      <c r="E678" s="143" t="s">
        <v>58</v>
      </c>
      <c r="F678" s="143">
        <v>3</v>
      </c>
      <c r="G678" s="143">
        <f t="shared" si="38"/>
        <v>2</v>
      </c>
      <c r="H678" s="143">
        <v>1</v>
      </c>
      <c r="I678" s="86"/>
    </row>
    <row r="679" spans="1:9" ht="16.5" customHeight="1" x14ac:dyDescent="0.3">
      <c r="A679" s="143">
        <f t="shared" si="37"/>
        <v>15384</v>
      </c>
      <c r="B679" s="144" t="s">
        <v>904</v>
      </c>
      <c r="C679" s="144"/>
      <c r="D679" s="143"/>
      <c r="E679" s="143" t="s">
        <v>58</v>
      </c>
      <c r="F679" s="143">
        <v>3</v>
      </c>
      <c r="G679" s="143">
        <f t="shared" si="38"/>
        <v>2</v>
      </c>
      <c r="H679" s="143">
        <v>1</v>
      </c>
      <c r="I679" s="86"/>
    </row>
    <row r="680" spans="1:9" ht="16.5" customHeight="1" x14ac:dyDescent="0.3">
      <c r="A680" s="143">
        <f t="shared" si="37"/>
        <v>15386</v>
      </c>
      <c r="B680" s="144" t="s">
        <v>905</v>
      </c>
      <c r="C680" s="144"/>
      <c r="D680" s="144"/>
      <c r="E680" s="143" t="s">
        <v>58</v>
      </c>
      <c r="F680" s="143">
        <v>3</v>
      </c>
      <c r="G680" s="143">
        <f t="shared" si="38"/>
        <v>2</v>
      </c>
      <c r="H680" s="143">
        <v>1</v>
      </c>
      <c r="I680" s="86"/>
    </row>
    <row r="681" spans="1:9" ht="16.5" customHeight="1" x14ac:dyDescent="0.3">
      <c r="A681" s="143">
        <f t="shared" si="37"/>
        <v>15388</v>
      </c>
      <c r="B681" s="144" t="s">
        <v>906</v>
      </c>
      <c r="C681" s="144"/>
      <c r="D681" s="144"/>
      <c r="E681" s="143" t="s">
        <v>58</v>
      </c>
      <c r="F681" s="143">
        <v>3</v>
      </c>
      <c r="G681" s="143">
        <f t="shared" si="38"/>
        <v>2</v>
      </c>
      <c r="H681" s="143">
        <v>1</v>
      </c>
      <c r="I681" s="86"/>
    </row>
    <row r="682" spans="1:9" ht="16.5" customHeight="1" x14ac:dyDescent="0.3">
      <c r="A682" s="143">
        <f t="shared" si="37"/>
        <v>15390</v>
      </c>
      <c r="B682" s="144" t="s">
        <v>930</v>
      </c>
      <c r="C682" s="144"/>
      <c r="D682" s="144"/>
      <c r="E682" s="143" t="s">
        <v>58</v>
      </c>
      <c r="F682" s="143">
        <v>3</v>
      </c>
      <c r="G682" s="143">
        <f t="shared" si="38"/>
        <v>2</v>
      </c>
      <c r="H682" s="143">
        <v>4</v>
      </c>
      <c r="I682" s="86"/>
    </row>
    <row r="683" spans="1:9" ht="16.5" customHeight="1" x14ac:dyDescent="0.3">
      <c r="A683" s="143">
        <f t="shared" si="37"/>
        <v>15398</v>
      </c>
      <c r="B683" s="144" t="s">
        <v>931</v>
      </c>
      <c r="C683" s="144"/>
      <c r="D683" s="144"/>
      <c r="E683" s="143" t="s">
        <v>58</v>
      </c>
      <c r="F683" s="143">
        <v>3</v>
      </c>
      <c r="G683" s="143">
        <f t="shared" si="38"/>
        <v>2</v>
      </c>
      <c r="H683" s="143">
        <v>4</v>
      </c>
      <c r="I683" s="86"/>
    </row>
    <row r="684" spans="1:9" ht="16.5" customHeight="1" x14ac:dyDescent="0.3">
      <c r="A684" s="143">
        <f t="shared" si="37"/>
        <v>15406</v>
      </c>
      <c r="B684" s="144" t="s">
        <v>932</v>
      </c>
      <c r="C684" s="144"/>
      <c r="D684" s="144"/>
      <c r="E684" s="143" t="s">
        <v>58</v>
      </c>
      <c r="F684" s="143">
        <v>3</v>
      </c>
      <c r="G684" s="143">
        <f t="shared" si="38"/>
        <v>2</v>
      </c>
      <c r="H684" s="143">
        <v>4</v>
      </c>
      <c r="I684" s="86"/>
    </row>
    <row r="685" spans="1:9" ht="16.5" customHeight="1" x14ac:dyDescent="0.3">
      <c r="A685" s="143">
        <f t="shared" si="37"/>
        <v>15414</v>
      </c>
      <c r="B685" s="144" t="s">
        <v>933</v>
      </c>
      <c r="C685" s="144"/>
      <c r="D685" s="144"/>
      <c r="E685" s="143" t="s">
        <v>58</v>
      </c>
      <c r="F685" s="143">
        <v>3</v>
      </c>
      <c r="G685" s="143">
        <f t="shared" si="38"/>
        <v>2</v>
      </c>
      <c r="H685" s="143">
        <v>4</v>
      </c>
      <c r="I685" s="86"/>
    </row>
    <row r="686" spans="1:9" ht="16.5" customHeight="1" x14ac:dyDescent="0.3">
      <c r="A686" s="143">
        <f t="shared" si="37"/>
        <v>15422</v>
      </c>
      <c r="B686" s="144" t="s">
        <v>934</v>
      </c>
      <c r="C686" s="144"/>
      <c r="D686" s="144"/>
      <c r="E686" s="143" t="s">
        <v>58</v>
      </c>
      <c r="F686" s="143">
        <v>3</v>
      </c>
      <c r="G686" s="143">
        <f t="shared" si="38"/>
        <v>2</v>
      </c>
      <c r="H686" s="143">
        <v>4</v>
      </c>
      <c r="I686" s="86"/>
    </row>
    <row r="687" spans="1:9" ht="16.5" customHeight="1" x14ac:dyDescent="0.3">
      <c r="A687" s="143">
        <f t="shared" si="37"/>
        <v>15430</v>
      </c>
      <c r="B687" s="144" t="s">
        <v>935</v>
      </c>
      <c r="C687" s="144"/>
      <c r="D687" s="144"/>
      <c r="E687" s="143" t="s">
        <v>58</v>
      </c>
      <c r="F687" s="143">
        <v>3</v>
      </c>
      <c r="G687" s="143">
        <f t="shared" si="38"/>
        <v>2</v>
      </c>
      <c r="H687" s="143">
        <v>4</v>
      </c>
      <c r="I687" s="86"/>
    </row>
    <row r="688" spans="1:9" ht="16.5" customHeight="1" x14ac:dyDescent="0.3">
      <c r="A688" s="143">
        <f t="shared" si="37"/>
        <v>15438</v>
      </c>
      <c r="B688" s="144" t="s">
        <v>936</v>
      </c>
      <c r="C688" s="144"/>
      <c r="D688" s="144"/>
      <c r="E688" s="143" t="s">
        <v>58</v>
      </c>
      <c r="F688" s="143">
        <v>3</v>
      </c>
      <c r="G688" s="143">
        <f t="shared" si="38"/>
        <v>2</v>
      </c>
      <c r="H688" s="143">
        <v>4</v>
      </c>
      <c r="I688" s="86"/>
    </row>
    <row r="689" spans="1:10" ht="16.5" customHeight="1" x14ac:dyDescent="0.3">
      <c r="A689" s="143">
        <f t="shared" si="37"/>
        <v>15446</v>
      </c>
      <c r="B689" s="144" t="s">
        <v>937</v>
      </c>
      <c r="C689" s="144"/>
      <c r="D689" s="144"/>
      <c r="E689" s="143" t="s">
        <v>58</v>
      </c>
      <c r="F689" s="143">
        <v>3</v>
      </c>
      <c r="G689" s="143">
        <f t="shared" si="38"/>
        <v>2</v>
      </c>
      <c r="H689" s="143">
        <v>4</v>
      </c>
      <c r="I689" s="86"/>
    </row>
    <row r="690" spans="1:10" ht="16.5" customHeight="1" x14ac:dyDescent="0.3">
      <c r="A690" s="143">
        <f t="shared" si="37"/>
        <v>15454</v>
      </c>
      <c r="B690" s="144" t="s">
        <v>938</v>
      </c>
      <c r="C690" s="144"/>
      <c r="D690" s="144"/>
      <c r="E690" s="143" t="s">
        <v>58</v>
      </c>
      <c r="F690" s="143">
        <v>3</v>
      </c>
      <c r="G690" s="143">
        <f t="shared" si="38"/>
        <v>2</v>
      </c>
      <c r="H690" s="143">
        <v>4</v>
      </c>
      <c r="I690" s="86"/>
    </row>
    <row r="691" spans="1:10" ht="16.5" customHeight="1" x14ac:dyDescent="0.3">
      <c r="A691" s="143">
        <f t="shared" si="37"/>
        <v>15462</v>
      </c>
      <c r="B691" s="144" t="s">
        <v>939</v>
      </c>
      <c r="C691" s="144"/>
      <c r="D691" s="144"/>
      <c r="E691" s="143" t="s">
        <v>58</v>
      </c>
      <c r="F691" s="143">
        <v>3</v>
      </c>
      <c r="G691" s="143">
        <f t="shared" si="38"/>
        <v>2</v>
      </c>
      <c r="H691" s="143">
        <v>4</v>
      </c>
      <c r="I691" s="86"/>
    </row>
    <row r="692" spans="1:10" ht="16.5" customHeight="1" x14ac:dyDescent="0.3">
      <c r="A692" s="143">
        <f t="shared" si="37"/>
        <v>15470</v>
      </c>
      <c r="B692" s="144" t="s">
        <v>940</v>
      </c>
      <c r="C692" s="144"/>
      <c r="D692" s="144"/>
      <c r="E692" s="143" t="s">
        <v>58</v>
      </c>
      <c r="F692" s="143">
        <v>3</v>
      </c>
      <c r="G692" s="143">
        <f t="shared" si="38"/>
        <v>2</v>
      </c>
      <c r="H692" s="143">
        <v>4</v>
      </c>
      <c r="I692" s="86"/>
    </row>
    <row r="693" spans="1:10" ht="16.5" customHeight="1" x14ac:dyDescent="0.3">
      <c r="A693" s="143">
        <f t="shared" si="37"/>
        <v>15478</v>
      </c>
      <c r="B693" s="144" t="s">
        <v>941</v>
      </c>
      <c r="C693" s="144"/>
      <c r="D693" s="144"/>
      <c r="E693" s="143" t="s">
        <v>58</v>
      </c>
      <c r="F693" s="143">
        <v>3</v>
      </c>
      <c r="G693" s="143">
        <f t="shared" si="38"/>
        <v>2</v>
      </c>
      <c r="H693" s="143">
        <v>4</v>
      </c>
      <c r="I693" s="86"/>
    </row>
    <row r="694" spans="1:10" ht="16.5" customHeight="1" x14ac:dyDescent="0.3">
      <c r="A694" s="143">
        <f t="shared" si="37"/>
        <v>15486</v>
      </c>
      <c r="B694" s="144" t="s">
        <v>942</v>
      </c>
      <c r="C694" s="144"/>
      <c r="D694" s="144"/>
      <c r="E694" s="143" t="s">
        <v>58</v>
      </c>
      <c r="F694" s="143">
        <v>3</v>
      </c>
      <c r="G694" s="143">
        <f t="shared" si="38"/>
        <v>2</v>
      </c>
      <c r="H694" s="143">
        <v>4</v>
      </c>
      <c r="I694" s="86"/>
    </row>
    <row r="695" spans="1:10" customFormat="1" ht="16.5" x14ac:dyDescent="0.3">
      <c r="A695" s="143">
        <f t="shared" si="37"/>
        <v>15494</v>
      </c>
      <c r="B695" s="144" t="s">
        <v>943</v>
      </c>
      <c r="C695" s="144"/>
      <c r="D695" s="144"/>
      <c r="E695" s="143" t="s">
        <v>58</v>
      </c>
      <c r="F695" s="143">
        <v>3</v>
      </c>
      <c r="G695" s="143">
        <f t="shared" si="38"/>
        <v>2</v>
      </c>
      <c r="H695" s="143">
        <v>4</v>
      </c>
      <c r="I695" s="86"/>
      <c r="J695" s="27" t="s">
        <v>557</v>
      </c>
    </row>
    <row r="696" spans="1:10" ht="15.95" customHeight="1" x14ac:dyDescent="0.3">
      <c r="A696" s="143">
        <f t="shared" si="37"/>
        <v>15502</v>
      </c>
      <c r="B696" s="144" t="s">
        <v>944</v>
      </c>
      <c r="C696" s="144"/>
      <c r="D696" s="144"/>
      <c r="E696" s="143" t="s">
        <v>58</v>
      </c>
      <c r="F696" s="143">
        <v>3</v>
      </c>
      <c r="G696" s="143">
        <f t="shared" si="38"/>
        <v>2</v>
      </c>
      <c r="H696" s="143">
        <v>4</v>
      </c>
      <c r="I696" s="86"/>
    </row>
    <row r="697" spans="1:10" ht="15.95" customHeight="1" x14ac:dyDescent="0.3">
      <c r="A697" s="143">
        <f t="shared" si="37"/>
        <v>15510</v>
      </c>
      <c r="B697" s="144" t="s">
        <v>945</v>
      </c>
      <c r="C697" s="144"/>
      <c r="D697" s="144"/>
      <c r="E697" s="143" t="s">
        <v>58</v>
      </c>
      <c r="F697" s="143">
        <v>3</v>
      </c>
      <c r="G697" s="143">
        <f t="shared" si="38"/>
        <v>2</v>
      </c>
      <c r="H697" s="143">
        <v>4</v>
      </c>
      <c r="I697" s="86"/>
    </row>
    <row r="698" spans="1:10" ht="15.95" customHeight="1" x14ac:dyDescent="0.3">
      <c r="A698" s="143">
        <f t="shared" si="37"/>
        <v>15518</v>
      </c>
      <c r="B698" s="144" t="s">
        <v>946</v>
      </c>
      <c r="C698" s="144"/>
      <c r="D698" s="144"/>
      <c r="E698" s="143" t="s">
        <v>58</v>
      </c>
      <c r="F698" s="143">
        <v>3</v>
      </c>
      <c r="G698" s="143">
        <f t="shared" si="38"/>
        <v>2</v>
      </c>
      <c r="H698" s="143">
        <v>4</v>
      </c>
      <c r="I698" s="86"/>
    </row>
    <row r="699" spans="1:10" customFormat="1" ht="16.5" x14ac:dyDescent="0.3">
      <c r="A699" s="143">
        <f t="shared" si="37"/>
        <v>15526</v>
      </c>
      <c r="B699" s="144" t="s">
        <v>947</v>
      </c>
      <c r="C699" s="144"/>
      <c r="D699" s="143"/>
      <c r="E699" s="143" t="s">
        <v>58</v>
      </c>
      <c r="F699" s="143">
        <v>3</v>
      </c>
      <c r="G699" s="143">
        <f t="shared" si="38"/>
        <v>2</v>
      </c>
      <c r="H699" s="143">
        <v>4</v>
      </c>
      <c r="I699" s="86"/>
      <c r="J699" s="27"/>
    </row>
    <row r="700" spans="1:10" customFormat="1" ht="16.5" customHeight="1" x14ac:dyDescent="0.3">
      <c r="A700" s="143">
        <f t="shared" si="37"/>
        <v>15534</v>
      </c>
      <c r="B700" s="144" t="s">
        <v>948</v>
      </c>
      <c r="C700" s="144"/>
      <c r="D700" s="143"/>
      <c r="E700" s="143" t="s">
        <v>58</v>
      </c>
      <c r="F700" s="143">
        <v>3</v>
      </c>
      <c r="G700" s="143">
        <f t="shared" si="38"/>
        <v>2</v>
      </c>
      <c r="H700" s="143">
        <v>4</v>
      </c>
      <c r="I700" s="86"/>
      <c r="J700" s="27"/>
    </row>
    <row r="701" spans="1:10" customFormat="1" ht="16.5" x14ac:dyDescent="0.3">
      <c r="A701" s="143">
        <f t="shared" si="37"/>
        <v>15542</v>
      </c>
      <c r="B701" s="144" t="s">
        <v>949</v>
      </c>
      <c r="C701" s="144"/>
      <c r="D701" s="143"/>
      <c r="E701" s="143" t="s">
        <v>58</v>
      </c>
      <c r="F701" s="143">
        <v>3</v>
      </c>
      <c r="G701" s="143">
        <f t="shared" si="38"/>
        <v>2</v>
      </c>
      <c r="H701" s="143">
        <v>4</v>
      </c>
      <c r="I701" s="86"/>
      <c r="J701" s="27"/>
    </row>
    <row r="702" spans="1:10" customFormat="1" ht="16.5" x14ac:dyDescent="0.3">
      <c r="A702" s="143">
        <f t="shared" si="37"/>
        <v>15550</v>
      </c>
      <c r="B702" s="144" t="s">
        <v>950</v>
      </c>
      <c r="C702" s="144"/>
      <c r="D702" s="143"/>
      <c r="E702" s="143" t="s">
        <v>58</v>
      </c>
      <c r="F702" s="143">
        <v>3</v>
      </c>
      <c r="G702" s="143">
        <f t="shared" si="38"/>
        <v>2</v>
      </c>
      <c r="H702" s="143">
        <v>4</v>
      </c>
      <c r="I702" s="86"/>
      <c r="J702" s="27"/>
    </row>
    <row r="703" spans="1:10" customFormat="1" ht="16.5" x14ac:dyDescent="0.3">
      <c r="A703" s="143">
        <f t="shared" si="37"/>
        <v>15558</v>
      </c>
      <c r="B703" s="144" t="s">
        <v>951</v>
      </c>
      <c r="C703" s="144"/>
      <c r="D703" s="143"/>
      <c r="E703" s="143" t="s">
        <v>58</v>
      </c>
      <c r="F703" s="143">
        <v>3</v>
      </c>
      <c r="G703" s="143">
        <f t="shared" si="38"/>
        <v>2</v>
      </c>
      <c r="H703" s="143">
        <v>4</v>
      </c>
      <c r="I703" s="86"/>
      <c r="J703" s="27"/>
    </row>
    <row r="704" spans="1:10" customFormat="1" ht="16.5" x14ac:dyDescent="0.3">
      <c r="A704" s="143">
        <f t="shared" si="37"/>
        <v>15566</v>
      </c>
      <c r="B704" s="144" t="s">
        <v>952</v>
      </c>
      <c r="C704" s="144"/>
      <c r="D704" s="143"/>
      <c r="E704" s="143" t="s">
        <v>58</v>
      </c>
      <c r="F704" s="143">
        <v>3</v>
      </c>
      <c r="G704" s="143">
        <f t="shared" si="38"/>
        <v>2</v>
      </c>
      <c r="H704" s="143">
        <v>4</v>
      </c>
      <c r="I704" s="86"/>
      <c r="J704" s="27"/>
    </row>
    <row r="705" spans="1:10" customFormat="1" ht="16.5" x14ac:dyDescent="0.3">
      <c r="A705" s="143">
        <f t="shared" si="37"/>
        <v>15574</v>
      </c>
      <c r="B705" s="144"/>
      <c r="C705" s="144"/>
      <c r="D705" s="143"/>
      <c r="E705" s="143" t="s">
        <v>123</v>
      </c>
      <c r="F705" s="143">
        <v>3</v>
      </c>
      <c r="G705" s="143">
        <f t="shared" si="38"/>
        <v>1</v>
      </c>
      <c r="H705" s="143">
        <v>6</v>
      </c>
      <c r="I705" s="86"/>
      <c r="J705" s="27"/>
    </row>
    <row r="706" spans="1:10" customFormat="1" ht="16.5" x14ac:dyDescent="0.3">
      <c r="A706" s="175" t="s">
        <v>553</v>
      </c>
      <c r="B706" s="176"/>
      <c r="C706" s="176"/>
      <c r="D706" s="176"/>
      <c r="E706" s="176"/>
      <c r="F706" s="176"/>
      <c r="G706" s="176"/>
      <c r="H706" s="177"/>
      <c r="I706" s="88"/>
      <c r="J706" s="27"/>
    </row>
    <row r="707" spans="1:10" customFormat="1" ht="16.5" x14ac:dyDescent="0.3">
      <c r="A707" s="131">
        <f>A705+(G705*H705)</f>
        <v>15580</v>
      </c>
      <c r="B707" s="138" t="s">
        <v>90</v>
      </c>
      <c r="C707" s="138"/>
      <c r="D707" s="131"/>
      <c r="E707" s="15" t="s">
        <v>145</v>
      </c>
      <c r="F707" s="15">
        <v>3</v>
      </c>
      <c r="G707" s="15">
        <f t="shared" si="38"/>
        <v>2</v>
      </c>
      <c r="H707" s="131">
        <v>1</v>
      </c>
      <c r="I707" s="85"/>
      <c r="J707" s="27"/>
    </row>
    <row r="708" spans="1:10" customFormat="1" ht="16.5" x14ac:dyDescent="0.3">
      <c r="A708" s="131">
        <f>A707+(G707*H707)</f>
        <v>15582</v>
      </c>
      <c r="B708" s="138" t="s">
        <v>264</v>
      </c>
      <c r="C708" s="138"/>
      <c r="D708" s="131"/>
      <c r="E708" s="15" t="s">
        <v>58</v>
      </c>
      <c r="F708" s="15">
        <v>3</v>
      </c>
      <c r="G708" s="15">
        <f>IF(OR(E708="U16", E708="S16"),1,IF(E708="TS",6,2))</f>
        <v>2</v>
      </c>
      <c r="H708" s="131">
        <v>96</v>
      </c>
      <c r="I708" s="85"/>
      <c r="J708" s="27"/>
    </row>
    <row r="709" spans="1:10" customFormat="1" ht="16.5" x14ac:dyDescent="0.3">
      <c r="A709" s="131">
        <f>A708+(G708*H708)</f>
        <v>15774</v>
      </c>
      <c r="B709" s="138" t="s">
        <v>41</v>
      </c>
      <c r="C709" s="138"/>
      <c r="D709" s="131"/>
      <c r="E709" s="15" t="s">
        <v>123</v>
      </c>
      <c r="F709" s="15">
        <v>3</v>
      </c>
      <c r="G709" s="15">
        <f t="shared" si="38"/>
        <v>1</v>
      </c>
      <c r="H709" s="131">
        <v>6</v>
      </c>
      <c r="I709" s="85"/>
      <c r="J709" s="27"/>
    </row>
    <row r="710" spans="1:10" ht="13.5" customHeight="1" x14ac:dyDescent="0.3">
      <c r="A710" s="162" t="s">
        <v>1046</v>
      </c>
      <c r="B710" s="162"/>
      <c r="C710" s="162"/>
      <c r="D710" s="162"/>
      <c r="E710" s="162"/>
      <c r="F710" s="162"/>
      <c r="G710" s="162"/>
      <c r="H710" s="162"/>
      <c r="I710" s="88"/>
    </row>
    <row r="711" spans="1:10" ht="13.5" customHeight="1" x14ac:dyDescent="0.3">
      <c r="A711" s="131">
        <f>A709+(G709*H709)</f>
        <v>15780</v>
      </c>
      <c r="B711" s="14" t="s">
        <v>399</v>
      </c>
      <c r="C711" s="138"/>
      <c r="D711" s="131"/>
      <c r="E711" s="15" t="s">
        <v>123</v>
      </c>
      <c r="F711" s="15">
        <v>3</v>
      </c>
      <c r="G711" s="15">
        <f t="shared" ref="G711:G723" si="39">IF(OR(E711="U16", E711="S16"),1,IF(E711="TS",6,2))</f>
        <v>1</v>
      </c>
      <c r="H711" s="131">
        <v>1</v>
      </c>
      <c r="I711" s="85"/>
    </row>
    <row r="712" spans="1:10" ht="13.5" customHeight="1" x14ac:dyDescent="0.3">
      <c r="A712" s="131">
        <f t="shared" ref="A712:A755" si="40">A711+(G711*H711)</f>
        <v>15781</v>
      </c>
      <c r="B712" s="14" t="s">
        <v>400</v>
      </c>
      <c r="C712" s="138"/>
      <c r="D712" s="131"/>
      <c r="E712" s="15" t="s">
        <v>123</v>
      </c>
      <c r="F712" s="15">
        <v>3</v>
      </c>
      <c r="G712" s="15">
        <f t="shared" si="39"/>
        <v>1</v>
      </c>
      <c r="H712" s="131">
        <v>1</v>
      </c>
      <c r="I712" s="85"/>
    </row>
    <row r="713" spans="1:10" ht="13.5" customHeight="1" x14ac:dyDescent="0.3">
      <c r="A713" s="131">
        <f t="shared" si="40"/>
        <v>15782</v>
      </c>
      <c r="B713" s="21" t="s">
        <v>1047</v>
      </c>
      <c r="C713" s="138"/>
      <c r="D713" s="131"/>
      <c r="E713" s="15" t="s">
        <v>123</v>
      </c>
      <c r="F713" s="15">
        <v>3</v>
      </c>
      <c r="G713" s="15">
        <f t="shared" si="39"/>
        <v>1</v>
      </c>
      <c r="H713" s="131">
        <v>1</v>
      </c>
      <c r="I713" s="85"/>
    </row>
    <row r="714" spans="1:10" ht="13.5" customHeight="1" x14ac:dyDescent="0.3">
      <c r="A714" s="131">
        <f t="shared" si="40"/>
        <v>15783</v>
      </c>
      <c r="B714" s="14" t="s">
        <v>1090</v>
      </c>
      <c r="C714" s="138"/>
      <c r="D714" s="131"/>
      <c r="E714" s="15" t="s">
        <v>123</v>
      </c>
      <c r="F714" s="15">
        <v>3</v>
      </c>
      <c r="G714" s="15">
        <f t="shared" si="39"/>
        <v>1</v>
      </c>
      <c r="H714" s="131">
        <v>1</v>
      </c>
      <c r="I714" s="85"/>
    </row>
    <row r="715" spans="1:10" ht="13.5" customHeight="1" x14ac:dyDescent="0.3">
      <c r="A715" s="131">
        <f t="shared" si="40"/>
        <v>15784</v>
      </c>
      <c r="B715" s="170" t="s">
        <v>1048</v>
      </c>
      <c r="C715" s="142" t="s">
        <v>1049</v>
      </c>
      <c r="D715" s="131"/>
      <c r="E715" s="131" t="s">
        <v>91</v>
      </c>
      <c r="F715" s="131">
        <v>3</v>
      </c>
      <c r="G715" s="131">
        <f t="shared" si="39"/>
        <v>2</v>
      </c>
      <c r="H715" s="131">
        <v>1</v>
      </c>
      <c r="I715" s="85"/>
    </row>
    <row r="716" spans="1:10" ht="13.5" customHeight="1" x14ac:dyDescent="0.3">
      <c r="A716" s="131">
        <f t="shared" si="40"/>
        <v>15786</v>
      </c>
      <c r="B716" s="170"/>
      <c r="C716" s="142" t="s">
        <v>441</v>
      </c>
      <c r="D716" s="131"/>
      <c r="E716" s="131" t="s">
        <v>123</v>
      </c>
      <c r="F716" s="131">
        <v>3</v>
      </c>
      <c r="G716" s="131">
        <f t="shared" si="39"/>
        <v>1</v>
      </c>
      <c r="H716" s="131">
        <v>1</v>
      </c>
      <c r="I716" s="85"/>
    </row>
    <row r="717" spans="1:10" ht="13.5" customHeight="1" x14ac:dyDescent="0.3">
      <c r="A717" s="131">
        <f t="shared" si="40"/>
        <v>15787</v>
      </c>
      <c r="B717" s="170"/>
      <c r="C717" s="142" t="s">
        <v>442</v>
      </c>
      <c r="D717" s="131"/>
      <c r="E717" s="131" t="s">
        <v>123</v>
      </c>
      <c r="F717" s="131">
        <v>3</v>
      </c>
      <c r="G717" s="131">
        <f t="shared" si="39"/>
        <v>1</v>
      </c>
      <c r="H717" s="131">
        <v>1</v>
      </c>
      <c r="I717" s="85"/>
    </row>
    <row r="718" spans="1:10" ht="13.5" customHeight="1" x14ac:dyDescent="0.3">
      <c r="A718" s="131">
        <f t="shared" si="40"/>
        <v>15788</v>
      </c>
      <c r="B718" s="170"/>
      <c r="C718" s="142" t="s">
        <v>1050</v>
      </c>
      <c r="D718" s="138" t="s">
        <v>1051</v>
      </c>
      <c r="E718" s="131" t="s">
        <v>123</v>
      </c>
      <c r="F718" s="131">
        <v>3</v>
      </c>
      <c r="G718" s="131">
        <f t="shared" si="39"/>
        <v>1</v>
      </c>
      <c r="H718" s="131">
        <v>1</v>
      </c>
      <c r="I718" s="85"/>
    </row>
    <row r="719" spans="1:10" ht="13.5" customHeight="1" x14ac:dyDescent="0.3">
      <c r="A719" s="131">
        <f t="shared" si="40"/>
        <v>15789</v>
      </c>
      <c r="B719" s="170"/>
      <c r="C719" s="142" t="s">
        <v>439</v>
      </c>
      <c r="D719" s="131"/>
      <c r="E719" s="131" t="s">
        <v>123</v>
      </c>
      <c r="F719" s="131">
        <v>3</v>
      </c>
      <c r="G719" s="131">
        <f t="shared" si="39"/>
        <v>1</v>
      </c>
      <c r="H719" s="131">
        <v>1</v>
      </c>
      <c r="I719" s="85"/>
    </row>
    <row r="720" spans="1:10" ht="13.5" customHeight="1" x14ac:dyDescent="0.3">
      <c r="A720" s="131">
        <f t="shared" si="40"/>
        <v>15790</v>
      </c>
      <c r="B720" s="170"/>
      <c r="C720" s="142" t="s">
        <v>440</v>
      </c>
      <c r="D720" s="131"/>
      <c r="E720" s="131" t="s">
        <v>436</v>
      </c>
      <c r="F720" s="131">
        <v>3</v>
      </c>
      <c r="G720" s="131">
        <f t="shared" si="39"/>
        <v>2</v>
      </c>
      <c r="H720" s="131">
        <v>1</v>
      </c>
      <c r="I720" s="85"/>
    </row>
    <row r="721" spans="1:9" ht="13.5" customHeight="1" x14ac:dyDescent="0.3">
      <c r="A721" s="131">
        <f t="shared" si="40"/>
        <v>15792</v>
      </c>
      <c r="B721" s="170"/>
      <c r="C721" s="142" t="s">
        <v>271</v>
      </c>
      <c r="D721" s="131"/>
      <c r="E721" s="131" t="s">
        <v>436</v>
      </c>
      <c r="F721" s="131">
        <v>3</v>
      </c>
      <c r="G721" s="131">
        <f t="shared" si="39"/>
        <v>2</v>
      </c>
      <c r="H721" s="131">
        <v>1</v>
      </c>
      <c r="I721" s="85"/>
    </row>
    <row r="722" spans="1:9" ht="13.5" customHeight="1" x14ac:dyDescent="0.3">
      <c r="A722" s="131">
        <f t="shared" si="40"/>
        <v>15794</v>
      </c>
      <c r="B722" s="170"/>
      <c r="C722" s="142" t="s">
        <v>272</v>
      </c>
      <c r="D722" s="131"/>
      <c r="E722" s="131" t="s">
        <v>436</v>
      </c>
      <c r="F722" s="131">
        <v>3</v>
      </c>
      <c r="G722" s="131">
        <f t="shared" si="39"/>
        <v>2</v>
      </c>
      <c r="H722" s="131">
        <v>1</v>
      </c>
      <c r="I722" s="85"/>
    </row>
    <row r="723" spans="1:9" ht="13.5" customHeight="1" x14ac:dyDescent="0.3">
      <c r="A723" s="131">
        <f t="shared" si="40"/>
        <v>15796</v>
      </c>
      <c r="B723" s="170"/>
      <c r="C723" s="142" t="s">
        <v>1052</v>
      </c>
      <c r="D723" s="131"/>
      <c r="E723" s="131" t="s">
        <v>436</v>
      </c>
      <c r="F723" s="131">
        <v>3</v>
      </c>
      <c r="G723" s="131">
        <f t="shared" si="39"/>
        <v>2</v>
      </c>
      <c r="H723" s="131">
        <v>1</v>
      </c>
      <c r="I723" s="85"/>
    </row>
    <row r="724" spans="1:9" ht="13.5" customHeight="1" x14ac:dyDescent="0.3">
      <c r="A724" s="131">
        <f t="shared" si="40"/>
        <v>15798</v>
      </c>
      <c r="B724" s="138" t="s">
        <v>1053</v>
      </c>
      <c r="C724" s="138"/>
      <c r="D724" s="131"/>
      <c r="E724" s="131" t="s">
        <v>123</v>
      </c>
      <c r="F724" s="15">
        <v>3</v>
      </c>
      <c r="G724" s="131">
        <v>1</v>
      </c>
      <c r="H724" s="131">
        <v>14</v>
      </c>
      <c r="I724" s="85"/>
    </row>
    <row r="725" spans="1:9" ht="13.5" customHeight="1" x14ac:dyDescent="0.3">
      <c r="A725" s="131">
        <f t="shared" si="40"/>
        <v>15812</v>
      </c>
      <c r="B725" s="138" t="s">
        <v>1054</v>
      </c>
      <c r="C725" s="138"/>
      <c r="D725" s="131"/>
      <c r="E725" s="131" t="s">
        <v>123</v>
      </c>
      <c r="F725" s="15">
        <v>3</v>
      </c>
      <c r="G725" s="131">
        <v>1</v>
      </c>
      <c r="H725" s="131">
        <v>14</v>
      </c>
      <c r="I725" s="85"/>
    </row>
    <row r="726" spans="1:9" ht="13.5" customHeight="1" x14ac:dyDescent="0.3">
      <c r="A726" s="131">
        <f t="shared" si="40"/>
        <v>15826</v>
      </c>
      <c r="B726" s="138" t="s">
        <v>1055</v>
      </c>
      <c r="C726" s="138"/>
      <c r="D726" s="131"/>
      <c r="E726" s="131" t="s">
        <v>123</v>
      </c>
      <c r="F726" s="15">
        <v>3</v>
      </c>
      <c r="G726" s="131">
        <v>1</v>
      </c>
      <c r="H726" s="131">
        <v>14</v>
      </c>
      <c r="I726" s="85"/>
    </row>
    <row r="727" spans="1:9" ht="13.5" customHeight="1" x14ac:dyDescent="0.3">
      <c r="A727" s="131">
        <f t="shared" si="40"/>
        <v>15840</v>
      </c>
      <c r="B727" s="138" t="s">
        <v>1056</v>
      </c>
      <c r="C727" s="138"/>
      <c r="D727" s="131"/>
      <c r="E727" s="131" t="s">
        <v>123</v>
      </c>
      <c r="F727" s="15">
        <v>3</v>
      </c>
      <c r="G727" s="131">
        <v>1</v>
      </c>
      <c r="H727" s="131">
        <v>14</v>
      </c>
      <c r="I727" s="85"/>
    </row>
    <row r="728" spans="1:9" ht="13.5" customHeight="1" x14ac:dyDescent="0.3">
      <c r="A728" s="131">
        <f t="shared" si="40"/>
        <v>15854</v>
      </c>
      <c r="B728" s="138" t="s">
        <v>1057</v>
      </c>
      <c r="C728" s="138"/>
      <c r="D728" s="131"/>
      <c r="E728" s="131" t="s">
        <v>123</v>
      </c>
      <c r="F728" s="15">
        <v>3</v>
      </c>
      <c r="G728" s="131">
        <v>1</v>
      </c>
      <c r="H728" s="131">
        <v>14</v>
      </c>
      <c r="I728" s="85"/>
    </row>
    <row r="729" spans="1:9" ht="13.5" customHeight="1" x14ac:dyDescent="0.3">
      <c r="A729" s="131">
        <f t="shared" si="40"/>
        <v>15868</v>
      </c>
      <c r="B729" s="138" t="s">
        <v>1058</v>
      </c>
      <c r="C729" s="138"/>
      <c r="D729" s="131"/>
      <c r="E729" s="131" t="s">
        <v>123</v>
      </c>
      <c r="F729" s="15">
        <v>3</v>
      </c>
      <c r="G729" s="131">
        <v>1</v>
      </c>
      <c r="H729" s="131">
        <v>14</v>
      </c>
      <c r="I729" s="85"/>
    </row>
    <row r="730" spans="1:9" ht="13.5" customHeight="1" x14ac:dyDescent="0.3">
      <c r="A730" s="131">
        <f t="shared" si="40"/>
        <v>15882</v>
      </c>
      <c r="B730" s="138" t="s">
        <v>1059</v>
      </c>
      <c r="C730" s="138"/>
      <c r="D730" s="131"/>
      <c r="E730" s="131" t="s">
        <v>123</v>
      </c>
      <c r="F730" s="15">
        <v>3</v>
      </c>
      <c r="G730" s="131">
        <v>1</v>
      </c>
      <c r="H730" s="131">
        <v>14</v>
      </c>
      <c r="I730" s="85"/>
    </row>
    <row r="731" spans="1:9" ht="13.5" customHeight="1" x14ac:dyDescent="0.3">
      <c r="A731" s="131">
        <f t="shared" si="40"/>
        <v>15896</v>
      </c>
      <c r="B731" s="138" t="s">
        <v>1060</v>
      </c>
      <c r="C731" s="138"/>
      <c r="D731" s="131"/>
      <c r="E731" s="131" t="s">
        <v>123</v>
      </c>
      <c r="F731" s="15">
        <v>3</v>
      </c>
      <c r="G731" s="131">
        <v>1</v>
      </c>
      <c r="H731" s="131">
        <v>14</v>
      </c>
      <c r="I731" s="85"/>
    </row>
    <row r="732" spans="1:9" ht="13.5" customHeight="1" x14ac:dyDescent="0.3">
      <c r="A732" s="131">
        <f t="shared" si="40"/>
        <v>15910</v>
      </c>
      <c r="B732" s="138" t="s">
        <v>1061</v>
      </c>
      <c r="C732" s="138"/>
      <c r="D732" s="131"/>
      <c r="E732" s="131" t="s">
        <v>123</v>
      </c>
      <c r="F732" s="15">
        <v>3</v>
      </c>
      <c r="G732" s="131">
        <v>1</v>
      </c>
      <c r="H732" s="131">
        <v>14</v>
      </c>
      <c r="I732" s="85"/>
    </row>
    <row r="733" spans="1:9" ht="13.5" customHeight="1" x14ac:dyDescent="0.3">
      <c r="A733" s="131">
        <f t="shared" si="40"/>
        <v>15924</v>
      </c>
      <c r="B733" s="138" t="s">
        <v>1062</v>
      </c>
      <c r="C733" s="138"/>
      <c r="D733" s="131"/>
      <c r="E733" s="131" t="s">
        <v>123</v>
      </c>
      <c r="F733" s="15">
        <v>3</v>
      </c>
      <c r="G733" s="131">
        <v>1</v>
      </c>
      <c r="H733" s="131">
        <v>14</v>
      </c>
      <c r="I733" s="85"/>
    </row>
    <row r="734" spans="1:9" ht="13.5" customHeight="1" x14ac:dyDescent="0.3">
      <c r="A734" s="131">
        <f t="shared" si="40"/>
        <v>15938</v>
      </c>
      <c r="B734" s="138" t="s">
        <v>1063</v>
      </c>
      <c r="C734" s="138"/>
      <c r="D734" s="131"/>
      <c r="E734" s="131" t="s">
        <v>123</v>
      </c>
      <c r="F734" s="15">
        <v>3</v>
      </c>
      <c r="G734" s="131">
        <v>1</v>
      </c>
      <c r="H734" s="131">
        <v>14</v>
      </c>
      <c r="I734" s="85"/>
    </row>
    <row r="735" spans="1:9" ht="13.5" customHeight="1" x14ac:dyDescent="0.3">
      <c r="A735" s="131">
        <f t="shared" si="40"/>
        <v>15952</v>
      </c>
      <c r="B735" s="138" t="s">
        <v>1064</v>
      </c>
      <c r="C735" s="138"/>
      <c r="D735" s="131"/>
      <c r="E735" s="131" t="s">
        <v>123</v>
      </c>
      <c r="F735" s="15">
        <v>3</v>
      </c>
      <c r="G735" s="131">
        <v>1</v>
      </c>
      <c r="H735" s="131">
        <v>14</v>
      </c>
      <c r="I735" s="85"/>
    </row>
    <row r="736" spans="1:9" ht="13.5" customHeight="1" x14ac:dyDescent="0.3">
      <c r="A736" s="131">
        <f t="shared" si="40"/>
        <v>15966</v>
      </c>
      <c r="B736" s="138" t="s">
        <v>1065</v>
      </c>
      <c r="C736" s="138"/>
      <c r="D736" s="131"/>
      <c r="E736" s="131" t="s">
        <v>123</v>
      </c>
      <c r="F736" s="15">
        <v>3</v>
      </c>
      <c r="G736" s="131">
        <v>1</v>
      </c>
      <c r="H736" s="131">
        <v>14</v>
      </c>
      <c r="I736" s="85"/>
    </row>
    <row r="737" spans="1:9" ht="13.5" customHeight="1" x14ac:dyDescent="0.3">
      <c r="A737" s="131">
        <f t="shared" si="40"/>
        <v>15980</v>
      </c>
      <c r="B737" s="138" t="s">
        <v>1066</v>
      </c>
      <c r="C737" s="138"/>
      <c r="D737" s="131"/>
      <c r="E737" s="131" t="s">
        <v>123</v>
      </c>
      <c r="F737" s="15">
        <v>3</v>
      </c>
      <c r="G737" s="131">
        <v>1</v>
      </c>
      <c r="H737" s="131">
        <v>14</v>
      </c>
      <c r="I737" s="85"/>
    </row>
    <row r="738" spans="1:9" ht="13.5" customHeight="1" x14ac:dyDescent="0.3">
      <c r="A738" s="131">
        <f t="shared" si="40"/>
        <v>15994</v>
      </c>
      <c r="B738" s="138" t="s">
        <v>1067</v>
      </c>
      <c r="C738" s="138"/>
      <c r="D738" s="131"/>
      <c r="E738" s="131" t="s">
        <v>123</v>
      </c>
      <c r="F738" s="15">
        <v>3</v>
      </c>
      <c r="G738" s="131">
        <v>1</v>
      </c>
      <c r="H738" s="131">
        <v>14</v>
      </c>
      <c r="I738" s="85"/>
    </row>
    <row r="739" spans="1:9" ht="13.5" customHeight="1" x14ac:dyDescent="0.3">
      <c r="A739" s="131">
        <f t="shared" si="40"/>
        <v>16008</v>
      </c>
      <c r="B739" s="138" t="s">
        <v>1068</v>
      </c>
      <c r="C739" s="138"/>
      <c r="D739" s="131"/>
      <c r="E739" s="131" t="s">
        <v>123</v>
      </c>
      <c r="F739" s="15">
        <v>3</v>
      </c>
      <c r="G739" s="131">
        <v>1</v>
      </c>
      <c r="H739" s="131">
        <v>14</v>
      </c>
      <c r="I739" s="85"/>
    </row>
    <row r="740" spans="1:9" ht="13.5" customHeight="1" x14ac:dyDescent="0.3">
      <c r="A740" s="131">
        <f t="shared" si="40"/>
        <v>16022</v>
      </c>
      <c r="B740" s="138" t="s">
        <v>1069</v>
      </c>
      <c r="C740" s="138"/>
      <c r="D740" s="131"/>
      <c r="E740" s="131" t="s">
        <v>123</v>
      </c>
      <c r="F740" s="15">
        <v>3</v>
      </c>
      <c r="G740" s="131">
        <v>1</v>
      </c>
      <c r="H740" s="131">
        <v>14</v>
      </c>
      <c r="I740" s="85"/>
    </row>
    <row r="741" spans="1:9" ht="13.5" customHeight="1" x14ac:dyDescent="0.3">
      <c r="A741" s="131">
        <f t="shared" si="40"/>
        <v>16036</v>
      </c>
      <c r="B741" s="138" t="s">
        <v>1070</v>
      </c>
      <c r="C741" s="138"/>
      <c r="D741" s="131"/>
      <c r="E741" s="131" t="s">
        <v>123</v>
      </c>
      <c r="F741" s="15">
        <v>3</v>
      </c>
      <c r="G741" s="131">
        <v>1</v>
      </c>
      <c r="H741" s="131">
        <v>14</v>
      </c>
      <c r="I741" s="85"/>
    </row>
    <row r="742" spans="1:9" ht="13.5" customHeight="1" x14ac:dyDescent="0.3">
      <c r="A742" s="131">
        <f t="shared" si="40"/>
        <v>16050</v>
      </c>
      <c r="B742" s="138" t="s">
        <v>1071</v>
      </c>
      <c r="C742" s="138"/>
      <c r="D742" s="131"/>
      <c r="E742" s="131" t="s">
        <v>123</v>
      </c>
      <c r="F742" s="15">
        <v>3</v>
      </c>
      <c r="G742" s="131">
        <v>1</v>
      </c>
      <c r="H742" s="131">
        <v>14</v>
      </c>
      <c r="I742" s="85"/>
    </row>
    <row r="743" spans="1:9" ht="13.5" customHeight="1" x14ac:dyDescent="0.3">
      <c r="A743" s="131">
        <f t="shared" si="40"/>
        <v>16064</v>
      </c>
      <c r="B743" s="138" t="s">
        <v>1072</v>
      </c>
      <c r="C743" s="138"/>
      <c r="D743" s="131"/>
      <c r="E743" s="131" t="s">
        <v>123</v>
      </c>
      <c r="F743" s="15">
        <v>3</v>
      </c>
      <c r="G743" s="131">
        <v>1</v>
      </c>
      <c r="H743" s="131">
        <v>14</v>
      </c>
      <c r="I743" s="85"/>
    </row>
    <row r="744" spans="1:9" ht="13.5" customHeight="1" x14ac:dyDescent="0.3">
      <c r="A744" s="131">
        <f t="shared" si="40"/>
        <v>16078</v>
      </c>
      <c r="B744" s="138" t="s">
        <v>1073</v>
      </c>
      <c r="C744" s="138"/>
      <c r="D744" s="131"/>
      <c r="E744" s="131" t="s">
        <v>123</v>
      </c>
      <c r="F744" s="15">
        <v>3</v>
      </c>
      <c r="G744" s="131">
        <v>1</v>
      </c>
      <c r="H744" s="131">
        <v>14</v>
      </c>
      <c r="I744" s="85"/>
    </row>
    <row r="745" spans="1:9" ht="13.5" customHeight="1" x14ac:dyDescent="0.3">
      <c r="A745" s="131">
        <f t="shared" si="40"/>
        <v>16092</v>
      </c>
      <c r="B745" s="138" t="s">
        <v>1074</v>
      </c>
      <c r="C745" s="138"/>
      <c r="D745" s="131"/>
      <c r="E745" s="131" t="s">
        <v>123</v>
      </c>
      <c r="F745" s="15">
        <v>3</v>
      </c>
      <c r="G745" s="131">
        <v>1</v>
      </c>
      <c r="H745" s="131">
        <v>14</v>
      </c>
      <c r="I745" s="85"/>
    </row>
    <row r="746" spans="1:9" ht="13.5" customHeight="1" x14ac:dyDescent="0.3">
      <c r="A746" s="131">
        <f t="shared" si="40"/>
        <v>16106</v>
      </c>
      <c r="B746" s="138" t="s">
        <v>1075</v>
      </c>
      <c r="C746" s="138"/>
      <c r="D746" s="131"/>
      <c r="E746" s="131" t="s">
        <v>123</v>
      </c>
      <c r="F746" s="15">
        <v>3</v>
      </c>
      <c r="G746" s="131">
        <v>1</v>
      </c>
      <c r="H746" s="131">
        <v>14</v>
      </c>
      <c r="I746" s="85"/>
    </row>
    <row r="747" spans="1:9" ht="13.5" customHeight="1" x14ac:dyDescent="0.3">
      <c r="A747" s="131">
        <f t="shared" si="40"/>
        <v>16120</v>
      </c>
      <c r="B747" s="138" t="s">
        <v>1076</v>
      </c>
      <c r="C747" s="138"/>
      <c r="D747" s="131"/>
      <c r="E747" s="131" t="s">
        <v>123</v>
      </c>
      <c r="F747" s="15">
        <v>3</v>
      </c>
      <c r="G747" s="131">
        <v>1</v>
      </c>
      <c r="H747" s="131">
        <v>14</v>
      </c>
      <c r="I747" s="85"/>
    </row>
    <row r="748" spans="1:9" ht="13.5" customHeight="1" x14ac:dyDescent="0.3">
      <c r="A748" s="131">
        <f t="shared" si="40"/>
        <v>16134</v>
      </c>
      <c r="B748" s="138" t="s">
        <v>1077</v>
      </c>
      <c r="C748" s="138"/>
      <c r="D748" s="131"/>
      <c r="E748" s="131" t="s">
        <v>123</v>
      </c>
      <c r="F748" s="15">
        <v>3</v>
      </c>
      <c r="G748" s="131">
        <v>1</v>
      </c>
      <c r="H748" s="131">
        <v>14</v>
      </c>
      <c r="I748" s="85"/>
    </row>
    <row r="749" spans="1:9" ht="13.5" customHeight="1" x14ac:dyDescent="0.3">
      <c r="A749" s="131">
        <f t="shared" si="40"/>
        <v>16148</v>
      </c>
      <c r="B749" s="138" t="s">
        <v>1078</v>
      </c>
      <c r="C749" s="138"/>
      <c r="D749" s="131"/>
      <c r="E749" s="131" t="s">
        <v>123</v>
      </c>
      <c r="F749" s="15">
        <v>3</v>
      </c>
      <c r="G749" s="131">
        <v>1</v>
      </c>
      <c r="H749" s="131">
        <v>14</v>
      </c>
      <c r="I749" s="85"/>
    </row>
    <row r="750" spans="1:9" ht="13.5" customHeight="1" x14ac:dyDescent="0.3">
      <c r="A750" s="131">
        <f t="shared" si="40"/>
        <v>16162</v>
      </c>
      <c r="B750" s="138" t="s">
        <v>1079</v>
      </c>
      <c r="C750" s="138"/>
      <c r="D750" s="131"/>
      <c r="E750" s="131" t="s">
        <v>123</v>
      </c>
      <c r="F750" s="15">
        <v>3</v>
      </c>
      <c r="G750" s="131">
        <v>1</v>
      </c>
      <c r="H750" s="131">
        <v>14</v>
      </c>
      <c r="I750" s="85"/>
    </row>
    <row r="751" spans="1:9" ht="13.5" customHeight="1" x14ac:dyDescent="0.3">
      <c r="A751" s="131">
        <f t="shared" si="40"/>
        <v>16176</v>
      </c>
      <c r="B751" s="138" t="s">
        <v>1080</v>
      </c>
      <c r="C751" s="138"/>
      <c r="D751" s="131"/>
      <c r="E751" s="131" t="s">
        <v>123</v>
      </c>
      <c r="F751" s="15">
        <v>3</v>
      </c>
      <c r="G751" s="131">
        <v>1</v>
      </c>
      <c r="H751" s="131">
        <v>14</v>
      </c>
      <c r="I751" s="85"/>
    </row>
    <row r="752" spans="1:9" ht="13.5" customHeight="1" x14ac:dyDescent="0.3">
      <c r="A752" s="131">
        <f t="shared" si="40"/>
        <v>16190</v>
      </c>
      <c r="B752" s="138" t="s">
        <v>1081</v>
      </c>
      <c r="C752" s="138"/>
      <c r="D752" s="131"/>
      <c r="E752" s="131" t="s">
        <v>123</v>
      </c>
      <c r="F752" s="15">
        <v>3</v>
      </c>
      <c r="G752" s="131">
        <v>1</v>
      </c>
      <c r="H752" s="131">
        <v>14</v>
      </c>
      <c r="I752" s="85"/>
    </row>
    <row r="753" spans="1:9" ht="13.5" customHeight="1" x14ac:dyDescent="0.3">
      <c r="A753" s="131">
        <f t="shared" si="40"/>
        <v>16204</v>
      </c>
      <c r="B753" s="138" t="s">
        <v>1082</v>
      </c>
      <c r="C753" s="138"/>
      <c r="D753" s="131"/>
      <c r="E753" s="131" t="s">
        <v>123</v>
      </c>
      <c r="F753" s="15">
        <v>3</v>
      </c>
      <c r="G753" s="131">
        <v>1</v>
      </c>
      <c r="H753" s="131">
        <v>14</v>
      </c>
      <c r="I753" s="85"/>
    </row>
    <row r="754" spans="1:9" ht="13.5" customHeight="1" x14ac:dyDescent="0.3">
      <c r="A754" s="131">
        <f t="shared" si="40"/>
        <v>16218</v>
      </c>
      <c r="B754" s="138" t="s">
        <v>1083</v>
      </c>
      <c r="C754" s="138"/>
      <c r="D754" s="131"/>
      <c r="E754" s="131" t="s">
        <v>123</v>
      </c>
      <c r="F754" s="15">
        <v>3</v>
      </c>
      <c r="G754" s="131">
        <v>1</v>
      </c>
      <c r="H754" s="131">
        <v>14</v>
      </c>
      <c r="I754" s="85"/>
    </row>
    <row r="755" spans="1:9" ht="13.5" customHeight="1" x14ac:dyDescent="0.3">
      <c r="A755" s="131">
        <f t="shared" si="40"/>
        <v>16232</v>
      </c>
      <c r="B755" s="138"/>
      <c r="C755" s="138"/>
      <c r="D755" s="131"/>
      <c r="E755" s="131" t="s">
        <v>123</v>
      </c>
      <c r="F755" s="15">
        <v>3</v>
      </c>
      <c r="G755" s="131">
        <v>1</v>
      </c>
      <c r="H755" s="131">
        <v>8</v>
      </c>
      <c r="I755" s="85"/>
    </row>
    <row r="756" spans="1:9" ht="13.5" customHeight="1" x14ac:dyDescent="0.3">
      <c r="A756" s="162" t="s">
        <v>1084</v>
      </c>
      <c r="B756" s="162"/>
      <c r="C756" s="162"/>
      <c r="D756" s="162"/>
      <c r="E756" s="162"/>
      <c r="F756" s="162"/>
      <c r="G756" s="162"/>
      <c r="H756" s="162"/>
      <c r="I756" s="88"/>
    </row>
    <row r="757" spans="1:9" ht="13.5" customHeight="1" x14ac:dyDescent="0.3">
      <c r="A757" s="131">
        <f>A755+G755*H755</f>
        <v>16240</v>
      </c>
      <c r="B757" s="14" t="s">
        <v>399</v>
      </c>
      <c r="C757" s="138"/>
      <c r="D757" s="131"/>
      <c r="E757" s="15" t="s">
        <v>123</v>
      </c>
      <c r="F757" s="15">
        <v>3</v>
      </c>
      <c r="G757" s="15">
        <f t="shared" ref="G757:G769" si="41">IF(OR(E757="U16", E757="S16"),1,IF(E757="TS",6,2))</f>
        <v>1</v>
      </c>
      <c r="H757" s="131">
        <v>1</v>
      </c>
      <c r="I757" s="85"/>
    </row>
    <row r="758" spans="1:9" ht="13.5" customHeight="1" x14ac:dyDescent="0.3">
      <c r="A758" s="131">
        <f t="shared" ref="A758:A801" si="42">A757+(G757*H757)</f>
        <v>16241</v>
      </c>
      <c r="B758" s="14" t="s">
        <v>400</v>
      </c>
      <c r="C758" s="138"/>
      <c r="D758" s="131"/>
      <c r="E758" s="15" t="s">
        <v>123</v>
      </c>
      <c r="F758" s="15">
        <v>3</v>
      </c>
      <c r="G758" s="15">
        <f t="shared" si="41"/>
        <v>1</v>
      </c>
      <c r="H758" s="131">
        <v>1</v>
      </c>
      <c r="I758" s="85"/>
    </row>
    <row r="759" spans="1:9" ht="13.5" customHeight="1" x14ac:dyDescent="0.3">
      <c r="A759" s="131">
        <f t="shared" si="42"/>
        <v>16242</v>
      </c>
      <c r="B759" s="21" t="s">
        <v>1047</v>
      </c>
      <c r="C759" s="138"/>
      <c r="D759" s="131"/>
      <c r="E759" s="15" t="s">
        <v>123</v>
      </c>
      <c r="F759" s="15">
        <v>3</v>
      </c>
      <c r="G759" s="15">
        <f t="shared" si="41"/>
        <v>1</v>
      </c>
      <c r="H759" s="131">
        <v>1</v>
      </c>
      <c r="I759" s="85"/>
    </row>
    <row r="760" spans="1:9" ht="13.5" customHeight="1" x14ac:dyDescent="0.3">
      <c r="A760" s="131">
        <f t="shared" si="42"/>
        <v>16243</v>
      </c>
      <c r="B760" s="14" t="s">
        <v>195</v>
      </c>
      <c r="C760" s="138"/>
      <c r="D760" s="131"/>
      <c r="E760" s="15" t="s">
        <v>123</v>
      </c>
      <c r="F760" s="15">
        <v>3</v>
      </c>
      <c r="G760" s="15">
        <f t="shared" si="41"/>
        <v>1</v>
      </c>
      <c r="H760" s="131">
        <v>1</v>
      </c>
      <c r="I760" s="85"/>
    </row>
    <row r="761" spans="1:9" ht="13.5" customHeight="1" x14ac:dyDescent="0.3">
      <c r="A761" s="131">
        <f t="shared" si="42"/>
        <v>16244</v>
      </c>
      <c r="B761" s="170" t="s">
        <v>1048</v>
      </c>
      <c r="C761" s="142" t="s">
        <v>1049</v>
      </c>
      <c r="D761" s="131"/>
      <c r="E761" s="131" t="s">
        <v>91</v>
      </c>
      <c r="F761" s="131">
        <v>3</v>
      </c>
      <c r="G761" s="131">
        <f t="shared" si="41"/>
        <v>2</v>
      </c>
      <c r="H761" s="131">
        <v>1</v>
      </c>
      <c r="I761" s="85"/>
    </row>
    <row r="762" spans="1:9" ht="13.5" customHeight="1" x14ac:dyDescent="0.3">
      <c r="A762" s="131">
        <f t="shared" si="42"/>
        <v>16246</v>
      </c>
      <c r="B762" s="170"/>
      <c r="C762" s="142" t="s">
        <v>441</v>
      </c>
      <c r="D762" s="131"/>
      <c r="E762" s="131" t="s">
        <v>123</v>
      </c>
      <c r="F762" s="131">
        <v>3</v>
      </c>
      <c r="G762" s="131">
        <f t="shared" si="41"/>
        <v>1</v>
      </c>
      <c r="H762" s="131">
        <v>1</v>
      </c>
      <c r="I762" s="85"/>
    </row>
    <row r="763" spans="1:9" ht="13.5" customHeight="1" x14ac:dyDescent="0.3">
      <c r="A763" s="131">
        <f t="shared" si="42"/>
        <v>16247</v>
      </c>
      <c r="B763" s="170"/>
      <c r="C763" s="142" t="s">
        <v>442</v>
      </c>
      <c r="D763" s="131"/>
      <c r="E763" s="131" t="s">
        <v>123</v>
      </c>
      <c r="F763" s="131">
        <v>3</v>
      </c>
      <c r="G763" s="131">
        <f t="shared" si="41"/>
        <v>1</v>
      </c>
      <c r="H763" s="131">
        <v>1</v>
      </c>
      <c r="I763" s="85"/>
    </row>
    <row r="764" spans="1:9" ht="13.5" customHeight="1" x14ac:dyDescent="0.3">
      <c r="A764" s="131">
        <f t="shared" si="42"/>
        <v>16248</v>
      </c>
      <c r="B764" s="170"/>
      <c r="C764" s="142" t="s">
        <v>1050</v>
      </c>
      <c r="D764" s="138" t="s">
        <v>1051</v>
      </c>
      <c r="E764" s="131" t="s">
        <v>123</v>
      </c>
      <c r="F764" s="131">
        <v>3</v>
      </c>
      <c r="G764" s="131">
        <f t="shared" si="41"/>
        <v>1</v>
      </c>
      <c r="H764" s="131">
        <v>1</v>
      </c>
      <c r="I764" s="85"/>
    </row>
    <row r="765" spans="1:9" ht="13.5" customHeight="1" x14ac:dyDescent="0.3">
      <c r="A765" s="131">
        <f t="shared" si="42"/>
        <v>16249</v>
      </c>
      <c r="B765" s="170"/>
      <c r="C765" s="142" t="s">
        <v>439</v>
      </c>
      <c r="D765" s="131"/>
      <c r="E765" s="131" t="s">
        <v>123</v>
      </c>
      <c r="F765" s="131">
        <v>3</v>
      </c>
      <c r="G765" s="131">
        <f t="shared" si="41"/>
        <v>1</v>
      </c>
      <c r="H765" s="131">
        <v>1</v>
      </c>
      <c r="I765" s="85"/>
    </row>
    <row r="766" spans="1:9" ht="13.5" customHeight="1" x14ac:dyDescent="0.3">
      <c r="A766" s="131">
        <f t="shared" si="42"/>
        <v>16250</v>
      </c>
      <c r="B766" s="170"/>
      <c r="C766" s="142" t="s">
        <v>440</v>
      </c>
      <c r="D766" s="131"/>
      <c r="E766" s="131" t="s">
        <v>436</v>
      </c>
      <c r="F766" s="131">
        <v>3</v>
      </c>
      <c r="G766" s="131">
        <f t="shared" si="41"/>
        <v>2</v>
      </c>
      <c r="H766" s="131">
        <v>1</v>
      </c>
      <c r="I766" s="85"/>
    </row>
    <row r="767" spans="1:9" ht="13.5" customHeight="1" x14ac:dyDescent="0.3">
      <c r="A767" s="131">
        <f t="shared" si="42"/>
        <v>16252</v>
      </c>
      <c r="B767" s="170"/>
      <c r="C767" s="142" t="s">
        <v>271</v>
      </c>
      <c r="D767" s="131"/>
      <c r="E767" s="131" t="s">
        <v>436</v>
      </c>
      <c r="F767" s="131">
        <v>3</v>
      </c>
      <c r="G767" s="131">
        <f t="shared" si="41"/>
        <v>2</v>
      </c>
      <c r="H767" s="131">
        <v>1</v>
      </c>
      <c r="I767" s="85"/>
    </row>
    <row r="768" spans="1:9" ht="13.5" customHeight="1" x14ac:dyDescent="0.3">
      <c r="A768" s="131">
        <f t="shared" si="42"/>
        <v>16254</v>
      </c>
      <c r="B768" s="170"/>
      <c r="C768" s="142" t="s">
        <v>272</v>
      </c>
      <c r="D768" s="131"/>
      <c r="E768" s="131" t="s">
        <v>436</v>
      </c>
      <c r="F768" s="131">
        <v>3</v>
      </c>
      <c r="G768" s="131">
        <f t="shared" si="41"/>
        <v>2</v>
      </c>
      <c r="H768" s="131">
        <v>1</v>
      </c>
      <c r="I768" s="85"/>
    </row>
    <row r="769" spans="1:9" ht="13.5" customHeight="1" x14ac:dyDescent="0.3">
      <c r="A769" s="131">
        <f t="shared" si="42"/>
        <v>16256</v>
      </c>
      <c r="B769" s="170"/>
      <c r="C769" s="142" t="s">
        <v>1052</v>
      </c>
      <c r="D769" s="131"/>
      <c r="E769" s="131" t="s">
        <v>436</v>
      </c>
      <c r="F769" s="131">
        <v>3</v>
      </c>
      <c r="G769" s="131">
        <f t="shared" si="41"/>
        <v>2</v>
      </c>
      <c r="H769" s="131">
        <v>1</v>
      </c>
      <c r="I769" s="85"/>
    </row>
    <row r="770" spans="1:9" ht="13.5" customHeight="1" x14ac:dyDescent="0.3">
      <c r="A770" s="131">
        <f t="shared" si="42"/>
        <v>16258</v>
      </c>
      <c r="B770" s="138" t="s">
        <v>1053</v>
      </c>
      <c r="C770" s="138"/>
      <c r="D770" s="131"/>
      <c r="E770" s="131" t="s">
        <v>123</v>
      </c>
      <c r="F770" s="15">
        <v>3</v>
      </c>
      <c r="G770" s="131">
        <v>1</v>
      </c>
      <c r="H770" s="131">
        <v>14</v>
      </c>
      <c r="I770" s="85"/>
    </row>
    <row r="771" spans="1:9" ht="13.5" customHeight="1" x14ac:dyDescent="0.3">
      <c r="A771" s="131">
        <f t="shared" si="42"/>
        <v>16272</v>
      </c>
      <c r="B771" s="138" t="s">
        <v>1054</v>
      </c>
      <c r="C771" s="138"/>
      <c r="D771" s="131"/>
      <c r="E771" s="131" t="s">
        <v>123</v>
      </c>
      <c r="F771" s="15">
        <v>3</v>
      </c>
      <c r="G771" s="131">
        <v>1</v>
      </c>
      <c r="H771" s="131">
        <v>14</v>
      </c>
      <c r="I771" s="85"/>
    </row>
    <row r="772" spans="1:9" ht="13.5" customHeight="1" x14ac:dyDescent="0.3">
      <c r="A772" s="131">
        <f t="shared" si="42"/>
        <v>16286</v>
      </c>
      <c r="B772" s="138" t="s">
        <v>1055</v>
      </c>
      <c r="C772" s="138"/>
      <c r="D772" s="131"/>
      <c r="E772" s="131" t="s">
        <v>123</v>
      </c>
      <c r="F772" s="15">
        <v>3</v>
      </c>
      <c r="G772" s="131">
        <v>1</v>
      </c>
      <c r="H772" s="131">
        <v>14</v>
      </c>
      <c r="I772" s="85"/>
    </row>
    <row r="773" spans="1:9" ht="13.5" customHeight="1" x14ac:dyDescent="0.3">
      <c r="A773" s="131">
        <f t="shared" si="42"/>
        <v>16300</v>
      </c>
      <c r="B773" s="138" t="s">
        <v>1056</v>
      </c>
      <c r="C773" s="138"/>
      <c r="D773" s="131"/>
      <c r="E773" s="131" t="s">
        <v>123</v>
      </c>
      <c r="F773" s="15">
        <v>3</v>
      </c>
      <c r="G773" s="131">
        <v>1</v>
      </c>
      <c r="H773" s="131">
        <v>14</v>
      </c>
      <c r="I773" s="85"/>
    </row>
    <row r="774" spans="1:9" ht="13.5" customHeight="1" x14ac:dyDescent="0.3">
      <c r="A774" s="131">
        <f t="shared" si="42"/>
        <v>16314</v>
      </c>
      <c r="B774" s="138" t="s">
        <v>1057</v>
      </c>
      <c r="C774" s="138"/>
      <c r="D774" s="131"/>
      <c r="E774" s="131" t="s">
        <v>123</v>
      </c>
      <c r="F774" s="15">
        <v>3</v>
      </c>
      <c r="G774" s="131">
        <v>1</v>
      </c>
      <c r="H774" s="131">
        <v>14</v>
      </c>
      <c r="I774" s="85"/>
    </row>
    <row r="775" spans="1:9" ht="13.5" customHeight="1" x14ac:dyDescent="0.3">
      <c r="A775" s="131">
        <f t="shared" si="42"/>
        <v>16328</v>
      </c>
      <c r="B775" s="138" t="s">
        <v>1058</v>
      </c>
      <c r="C775" s="138"/>
      <c r="D775" s="131"/>
      <c r="E775" s="131" t="s">
        <v>123</v>
      </c>
      <c r="F775" s="15">
        <v>3</v>
      </c>
      <c r="G775" s="131">
        <v>1</v>
      </c>
      <c r="H775" s="131">
        <v>14</v>
      </c>
      <c r="I775" s="85"/>
    </row>
    <row r="776" spans="1:9" ht="13.5" customHeight="1" x14ac:dyDescent="0.3">
      <c r="A776" s="131">
        <f t="shared" si="42"/>
        <v>16342</v>
      </c>
      <c r="B776" s="138" t="s">
        <v>1059</v>
      </c>
      <c r="C776" s="138"/>
      <c r="D776" s="131"/>
      <c r="E776" s="131" t="s">
        <v>123</v>
      </c>
      <c r="F776" s="15">
        <v>3</v>
      </c>
      <c r="G776" s="131">
        <v>1</v>
      </c>
      <c r="H776" s="131">
        <v>14</v>
      </c>
      <c r="I776" s="85"/>
    </row>
    <row r="777" spans="1:9" ht="13.5" customHeight="1" x14ac:dyDescent="0.3">
      <c r="A777" s="131">
        <f t="shared" si="42"/>
        <v>16356</v>
      </c>
      <c r="B777" s="138" t="s">
        <v>1060</v>
      </c>
      <c r="C777" s="138"/>
      <c r="D777" s="131"/>
      <c r="E777" s="131" t="s">
        <v>123</v>
      </c>
      <c r="F777" s="15">
        <v>3</v>
      </c>
      <c r="G777" s="131">
        <v>1</v>
      </c>
      <c r="H777" s="131">
        <v>14</v>
      </c>
      <c r="I777" s="85"/>
    </row>
    <row r="778" spans="1:9" ht="13.5" customHeight="1" x14ac:dyDescent="0.3">
      <c r="A778" s="131">
        <f t="shared" si="42"/>
        <v>16370</v>
      </c>
      <c r="B778" s="138" t="s">
        <v>1061</v>
      </c>
      <c r="C778" s="138"/>
      <c r="D778" s="131"/>
      <c r="E778" s="131" t="s">
        <v>123</v>
      </c>
      <c r="F778" s="15">
        <v>3</v>
      </c>
      <c r="G778" s="131">
        <v>1</v>
      </c>
      <c r="H778" s="131">
        <v>14</v>
      </c>
      <c r="I778" s="85"/>
    </row>
    <row r="779" spans="1:9" ht="13.5" customHeight="1" x14ac:dyDescent="0.3">
      <c r="A779" s="131">
        <f t="shared" si="42"/>
        <v>16384</v>
      </c>
      <c r="B779" s="138" t="s">
        <v>1062</v>
      </c>
      <c r="C779" s="138"/>
      <c r="D779" s="131"/>
      <c r="E779" s="131" t="s">
        <v>123</v>
      </c>
      <c r="F779" s="15">
        <v>3</v>
      </c>
      <c r="G779" s="131">
        <v>1</v>
      </c>
      <c r="H779" s="131">
        <v>14</v>
      </c>
      <c r="I779" s="85"/>
    </row>
    <row r="780" spans="1:9" ht="13.5" customHeight="1" x14ac:dyDescent="0.3">
      <c r="A780" s="131">
        <f t="shared" si="42"/>
        <v>16398</v>
      </c>
      <c r="B780" s="138" t="s">
        <v>1063</v>
      </c>
      <c r="C780" s="138"/>
      <c r="D780" s="131"/>
      <c r="E780" s="131" t="s">
        <v>123</v>
      </c>
      <c r="F780" s="15">
        <v>3</v>
      </c>
      <c r="G780" s="131">
        <v>1</v>
      </c>
      <c r="H780" s="131">
        <v>14</v>
      </c>
      <c r="I780" s="85"/>
    </row>
    <row r="781" spans="1:9" ht="13.5" customHeight="1" x14ac:dyDescent="0.3">
      <c r="A781" s="131">
        <f t="shared" si="42"/>
        <v>16412</v>
      </c>
      <c r="B781" s="138" t="s">
        <v>1064</v>
      </c>
      <c r="C781" s="138"/>
      <c r="D781" s="131"/>
      <c r="E781" s="131" t="s">
        <v>123</v>
      </c>
      <c r="F781" s="15">
        <v>3</v>
      </c>
      <c r="G781" s="131">
        <v>1</v>
      </c>
      <c r="H781" s="131">
        <v>14</v>
      </c>
      <c r="I781" s="85"/>
    </row>
    <row r="782" spans="1:9" ht="13.5" customHeight="1" x14ac:dyDescent="0.3">
      <c r="A782" s="131">
        <f t="shared" si="42"/>
        <v>16426</v>
      </c>
      <c r="B782" s="138" t="s">
        <v>1065</v>
      </c>
      <c r="C782" s="138"/>
      <c r="D782" s="131"/>
      <c r="E782" s="131" t="s">
        <v>123</v>
      </c>
      <c r="F782" s="15">
        <v>3</v>
      </c>
      <c r="G782" s="131">
        <v>1</v>
      </c>
      <c r="H782" s="131">
        <v>14</v>
      </c>
      <c r="I782" s="85"/>
    </row>
    <row r="783" spans="1:9" ht="13.5" customHeight="1" x14ac:dyDescent="0.3">
      <c r="A783" s="131">
        <f t="shared" si="42"/>
        <v>16440</v>
      </c>
      <c r="B783" s="138" t="s">
        <v>1066</v>
      </c>
      <c r="C783" s="138"/>
      <c r="D783" s="131"/>
      <c r="E783" s="131" t="s">
        <v>123</v>
      </c>
      <c r="F783" s="15">
        <v>3</v>
      </c>
      <c r="G783" s="131">
        <v>1</v>
      </c>
      <c r="H783" s="131">
        <v>14</v>
      </c>
      <c r="I783" s="85"/>
    </row>
    <row r="784" spans="1:9" ht="13.5" customHeight="1" x14ac:dyDescent="0.3">
      <c r="A784" s="131">
        <f t="shared" si="42"/>
        <v>16454</v>
      </c>
      <c r="B784" s="138" t="s">
        <v>1067</v>
      </c>
      <c r="C784" s="138"/>
      <c r="D784" s="131"/>
      <c r="E784" s="131" t="s">
        <v>123</v>
      </c>
      <c r="F784" s="15">
        <v>3</v>
      </c>
      <c r="G784" s="131">
        <v>1</v>
      </c>
      <c r="H784" s="131">
        <v>14</v>
      </c>
      <c r="I784" s="85"/>
    </row>
    <row r="785" spans="1:9" ht="13.5" customHeight="1" x14ac:dyDescent="0.3">
      <c r="A785" s="131">
        <f t="shared" si="42"/>
        <v>16468</v>
      </c>
      <c r="B785" s="138" t="s">
        <v>1068</v>
      </c>
      <c r="C785" s="138"/>
      <c r="D785" s="131"/>
      <c r="E785" s="131" t="s">
        <v>123</v>
      </c>
      <c r="F785" s="15">
        <v>3</v>
      </c>
      <c r="G785" s="131">
        <v>1</v>
      </c>
      <c r="H785" s="131">
        <v>14</v>
      </c>
      <c r="I785" s="85"/>
    </row>
    <row r="786" spans="1:9" ht="13.5" customHeight="1" x14ac:dyDescent="0.3">
      <c r="A786" s="131">
        <f t="shared" si="42"/>
        <v>16482</v>
      </c>
      <c r="B786" s="138" t="s">
        <v>1069</v>
      </c>
      <c r="C786" s="138"/>
      <c r="D786" s="131"/>
      <c r="E786" s="131" t="s">
        <v>123</v>
      </c>
      <c r="F786" s="15">
        <v>3</v>
      </c>
      <c r="G786" s="131">
        <v>1</v>
      </c>
      <c r="H786" s="131">
        <v>14</v>
      </c>
      <c r="I786" s="85"/>
    </row>
    <row r="787" spans="1:9" ht="13.5" customHeight="1" x14ac:dyDescent="0.3">
      <c r="A787" s="131">
        <f t="shared" si="42"/>
        <v>16496</v>
      </c>
      <c r="B787" s="138" t="s">
        <v>1070</v>
      </c>
      <c r="C787" s="138"/>
      <c r="D787" s="131"/>
      <c r="E787" s="131" t="s">
        <v>123</v>
      </c>
      <c r="F787" s="15">
        <v>3</v>
      </c>
      <c r="G787" s="131">
        <v>1</v>
      </c>
      <c r="H787" s="131">
        <v>14</v>
      </c>
      <c r="I787" s="85"/>
    </row>
    <row r="788" spans="1:9" ht="13.5" customHeight="1" x14ac:dyDescent="0.3">
      <c r="A788" s="131">
        <f t="shared" si="42"/>
        <v>16510</v>
      </c>
      <c r="B788" s="138" t="s">
        <v>1071</v>
      </c>
      <c r="C788" s="138"/>
      <c r="D788" s="131"/>
      <c r="E788" s="131" t="s">
        <v>123</v>
      </c>
      <c r="F788" s="15">
        <v>3</v>
      </c>
      <c r="G788" s="131">
        <v>1</v>
      </c>
      <c r="H788" s="131">
        <v>14</v>
      </c>
      <c r="I788" s="85"/>
    </row>
    <row r="789" spans="1:9" ht="13.5" customHeight="1" x14ac:dyDescent="0.3">
      <c r="A789" s="131">
        <f t="shared" si="42"/>
        <v>16524</v>
      </c>
      <c r="B789" s="138" t="s">
        <v>1072</v>
      </c>
      <c r="C789" s="138"/>
      <c r="D789" s="131"/>
      <c r="E789" s="131" t="s">
        <v>123</v>
      </c>
      <c r="F789" s="15">
        <v>3</v>
      </c>
      <c r="G789" s="131">
        <v>1</v>
      </c>
      <c r="H789" s="131">
        <v>14</v>
      </c>
      <c r="I789" s="85"/>
    </row>
    <row r="790" spans="1:9" ht="13.5" customHeight="1" x14ac:dyDescent="0.3">
      <c r="A790" s="131">
        <f t="shared" si="42"/>
        <v>16538</v>
      </c>
      <c r="B790" s="138" t="s">
        <v>1073</v>
      </c>
      <c r="C790" s="138"/>
      <c r="D790" s="131"/>
      <c r="E790" s="131" t="s">
        <v>123</v>
      </c>
      <c r="F790" s="15">
        <v>3</v>
      </c>
      <c r="G790" s="131">
        <v>1</v>
      </c>
      <c r="H790" s="131">
        <v>14</v>
      </c>
      <c r="I790" s="85"/>
    </row>
    <row r="791" spans="1:9" ht="13.5" customHeight="1" x14ac:dyDescent="0.3">
      <c r="A791" s="131">
        <f t="shared" si="42"/>
        <v>16552</v>
      </c>
      <c r="B791" s="138" t="s">
        <v>1074</v>
      </c>
      <c r="C791" s="138"/>
      <c r="D791" s="131"/>
      <c r="E791" s="131" t="s">
        <v>123</v>
      </c>
      <c r="F791" s="15">
        <v>3</v>
      </c>
      <c r="G791" s="131">
        <v>1</v>
      </c>
      <c r="H791" s="131">
        <v>14</v>
      </c>
      <c r="I791" s="85"/>
    </row>
    <row r="792" spans="1:9" ht="13.5" customHeight="1" x14ac:dyDescent="0.3">
      <c r="A792" s="131">
        <f t="shared" si="42"/>
        <v>16566</v>
      </c>
      <c r="B792" s="138" t="s">
        <v>1075</v>
      </c>
      <c r="C792" s="138"/>
      <c r="D792" s="131"/>
      <c r="E792" s="131" t="s">
        <v>123</v>
      </c>
      <c r="F792" s="15">
        <v>3</v>
      </c>
      <c r="G792" s="131">
        <v>1</v>
      </c>
      <c r="H792" s="131">
        <v>14</v>
      </c>
      <c r="I792" s="85"/>
    </row>
    <row r="793" spans="1:9" ht="13.5" customHeight="1" x14ac:dyDescent="0.3">
      <c r="A793" s="131">
        <f t="shared" si="42"/>
        <v>16580</v>
      </c>
      <c r="B793" s="138" t="s">
        <v>1076</v>
      </c>
      <c r="C793" s="138"/>
      <c r="D793" s="131"/>
      <c r="E793" s="131" t="s">
        <v>123</v>
      </c>
      <c r="F793" s="15">
        <v>3</v>
      </c>
      <c r="G793" s="131">
        <v>1</v>
      </c>
      <c r="H793" s="131">
        <v>14</v>
      </c>
      <c r="I793" s="85"/>
    </row>
    <row r="794" spans="1:9" ht="13.5" customHeight="1" x14ac:dyDescent="0.3">
      <c r="A794" s="131">
        <f t="shared" si="42"/>
        <v>16594</v>
      </c>
      <c r="B794" s="138" t="s">
        <v>1077</v>
      </c>
      <c r="C794" s="138"/>
      <c r="D794" s="131"/>
      <c r="E794" s="131" t="s">
        <v>123</v>
      </c>
      <c r="F794" s="15">
        <v>3</v>
      </c>
      <c r="G794" s="131">
        <v>1</v>
      </c>
      <c r="H794" s="131">
        <v>14</v>
      </c>
      <c r="I794" s="85"/>
    </row>
    <row r="795" spans="1:9" ht="13.5" customHeight="1" x14ac:dyDescent="0.3">
      <c r="A795" s="131">
        <f t="shared" si="42"/>
        <v>16608</v>
      </c>
      <c r="B795" s="138" t="s">
        <v>1078</v>
      </c>
      <c r="C795" s="138"/>
      <c r="D795" s="131"/>
      <c r="E795" s="131" t="s">
        <v>123</v>
      </c>
      <c r="F795" s="15">
        <v>3</v>
      </c>
      <c r="G795" s="131">
        <v>1</v>
      </c>
      <c r="H795" s="131">
        <v>14</v>
      </c>
      <c r="I795" s="85"/>
    </row>
    <row r="796" spans="1:9" ht="13.5" customHeight="1" x14ac:dyDescent="0.3">
      <c r="A796" s="131">
        <f t="shared" si="42"/>
        <v>16622</v>
      </c>
      <c r="B796" s="138" t="s">
        <v>1079</v>
      </c>
      <c r="C796" s="138"/>
      <c r="D796" s="131"/>
      <c r="E796" s="131" t="s">
        <v>123</v>
      </c>
      <c r="F796" s="15">
        <v>3</v>
      </c>
      <c r="G796" s="131">
        <v>1</v>
      </c>
      <c r="H796" s="131">
        <v>14</v>
      </c>
      <c r="I796" s="85"/>
    </row>
    <row r="797" spans="1:9" ht="13.5" customHeight="1" x14ac:dyDescent="0.3">
      <c r="A797" s="131">
        <f t="shared" si="42"/>
        <v>16636</v>
      </c>
      <c r="B797" s="138" t="s">
        <v>1080</v>
      </c>
      <c r="C797" s="138"/>
      <c r="D797" s="131"/>
      <c r="E797" s="131" t="s">
        <v>123</v>
      </c>
      <c r="F797" s="15">
        <v>3</v>
      </c>
      <c r="G797" s="131">
        <v>1</v>
      </c>
      <c r="H797" s="131">
        <v>14</v>
      </c>
      <c r="I797" s="85"/>
    </row>
    <row r="798" spans="1:9" ht="13.5" customHeight="1" x14ac:dyDescent="0.3">
      <c r="A798" s="131">
        <f t="shared" si="42"/>
        <v>16650</v>
      </c>
      <c r="B798" s="138" t="s">
        <v>1081</v>
      </c>
      <c r="C798" s="138"/>
      <c r="D798" s="131"/>
      <c r="E798" s="131" t="s">
        <v>123</v>
      </c>
      <c r="F798" s="15">
        <v>3</v>
      </c>
      <c r="G798" s="131">
        <v>1</v>
      </c>
      <c r="H798" s="131">
        <v>14</v>
      </c>
      <c r="I798" s="85"/>
    </row>
    <row r="799" spans="1:9" ht="13.5" customHeight="1" x14ac:dyDescent="0.3">
      <c r="A799" s="131">
        <f t="shared" si="42"/>
        <v>16664</v>
      </c>
      <c r="B799" s="138" t="s">
        <v>1082</v>
      </c>
      <c r="C799" s="138"/>
      <c r="D799" s="131"/>
      <c r="E799" s="131" t="s">
        <v>123</v>
      </c>
      <c r="F799" s="15">
        <v>3</v>
      </c>
      <c r="G799" s="131">
        <v>1</v>
      </c>
      <c r="H799" s="131">
        <v>14</v>
      </c>
      <c r="I799" s="85"/>
    </row>
    <row r="800" spans="1:9" ht="13.5" customHeight="1" x14ac:dyDescent="0.3">
      <c r="A800" s="131">
        <f t="shared" si="42"/>
        <v>16678</v>
      </c>
      <c r="B800" s="138" t="s">
        <v>1083</v>
      </c>
      <c r="C800" s="138"/>
      <c r="D800" s="131"/>
      <c r="E800" s="131" t="s">
        <v>123</v>
      </c>
      <c r="F800" s="15">
        <v>3</v>
      </c>
      <c r="G800" s="131">
        <v>1</v>
      </c>
      <c r="H800" s="131">
        <v>14</v>
      </c>
      <c r="I800" s="85"/>
    </row>
    <row r="801" spans="1:10" ht="13.5" customHeight="1" x14ac:dyDescent="0.3">
      <c r="A801" s="131">
        <f t="shared" si="42"/>
        <v>16692</v>
      </c>
      <c r="B801" s="138"/>
      <c r="C801" s="138"/>
      <c r="D801" s="131"/>
      <c r="E801" s="131" t="s">
        <v>123</v>
      </c>
      <c r="F801" s="15">
        <v>3</v>
      </c>
      <c r="G801" s="131">
        <v>1</v>
      </c>
      <c r="H801" s="131">
        <v>8</v>
      </c>
      <c r="I801" s="85"/>
    </row>
    <row r="802" spans="1:10" ht="15.95" customHeight="1" x14ac:dyDescent="0.3">
      <c r="A802" s="169" t="s">
        <v>645</v>
      </c>
      <c r="B802" s="169"/>
      <c r="C802" s="169"/>
      <c r="D802" s="169"/>
      <c r="E802" s="169"/>
      <c r="F802" s="169"/>
      <c r="G802" s="169"/>
      <c r="H802" s="169"/>
      <c r="I802" s="94"/>
    </row>
    <row r="803" spans="1:10" ht="13.5" customHeight="1" thickBot="1" x14ac:dyDescent="0.35">
      <c r="A803" s="179" t="s">
        <v>514</v>
      </c>
      <c r="B803" s="179"/>
      <c r="C803" s="179"/>
      <c r="D803" s="179"/>
      <c r="E803" s="179"/>
      <c r="F803" s="179"/>
      <c r="G803" s="179"/>
      <c r="H803" s="179"/>
      <c r="I803" s="88"/>
    </row>
    <row r="804" spans="1:10" ht="15" customHeight="1" x14ac:dyDescent="0.3">
      <c r="A804" s="71">
        <f>A801+(G801*H801)</f>
        <v>16700</v>
      </c>
      <c r="B804" s="72" t="s">
        <v>203</v>
      </c>
      <c r="C804" s="119" t="s">
        <v>572</v>
      </c>
      <c r="D804" s="73"/>
      <c r="E804" s="74" t="s">
        <v>123</v>
      </c>
      <c r="F804" s="74" t="s">
        <v>1045</v>
      </c>
      <c r="G804" s="74">
        <f t="shared" ref="G804:G818" si="43">IF(OR(E804="U16", E804="S16"),1,IF(E804="TS",6,2))</f>
        <v>1</v>
      </c>
      <c r="H804" s="75">
        <v>1</v>
      </c>
      <c r="I804" s="85"/>
    </row>
    <row r="805" spans="1:10" ht="15" customHeight="1" x14ac:dyDescent="0.3">
      <c r="A805" s="76">
        <f t="shared" ref="A805:A823" si="44">A804+(G804*H804)</f>
        <v>16701</v>
      </c>
      <c r="B805" s="11" t="s">
        <v>204</v>
      </c>
      <c r="C805" s="138" t="s">
        <v>577</v>
      </c>
      <c r="D805" s="33"/>
      <c r="E805" s="15" t="s">
        <v>123</v>
      </c>
      <c r="F805" s="15" t="s">
        <v>1045</v>
      </c>
      <c r="G805" s="15">
        <f t="shared" si="43"/>
        <v>1</v>
      </c>
      <c r="H805" s="77">
        <v>1</v>
      </c>
      <c r="I805" s="85"/>
    </row>
    <row r="806" spans="1:10" ht="48.75" customHeight="1" x14ac:dyDescent="0.3">
      <c r="A806" s="76">
        <f t="shared" si="44"/>
        <v>16702</v>
      </c>
      <c r="B806" s="11" t="s">
        <v>207</v>
      </c>
      <c r="C806" s="138" t="s">
        <v>586</v>
      </c>
      <c r="D806" s="33"/>
      <c r="E806" s="15" t="s">
        <v>123</v>
      </c>
      <c r="F806" s="15" t="s">
        <v>1044</v>
      </c>
      <c r="G806" s="15">
        <f t="shared" si="43"/>
        <v>1</v>
      </c>
      <c r="H806" s="77">
        <v>1</v>
      </c>
      <c r="I806" s="85"/>
    </row>
    <row r="807" spans="1:10" ht="15" customHeight="1" x14ac:dyDescent="0.3">
      <c r="A807" s="76">
        <f t="shared" si="44"/>
        <v>16703</v>
      </c>
      <c r="B807" s="11" t="s">
        <v>578</v>
      </c>
      <c r="C807" s="138"/>
      <c r="D807" s="33"/>
      <c r="E807" s="15" t="s">
        <v>123</v>
      </c>
      <c r="F807" s="15" t="s">
        <v>1044</v>
      </c>
      <c r="G807" s="15">
        <f>IF(OR(E807="U16", E807="S16"),1,IF(E807="TS",6,2))</f>
        <v>1</v>
      </c>
      <c r="H807" s="77">
        <v>1</v>
      </c>
      <c r="I807" s="85"/>
    </row>
    <row r="808" spans="1:10" ht="15" customHeight="1" thickBot="1" x14ac:dyDescent="0.35">
      <c r="A808" s="78">
        <f t="shared" si="44"/>
        <v>16704</v>
      </c>
      <c r="B808" s="79" t="s">
        <v>41</v>
      </c>
      <c r="C808" s="126"/>
      <c r="D808" s="80"/>
      <c r="E808" s="81" t="s">
        <v>123</v>
      </c>
      <c r="F808" s="81" t="s">
        <v>1044</v>
      </c>
      <c r="G808" s="81">
        <f>IF(OR(E808="U16", E808="S16"),1,IF(E808="TS",6,2))</f>
        <v>1</v>
      </c>
      <c r="H808" s="82">
        <v>2</v>
      </c>
      <c r="I808" s="85"/>
    </row>
    <row r="809" spans="1:10" ht="15" customHeight="1" x14ac:dyDescent="0.3">
      <c r="A809" s="71">
        <f t="shared" si="44"/>
        <v>16706</v>
      </c>
      <c r="B809" s="72" t="s">
        <v>217</v>
      </c>
      <c r="C809" s="119" t="s">
        <v>574</v>
      </c>
      <c r="D809" s="73"/>
      <c r="E809" s="74" t="s">
        <v>123</v>
      </c>
      <c r="F809" s="74" t="s">
        <v>1044</v>
      </c>
      <c r="G809" s="74">
        <f t="shared" si="43"/>
        <v>1</v>
      </c>
      <c r="H809" s="75">
        <v>1</v>
      </c>
      <c r="I809" s="85"/>
    </row>
    <row r="810" spans="1:10" ht="15" customHeight="1" x14ac:dyDescent="0.3">
      <c r="A810" s="76">
        <f t="shared" si="44"/>
        <v>16707</v>
      </c>
      <c r="B810" s="11" t="s">
        <v>205</v>
      </c>
      <c r="C810" s="138" t="s">
        <v>577</v>
      </c>
      <c r="D810" s="33"/>
      <c r="E810" s="15" t="s">
        <v>123</v>
      </c>
      <c r="F810" s="15" t="s">
        <v>1044</v>
      </c>
      <c r="G810" s="15">
        <f t="shared" si="43"/>
        <v>1</v>
      </c>
      <c r="H810" s="77">
        <v>1</v>
      </c>
      <c r="I810" s="85"/>
    </row>
    <row r="811" spans="1:10" ht="58.5" customHeight="1" x14ac:dyDescent="0.3">
      <c r="A811" s="76">
        <f t="shared" si="44"/>
        <v>16708</v>
      </c>
      <c r="B811" s="11" t="s">
        <v>207</v>
      </c>
      <c r="C811" s="138" t="s">
        <v>586</v>
      </c>
      <c r="D811" s="33"/>
      <c r="E811" s="15" t="s">
        <v>123</v>
      </c>
      <c r="F811" s="15" t="s">
        <v>1044</v>
      </c>
      <c r="G811" s="15">
        <f t="shared" si="43"/>
        <v>1</v>
      </c>
      <c r="H811" s="77">
        <v>1</v>
      </c>
      <c r="I811" s="85"/>
    </row>
    <row r="812" spans="1:10" ht="15" customHeight="1" x14ac:dyDescent="0.3">
      <c r="A812" s="76">
        <f t="shared" si="44"/>
        <v>16709</v>
      </c>
      <c r="B812" s="11" t="s">
        <v>578</v>
      </c>
      <c r="C812" s="138"/>
      <c r="D812" s="33"/>
      <c r="E812" s="15" t="s">
        <v>123</v>
      </c>
      <c r="F812" s="15" t="s">
        <v>1044</v>
      </c>
      <c r="G812" s="15">
        <f t="shared" si="43"/>
        <v>1</v>
      </c>
      <c r="H812" s="77">
        <v>1</v>
      </c>
      <c r="I812" s="85"/>
    </row>
    <row r="813" spans="1:10" ht="15" customHeight="1" thickBot="1" x14ac:dyDescent="0.35">
      <c r="A813" s="78">
        <f t="shared" si="44"/>
        <v>16710</v>
      </c>
      <c r="B813" s="79"/>
      <c r="C813" s="126"/>
      <c r="D813" s="80"/>
      <c r="E813" s="81" t="s">
        <v>123</v>
      </c>
      <c r="F813" s="81" t="s">
        <v>1044</v>
      </c>
      <c r="G813" s="81">
        <f t="shared" si="43"/>
        <v>1</v>
      </c>
      <c r="H813" s="82">
        <v>2</v>
      </c>
      <c r="I813" s="85"/>
    </row>
    <row r="814" spans="1:10" ht="15" customHeight="1" x14ac:dyDescent="0.3">
      <c r="A814" s="71">
        <f t="shared" si="44"/>
        <v>16712</v>
      </c>
      <c r="B814" s="72" t="s">
        <v>573</v>
      </c>
      <c r="C814" s="119" t="s">
        <v>575</v>
      </c>
      <c r="D814" s="73"/>
      <c r="E814" s="74" t="s">
        <v>123</v>
      </c>
      <c r="F814" s="74" t="s">
        <v>1044</v>
      </c>
      <c r="G814" s="74">
        <f t="shared" si="43"/>
        <v>1</v>
      </c>
      <c r="H814" s="75">
        <v>1</v>
      </c>
      <c r="I814" s="85"/>
      <c r="J814" s="139" t="s">
        <v>41</v>
      </c>
    </row>
    <row r="815" spans="1:10" ht="15" customHeight="1" x14ac:dyDescent="0.3">
      <c r="A815" s="76">
        <f t="shared" si="44"/>
        <v>16713</v>
      </c>
      <c r="B815" s="11" t="s">
        <v>206</v>
      </c>
      <c r="C815" s="138" t="s">
        <v>577</v>
      </c>
      <c r="D815" s="33"/>
      <c r="E815" s="15" t="s">
        <v>123</v>
      </c>
      <c r="F815" s="15" t="s">
        <v>1044</v>
      </c>
      <c r="G815" s="15">
        <f t="shared" si="43"/>
        <v>1</v>
      </c>
      <c r="H815" s="77">
        <v>1</v>
      </c>
      <c r="I815" s="85"/>
    </row>
    <row r="816" spans="1:10" ht="50.25" customHeight="1" x14ac:dyDescent="0.3">
      <c r="A816" s="76">
        <f t="shared" si="44"/>
        <v>16714</v>
      </c>
      <c r="B816" s="11" t="s">
        <v>207</v>
      </c>
      <c r="C816" s="138" t="s">
        <v>586</v>
      </c>
      <c r="D816" s="33"/>
      <c r="E816" s="15" t="s">
        <v>123</v>
      </c>
      <c r="F816" s="15" t="s">
        <v>1044</v>
      </c>
      <c r="G816" s="15">
        <f t="shared" si="43"/>
        <v>1</v>
      </c>
      <c r="H816" s="77">
        <v>1</v>
      </c>
      <c r="I816" s="85"/>
    </row>
    <row r="817" spans="1:9" ht="15" customHeight="1" x14ac:dyDescent="0.3">
      <c r="A817" s="76">
        <f t="shared" si="44"/>
        <v>16715</v>
      </c>
      <c r="B817" s="11" t="s">
        <v>578</v>
      </c>
      <c r="C817" s="138"/>
      <c r="D817" s="33"/>
      <c r="E817" s="15" t="s">
        <v>123</v>
      </c>
      <c r="F817" s="15" t="s">
        <v>1044</v>
      </c>
      <c r="G817" s="15">
        <f t="shared" si="43"/>
        <v>1</v>
      </c>
      <c r="H817" s="77">
        <v>1</v>
      </c>
      <c r="I817" s="85"/>
    </row>
    <row r="818" spans="1:9" ht="15" customHeight="1" thickBot="1" x14ac:dyDescent="0.35">
      <c r="A818" s="78">
        <f t="shared" si="44"/>
        <v>16716</v>
      </c>
      <c r="B818" s="79"/>
      <c r="C818" s="126"/>
      <c r="D818" s="80"/>
      <c r="E818" s="81" t="s">
        <v>123</v>
      </c>
      <c r="F818" s="81" t="s">
        <v>1044</v>
      </c>
      <c r="G818" s="81">
        <f t="shared" si="43"/>
        <v>1</v>
      </c>
      <c r="H818" s="82">
        <v>2</v>
      </c>
      <c r="I818" s="85"/>
    </row>
    <row r="819" spans="1:9" ht="15" customHeight="1" x14ac:dyDescent="0.3">
      <c r="A819" s="71">
        <f t="shared" si="44"/>
        <v>16718</v>
      </c>
      <c r="B819" s="72" t="s">
        <v>218</v>
      </c>
      <c r="C819" s="119" t="s">
        <v>576</v>
      </c>
      <c r="D819" s="73"/>
      <c r="E819" s="74" t="s">
        <v>123</v>
      </c>
      <c r="F819" s="74" t="s">
        <v>1044</v>
      </c>
      <c r="G819" s="74">
        <f>IF(OR(E819="U16", E819="S16"),1,IF(E819="TS",6,2))</f>
        <v>1</v>
      </c>
      <c r="H819" s="75">
        <v>1</v>
      </c>
      <c r="I819" s="85"/>
    </row>
    <row r="820" spans="1:9" ht="15" customHeight="1" x14ac:dyDescent="0.3">
      <c r="A820" s="76">
        <f t="shared" si="44"/>
        <v>16719</v>
      </c>
      <c r="B820" s="11" t="s">
        <v>219</v>
      </c>
      <c r="C820" s="138" t="s">
        <v>577</v>
      </c>
      <c r="D820" s="33"/>
      <c r="E820" s="15" t="s">
        <v>123</v>
      </c>
      <c r="F820" s="15" t="s">
        <v>1044</v>
      </c>
      <c r="G820" s="15">
        <f>IF(OR(E820="U16", E820="S16"),1,IF(E820="TS",6,2))</f>
        <v>1</v>
      </c>
      <c r="H820" s="77">
        <v>1</v>
      </c>
      <c r="I820" s="85"/>
    </row>
    <row r="821" spans="1:9" ht="42" customHeight="1" x14ac:dyDescent="0.3">
      <c r="A821" s="76">
        <f t="shared" si="44"/>
        <v>16720</v>
      </c>
      <c r="B821" s="11" t="s">
        <v>207</v>
      </c>
      <c r="C821" s="138" t="s">
        <v>586</v>
      </c>
      <c r="D821" s="33"/>
      <c r="E821" s="15" t="s">
        <v>123</v>
      </c>
      <c r="F821" s="15" t="s">
        <v>1044</v>
      </c>
      <c r="G821" s="15">
        <f>IF(OR(E821="U16", E821="S16"),1,IF(E821="TS",6,2))</f>
        <v>1</v>
      </c>
      <c r="H821" s="77">
        <v>1</v>
      </c>
      <c r="I821" s="85"/>
    </row>
    <row r="822" spans="1:9" ht="15" customHeight="1" x14ac:dyDescent="0.3">
      <c r="A822" s="76">
        <f t="shared" si="44"/>
        <v>16721</v>
      </c>
      <c r="B822" s="11" t="s">
        <v>578</v>
      </c>
      <c r="C822" s="138"/>
      <c r="D822" s="33"/>
      <c r="E822" s="15" t="s">
        <v>123</v>
      </c>
      <c r="F822" s="15" t="s">
        <v>1044</v>
      </c>
      <c r="G822" s="15">
        <f>IF(OR(E822="U16", E822="S16"),1,IF(E822="TS",6,2))</f>
        <v>1</v>
      </c>
      <c r="H822" s="77">
        <v>1</v>
      </c>
      <c r="I822" s="85"/>
    </row>
    <row r="823" spans="1:9" ht="15" customHeight="1" thickBot="1" x14ac:dyDescent="0.35">
      <c r="A823" s="78">
        <f t="shared" si="44"/>
        <v>16722</v>
      </c>
      <c r="B823" s="79"/>
      <c r="C823" s="126"/>
      <c r="D823" s="83"/>
      <c r="E823" s="81" t="s">
        <v>123</v>
      </c>
      <c r="F823" s="81" t="s">
        <v>1044</v>
      </c>
      <c r="G823" s="81">
        <f>IF(OR(E823="U16", E823="S16"),1,IF(E823="TS",6,2))</f>
        <v>1</v>
      </c>
      <c r="H823" s="82">
        <v>2</v>
      </c>
      <c r="I823" s="85"/>
    </row>
    <row r="824" spans="1:9" ht="13.5" customHeight="1" x14ac:dyDescent="0.3">
      <c r="A824" s="178" t="s">
        <v>384</v>
      </c>
      <c r="B824" s="178"/>
      <c r="C824" s="178"/>
      <c r="D824" s="178"/>
      <c r="E824" s="178"/>
      <c r="F824" s="178"/>
      <c r="G824" s="178"/>
      <c r="H824" s="178"/>
      <c r="I824" s="88"/>
    </row>
    <row r="825" spans="1:9" ht="13.5" customHeight="1" x14ac:dyDescent="0.3">
      <c r="A825" s="131">
        <f>A823+(G823*H823)</f>
        <v>16724</v>
      </c>
      <c r="B825" s="11" t="s">
        <v>389</v>
      </c>
      <c r="C825" s="138" t="s">
        <v>571</v>
      </c>
      <c r="D825" s="33"/>
      <c r="E825" s="15" t="s">
        <v>123</v>
      </c>
      <c r="F825" s="15" t="s">
        <v>1044</v>
      </c>
      <c r="G825" s="15">
        <f t="shared" ref="G825:G833" si="45">IF(OR(E825="U16", E825="S16"),1,IF(E825="TS",6,2))</f>
        <v>1</v>
      </c>
      <c r="H825" s="131">
        <v>1</v>
      </c>
      <c r="I825" s="85"/>
    </row>
    <row r="826" spans="1:9" ht="13.5" customHeight="1" x14ac:dyDescent="0.3">
      <c r="A826" s="131">
        <f>A825+(G825*H825)</f>
        <v>16725</v>
      </c>
      <c r="B826" s="11" t="s">
        <v>390</v>
      </c>
      <c r="C826" s="138" t="s">
        <v>569</v>
      </c>
      <c r="D826" s="33"/>
      <c r="E826" s="15" t="s">
        <v>123</v>
      </c>
      <c r="F826" s="15" t="s">
        <v>1044</v>
      </c>
      <c r="G826" s="15">
        <f t="shared" si="45"/>
        <v>1</v>
      </c>
      <c r="H826" s="131">
        <v>1</v>
      </c>
      <c r="I826" s="85"/>
    </row>
    <row r="827" spans="1:9" ht="13.5" customHeight="1" x14ac:dyDescent="0.3">
      <c r="A827" s="131">
        <f t="shared" ref="A827:A833" si="46">A826+(G826*H826)</f>
        <v>16726</v>
      </c>
      <c r="B827" s="11" t="s">
        <v>391</v>
      </c>
      <c r="C827" s="138" t="s">
        <v>570</v>
      </c>
      <c r="D827" s="33"/>
      <c r="E827" s="15" t="s">
        <v>123</v>
      </c>
      <c r="F827" s="15" t="s">
        <v>1044</v>
      </c>
      <c r="G827" s="15">
        <f t="shared" si="45"/>
        <v>1</v>
      </c>
      <c r="H827" s="131">
        <v>1</v>
      </c>
      <c r="I827" s="85"/>
    </row>
    <row r="828" spans="1:9" ht="13.5" customHeight="1" x14ac:dyDescent="0.3">
      <c r="A828" s="131">
        <f t="shared" si="46"/>
        <v>16727</v>
      </c>
      <c r="B828" s="11" t="s">
        <v>392</v>
      </c>
      <c r="C828" s="138" t="s">
        <v>584</v>
      </c>
      <c r="D828" s="33"/>
      <c r="E828" s="15" t="s">
        <v>123</v>
      </c>
      <c r="F828" s="15" t="s">
        <v>1044</v>
      </c>
      <c r="G828" s="15">
        <f t="shared" si="45"/>
        <v>1</v>
      </c>
      <c r="H828" s="131">
        <v>1</v>
      </c>
      <c r="I828" s="85"/>
    </row>
    <row r="829" spans="1:9" ht="13.5" customHeight="1" x14ac:dyDescent="0.3">
      <c r="A829" s="131">
        <f t="shared" si="46"/>
        <v>16728</v>
      </c>
      <c r="B829" s="11" t="s">
        <v>385</v>
      </c>
      <c r="C829" s="138" t="s">
        <v>571</v>
      </c>
      <c r="D829" s="33"/>
      <c r="E829" s="15" t="s">
        <v>123</v>
      </c>
      <c r="F829" s="15" t="s">
        <v>1044</v>
      </c>
      <c r="G829" s="15">
        <f t="shared" si="45"/>
        <v>1</v>
      </c>
      <c r="H829" s="131">
        <v>1</v>
      </c>
      <c r="I829" s="85"/>
    </row>
    <row r="830" spans="1:9" ht="13.5" customHeight="1" x14ac:dyDescent="0.3">
      <c r="A830" s="131">
        <f t="shared" si="46"/>
        <v>16729</v>
      </c>
      <c r="B830" s="11" t="s">
        <v>386</v>
      </c>
      <c r="C830" s="138" t="s">
        <v>569</v>
      </c>
      <c r="D830" s="33"/>
      <c r="E830" s="15" t="s">
        <v>123</v>
      </c>
      <c r="F830" s="15" t="s">
        <v>1044</v>
      </c>
      <c r="G830" s="15">
        <f t="shared" si="45"/>
        <v>1</v>
      </c>
      <c r="H830" s="131">
        <v>1</v>
      </c>
      <c r="I830" s="85"/>
    </row>
    <row r="831" spans="1:9" ht="13.5" customHeight="1" x14ac:dyDescent="0.3">
      <c r="A831" s="131">
        <f t="shared" si="46"/>
        <v>16730</v>
      </c>
      <c r="B831" s="11" t="s">
        <v>387</v>
      </c>
      <c r="C831" s="138" t="s">
        <v>570</v>
      </c>
      <c r="D831" s="33"/>
      <c r="E831" s="15" t="s">
        <v>123</v>
      </c>
      <c r="F831" s="15" t="s">
        <v>1044</v>
      </c>
      <c r="G831" s="15">
        <f t="shared" si="45"/>
        <v>1</v>
      </c>
      <c r="H831" s="131">
        <v>1</v>
      </c>
      <c r="I831" s="85"/>
    </row>
    <row r="832" spans="1:9" ht="13.5" customHeight="1" x14ac:dyDescent="0.3">
      <c r="A832" s="131">
        <f t="shared" si="46"/>
        <v>16731</v>
      </c>
      <c r="B832" s="11" t="s">
        <v>388</v>
      </c>
      <c r="C832" s="138" t="s">
        <v>584</v>
      </c>
      <c r="D832" s="33"/>
      <c r="E832" s="15" t="s">
        <v>123</v>
      </c>
      <c r="F832" s="15" t="s">
        <v>1044</v>
      </c>
      <c r="G832" s="15">
        <f t="shared" si="45"/>
        <v>1</v>
      </c>
      <c r="H832" s="131">
        <v>1</v>
      </c>
      <c r="I832" s="85"/>
    </row>
    <row r="833" spans="1:9" ht="13.5" customHeight="1" x14ac:dyDescent="0.3">
      <c r="A833" s="131">
        <f t="shared" si="46"/>
        <v>16732</v>
      </c>
      <c r="B833" s="11"/>
      <c r="C833" s="138"/>
      <c r="D833" s="131"/>
      <c r="E833" s="15" t="s">
        <v>123</v>
      </c>
      <c r="F833" s="15" t="s">
        <v>1044</v>
      </c>
      <c r="G833" s="15">
        <f t="shared" si="45"/>
        <v>1</v>
      </c>
      <c r="H833" s="131">
        <v>12</v>
      </c>
      <c r="I833" s="85"/>
    </row>
    <row r="834" spans="1:9" ht="13.5" customHeight="1" x14ac:dyDescent="0.3">
      <c r="A834" s="162" t="s">
        <v>511</v>
      </c>
      <c r="B834" s="162"/>
      <c r="C834" s="162"/>
      <c r="D834" s="162"/>
      <c r="E834" s="162"/>
      <c r="F834" s="162"/>
      <c r="G834" s="162"/>
      <c r="H834" s="162"/>
      <c r="I834" s="88"/>
    </row>
    <row r="835" spans="1:9" ht="13.5" customHeight="1" x14ac:dyDescent="0.3">
      <c r="A835" s="181" t="s">
        <v>512</v>
      </c>
      <c r="B835" s="181"/>
      <c r="C835" s="181"/>
      <c r="D835" s="181"/>
      <c r="E835" s="181"/>
      <c r="F835" s="181"/>
      <c r="G835" s="181"/>
      <c r="H835" s="181"/>
      <c r="I835" s="95"/>
    </row>
    <row r="836" spans="1:9" ht="13.5" customHeight="1" x14ac:dyDescent="0.3">
      <c r="A836" s="131">
        <f>A833+G833*H833</f>
        <v>16744</v>
      </c>
      <c r="B836" s="12" t="s">
        <v>223</v>
      </c>
      <c r="C836" s="138"/>
      <c r="D836" s="131"/>
      <c r="E836" s="15" t="s">
        <v>123</v>
      </c>
      <c r="F836" s="15" t="s">
        <v>1044</v>
      </c>
      <c r="G836" s="15">
        <f>IF(OR(E836="U16", E836="S16"),1,IF(E836="TS",6,2))</f>
        <v>1</v>
      </c>
      <c r="H836" s="131">
        <v>1</v>
      </c>
      <c r="I836" s="85"/>
    </row>
    <row r="837" spans="1:9" ht="13.5" customHeight="1" x14ac:dyDescent="0.3">
      <c r="A837" s="131">
        <f>A836+(G836*H836)</f>
        <v>16745</v>
      </c>
      <c r="B837" s="12" t="s">
        <v>224</v>
      </c>
      <c r="C837" s="138"/>
      <c r="D837" s="131"/>
      <c r="E837" s="15" t="s">
        <v>123</v>
      </c>
      <c r="F837" s="15" t="s">
        <v>1044</v>
      </c>
      <c r="G837" s="15">
        <f>IF(OR(E837="U16", E837="S16"),1,IF(E837="TS",6,2))</f>
        <v>1</v>
      </c>
      <c r="H837" s="131">
        <v>1</v>
      </c>
      <c r="I837" s="85"/>
    </row>
    <row r="838" spans="1:9" ht="13.5" customHeight="1" x14ac:dyDescent="0.3">
      <c r="A838" s="131">
        <f>A837+(G837*H837)</f>
        <v>16746</v>
      </c>
      <c r="B838" s="12" t="s">
        <v>225</v>
      </c>
      <c r="C838" s="138"/>
      <c r="D838" s="131"/>
      <c r="E838" s="15" t="s">
        <v>123</v>
      </c>
      <c r="F838" s="15" t="s">
        <v>1044</v>
      </c>
      <c r="G838" s="15">
        <f>IF(OR(E838="U16", E838="S16"),1,IF(E838="TS",6,2))</f>
        <v>1</v>
      </c>
      <c r="H838" s="131">
        <v>1</v>
      </c>
      <c r="I838" s="85"/>
    </row>
    <row r="839" spans="1:9" ht="13.5" customHeight="1" x14ac:dyDescent="0.3">
      <c r="A839" s="131">
        <f>A838+(G838*H838)</f>
        <v>16747</v>
      </c>
      <c r="B839" s="12" t="s">
        <v>226</v>
      </c>
      <c r="C839" s="138"/>
      <c r="D839" s="131"/>
      <c r="E839" s="15" t="s">
        <v>123</v>
      </c>
      <c r="F839" s="15" t="s">
        <v>1044</v>
      </c>
      <c r="G839" s="15">
        <f>IF(OR(E839="U16", E839="S16"),1,IF(E839="TS",6,2))</f>
        <v>1</v>
      </c>
      <c r="H839" s="131">
        <v>1</v>
      </c>
      <c r="I839" s="85"/>
    </row>
    <row r="840" spans="1:9" ht="13.5" customHeight="1" x14ac:dyDescent="0.3">
      <c r="A840" s="181" t="s">
        <v>513</v>
      </c>
      <c r="B840" s="181"/>
      <c r="C840" s="181"/>
      <c r="D840" s="181"/>
      <c r="E840" s="181"/>
      <c r="F840" s="181"/>
      <c r="G840" s="181"/>
      <c r="H840" s="181"/>
      <c r="I840" s="95"/>
    </row>
    <row r="841" spans="1:9" ht="13.5" customHeight="1" x14ac:dyDescent="0.3">
      <c r="A841" s="131">
        <f>A839+(G839*H839)</f>
        <v>16748</v>
      </c>
      <c r="B841" s="12" t="s">
        <v>227</v>
      </c>
      <c r="C841" s="138"/>
      <c r="D841" s="131"/>
      <c r="E841" s="15" t="s">
        <v>123</v>
      </c>
      <c r="F841" s="15" t="s">
        <v>1044</v>
      </c>
      <c r="G841" s="15">
        <f>IF(OR(E841="U16", E841="S16"),1,IF(E841="TS",6,2))</f>
        <v>1</v>
      </c>
      <c r="H841" s="131">
        <v>1</v>
      </c>
      <c r="I841" s="85"/>
    </row>
    <row r="842" spans="1:9" ht="13.5" customHeight="1" x14ac:dyDescent="0.3">
      <c r="A842" s="131">
        <f>A841+(G841*H841)</f>
        <v>16749</v>
      </c>
      <c r="B842" s="12" t="s">
        <v>228</v>
      </c>
      <c r="C842" s="138"/>
      <c r="D842" s="131"/>
      <c r="E842" s="15" t="s">
        <v>123</v>
      </c>
      <c r="F842" s="15" t="s">
        <v>1044</v>
      </c>
      <c r="G842" s="15">
        <f>IF(OR(E842="U16", E842="S16"),1,IF(E842="TS",6,2))</f>
        <v>1</v>
      </c>
      <c r="H842" s="131">
        <v>1</v>
      </c>
      <c r="I842" s="85"/>
    </row>
    <row r="843" spans="1:9" ht="13.5" customHeight="1" x14ac:dyDescent="0.3">
      <c r="A843" s="131">
        <f>A842+(G842*H842)</f>
        <v>16750</v>
      </c>
      <c r="B843" s="12" t="s">
        <v>229</v>
      </c>
      <c r="C843" s="138"/>
      <c r="D843" s="131"/>
      <c r="E843" s="15" t="s">
        <v>123</v>
      </c>
      <c r="F843" s="15" t="s">
        <v>1044</v>
      </c>
      <c r="G843" s="15">
        <f>IF(OR(E843="U16", E843="S16"),1,IF(E843="TS",6,2))</f>
        <v>1</v>
      </c>
      <c r="H843" s="131">
        <v>1</v>
      </c>
      <c r="I843" s="85"/>
    </row>
    <row r="844" spans="1:9" ht="13.5" customHeight="1" x14ac:dyDescent="0.3">
      <c r="A844" s="131">
        <f>A843+(G843*H843)</f>
        <v>16751</v>
      </c>
      <c r="B844" s="12" t="s">
        <v>230</v>
      </c>
      <c r="C844" s="138"/>
      <c r="D844" s="131"/>
      <c r="E844" s="15" t="s">
        <v>123</v>
      </c>
      <c r="F844" s="15" t="s">
        <v>1044</v>
      </c>
      <c r="G844" s="15">
        <f>IF(OR(E844="U16", E844="S16"),1,IF(E844="TS",6,2))</f>
        <v>1</v>
      </c>
      <c r="H844" s="131">
        <v>1</v>
      </c>
      <c r="I844" s="85"/>
    </row>
    <row r="845" spans="1:9" ht="13.5" customHeight="1" x14ac:dyDescent="0.3">
      <c r="A845" s="131">
        <f>A844+(G844*H844)</f>
        <v>16752</v>
      </c>
      <c r="B845" s="12"/>
      <c r="C845" s="138"/>
      <c r="D845" s="131"/>
      <c r="E845" s="15" t="s">
        <v>123</v>
      </c>
      <c r="F845" s="15" t="s">
        <v>1044</v>
      </c>
      <c r="G845" s="15">
        <f>IF(OR(E845="U16", E845="S16"),1,IF(E845="TS",6,2))</f>
        <v>1</v>
      </c>
      <c r="H845" s="131">
        <v>12</v>
      </c>
      <c r="I845" s="85"/>
    </row>
    <row r="846" spans="1:9" ht="13.5" customHeight="1" x14ac:dyDescent="0.3">
      <c r="A846" s="162" t="s">
        <v>393</v>
      </c>
      <c r="B846" s="162"/>
      <c r="C846" s="162"/>
      <c r="D846" s="162"/>
      <c r="E846" s="162"/>
      <c r="F846" s="162"/>
      <c r="G846" s="162"/>
      <c r="H846" s="162"/>
      <c r="I846" s="88"/>
    </row>
    <row r="847" spans="1:9" ht="13.5" customHeight="1" x14ac:dyDescent="0.3">
      <c r="A847" s="131">
        <f>A845+(G845*H845)</f>
        <v>16764</v>
      </c>
      <c r="B847" s="138" t="s">
        <v>475</v>
      </c>
      <c r="C847" s="138"/>
      <c r="D847" s="131"/>
      <c r="E847" s="15" t="s">
        <v>123</v>
      </c>
      <c r="F847" s="15" t="s">
        <v>1044</v>
      </c>
      <c r="G847" s="15">
        <f t="shared" ref="G847:G910" si="47">IF(OR(E847="U16", E847="S16"),1,IF(E847="TS",6,2))</f>
        <v>1</v>
      </c>
      <c r="H847" s="131">
        <v>1</v>
      </c>
      <c r="I847" s="85"/>
    </row>
    <row r="848" spans="1:9" ht="13.5" customHeight="1" x14ac:dyDescent="0.3">
      <c r="A848" s="131">
        <f t="shared" ref="A848:A911" si="48">A847+(G847*H847)</f>
        <v>16765</v>
      </c>
      <c r="B848" s="138" t="s">
        <v>476</v>
      </c>
      <c r="C848" s="138"/>
      <c r="D848" s="131"/>
      <c r="E848" s="15" t="s">
        <v>123</v>
      </c>
      <c r="F848" s="15" t="s">
        <v>1044</v>
      </c>
      <c r="G848" s="15">
        <f>IF(OR(E848="U16", E848="S16"),1,IF(E848="TS",6,2))</f>
        <v>1</v>
      </c>
      <c r="H848" s="131">
        <v>1</v>
      </c>
      <c r="I848" s="85"/>
    </row>
    <row r="849" spans="1:9" ht="13.5" customHeight="1" x14ac:dyDescent="0.3">
      <c r="A849" s="131">
        <f t="shared" si="48"/>
        <v>16766</v>
      </c>
      <c r="B849" s="138" t="s">
        <v>525</v>
      </c>
      <c r="C849" s="138"/>
      <c r="D849" s="33"/>
      <c r="E849" s="15" t="s">
        <v>123</v>
      </c>
      <c r="F849" s="15" t="s">
        <v>1044</v>
      </c>
      <c r="G849" s="15">
        <f t="shared" si="47"/>
        <v>1</v>
      </c>
      <c r="H849" s="131">
        <v>1</v>
      </c>
      <c r="I849" s="85"/>
    </row>
    <row r="850" spans="1:9" ht="13.5" customHeight="1" x14ac:dyDescent="0.3">
      <c r="A850" s="131">
        <f t="shared" si="48"/>
        <v>16767</v>
      </c>
      <c r="B850" s="138" t="s">
        <v>443</v>
      </c>
      <c r="C850" s="138"/>
      <c r="D850" s="33"/>
      <c r="E850" s="15" t="s">
        <v>123</v>
      </c>
      <c r="F850" s="15" t="s">
        <v>1044</v>
      </c>
      <c r="G850" s="15">
        <f t="shared" si="47"/>
        <v>1</v>
      </c>
      <c r="H850" s="131">
        <v>1</v>
      </c>
      <c r="I850" s="85"/>
    </row>
    <row r="851" spans="1:9" ht="13.5" customHeight="1" x14ac:dyDescent="0.3">
      <c r="A851" s="131">
        <f t="shared" si="48"/>
        <v>16768</v>
      </c>
      <c r="B851" s="138" t="s">
        <v>444</v>
      </c>
      <c r="C851" s="138"/>
      <c r="D851" s="33"/>
      <c r="E851" s="15" t="s">
        <v>123</v>
      </c>
      <c r="F851" s="15" t="s">
        <v>1044</v>
      </c>
      <c r="G851" s="15">
        <f t="shared" si="47"/>
        <v>1</v>
      </c>
      <c r="H851" s="131">
        <v>1</v>
      </c>
      <c r="I851" s="85"/>
    </row>
    <row r="852" spans="1:9" ht="13.5" customHeight="1" x14ac:dyDescent="0.3">
      <c r="A852" s="131">
        <f t="shared" si="48"/>
        <v>16769</v>
      </c>
      <c r="B852" s="138" t="s">
        <v>445</v>
      </c>
      <c r="C852" s="138"/>
      <c r="D852" s="33"/>
      <c r="E852" s="15" t="s">
        <v>123</v>
      </c>
      <c r="F852" s="15" t="s">
        <v>1044</v>
      </c>
      <c r="G852" s="15">
        <f t="shared" si="47"/>
        <v>1</v>
      </c>
      <c r="H852" s="131">
        <v>1</v>
      </c>
      <c r="I852" s="85"/>
    </row>
    <row r="853" spans="1:9" ht="13.5" customHeight="1" x14ac:dyDescent="0.3">
      <c r="A853" s="131">
        <f t="shared" si="48"/>
        <v>16770</v>
      </c>
      <c r="B853" s="138" t="s">
        <v>446</v>
      </c>
      <c r="C853" s="138"/>
      <c r="D853" s="33"/>
      <c r="E853" s="15" t="s">
        <v>123</v>
      </c>
      <c r="F853" s="15" t="s">
        <v>1044</v>
      </c>
      <c r="G853" s="15">
        <f t="shared" si="47"/>
        <v>1</v>
      </c>
      <c r="H853" s="131">
        <v>1</v>
      </c>
      <c r="I853" s="85"/>
    </row>
    <row r="854" spans="1:9" ht="13.5" customHeight="1" x14ac:dyDescent="0.3">
      <c r="A854" s="131">
        <f t="shared" si="48"/>
        <v>16771</v>
      </c>
      <c r="B854" s="138" t="s">
        <v>447</v>
      </c>
      <c r="C854" s="138"/>
      <c r="D854" s="33"/>
      <c r="E854" s="15" t="s">
        <v>123</v>
      </c>
      <c r="F854" s="15" t="s">
        <v>1044</v>
      </c>
      <c r="G854" s="15">
        <f t="shared" si="47"/>
        <v>1</v>
      </c>
      <c r="H854" s="131">
        <v>1</v>
      </c>
      <c r="I854" s="85"/>
    </row>
    <row r="855" spans="1:9" ht="13.5" customHeight="1" x14ac:dyDescent="0.3">
      <c r="A855" s="131">
        <f t="shared" si="48"/>
        <v>16772</v>
      </c>
      <c r="B855" s="138" t="s">
        <v>448</v>
      </c>
      <c r="C855" s="138"/>
      <c r="D855" s="33"/>
      <c r="E855" s="15" t="s">
        <v>123</v>
      </c>
      <c r="F855" s="15" t="s">
        <v>1044</v>
      </c>
      <c r="G855" s="15">
        <f t="shared" si="47"/>
        <v>1</v>
      </c>
      <c r="H855" s="131">
        <v>1</v>
      </c>
      <c r="I855" s="85"/>
    </row>
    <row r="856" spans="1:9" ht="13.5" customHeight="1" x14ac:dyDescent="0.3">
      <c r="A856" s="131">
        <f t="shared" si="48"/>
        <v>16773</v>
      </c>
      <c r="B856" s="138" t="s">
        <v>449</v>
      </c>
      <c r="C856" s="138"/>
      <c r="D856" s="33"/>
      <c r="E856" s="15" t="s">
        <v>123</v>
      </c>
      <c r="F856" s="15" t="s">
        <v>1044</v>
      </c>
      <c r="G856" s="15">
        <f t="shared" si="47"/>
        <v>1</v>
      </c>
      <c r="H856" s="131">
        <v>1</v>
      </c>
      <c r="I856" s="85"/>
    </row>
    <row r="857" spans="1:9" ht="13.5" customHeight="1" x14ac:dyDescent="0.3">
      <c r="A857" s="131">
        <f t="shared" si="48"/>
        <v>16774</v>
      </c>
      <c r="B857" s="138" t="s">
        <v>450</v>
      </c>
      <c r="C857" s="138"/>
      <c r="D857" s="33"/>
      <c r="E857" s="15" t="s">
        <v>123</v>
      </c>
      <c r="F857" s="15" t="s">
        <v>1044</v>
      </c>
      <c r="G857" s="15">
        <f t="shared" si="47"/>
        <v>1</v>
      </c>
      <c r="H857" s="131">
        <v>1</v>
      </c>
      <c r="I857" s="85"/>
    </row>
    <row r="858" spans="1:9" ht="13.5" customHeight="1" x14ac:dyDescent="0.3">
      <c r="A858" s="131">
        <f t="shared" si="48"/>
        <v>16775</v>
      </c>
      <c r="B858" s="138" t="s">
        <v>451</v>
      </c>
      <c r="C858" s="138"/>
      <c r="D858" s="33"/>
      <c r="E858" s="15" t="s">
        <v>123</v>
      </c>
      <c r="F858" s="15" t="s">
        <v>1044</v>
      </c>
      <c r="G858" s="15">
        <f t="shared" si="47"/>
        <v>1</v>
      </c>
      <c r="H858" s="131">
        <v>1</v>
      </c>
      <c r="I858" s="85"/>
    </row>
    <row r="859" spans="1:9" ht="13.5" customHeight="1" x14ac:dyDescent="0.3">
      <c r="A859" s="131">
        <f t="shared" si="48"/>
        <v>16776</v>
      </c>
      <c r="B859" s="138" t="s">
        <v>452</v>
      </c>
      <c r="C859" s="138"/>
      <c r="D859" s="33"/>
      <c r="E859" s="15" t="s">
        <v>123</v>
      </c>
      <c r="F859" s="15" t="s">
        <v>1044</v>
      </c>
      <c r="G859" s="15">
        <f t="shared" si="47"/>
        <v>1</v>
      </c>
      <c r="H859" s="131">
        <v>1</v>
      </c>
      <c r="I859" s="85"/>
    </row>
    <row r="860" spans="1:9" ht="13.5" customHeight="1" x14ac:dyDescent="0.3">
      <c r="A860" s="131">
        <f t="shared" si="48"/>
        <v>16777</v>
      </c>
      <c r="B860" s="138" t="s">
        <v>453</v>
      </c>
      <c r="C860" s="138"/>
      <c r="D860" s="33"/>
      <c r="E860" s="15" t="s">
        <v>123</v>
      </c>
      <c r="F860" s="15" t="s">
        <v>1044</v>
      </c>
      <c r="G860" s="15">
        <f t="shared" si="47"/>
        <v>1</v>
      </c>
      <c r="H860" s="131">
        <v>1</v>
      </c>
      <c r="I860" s="85"/>
    </row>
    <row r="861" spans="1:9" ht="13.5" customHeight="1" x14ac:dyDescent="0.3">
      <c r="A861" s="131">
        <f t="shared" si="48"/>
        <v>16778</v>
      </c>
      <c r="B861" s="138" t="s">
        <v>454</v>
      </c>
      <c r="C861" s="138"/>
      <c r="D861" s="33"/>
      <c r="E861" s="15" t="s">
        <v>123</v>
      </c>
      <c r="F861" s="15" t="s">
        <v>1044</v>
      </c>
      <c r="G861" s="15">
        <f t="shared" si="47"/>
        <v>1</v>
      </c>
      <c r="H861" s="131">
        <v>1</v>
      </c>
      <c r="I861" s="85"/>
    </row>
    <row r="862" spans="1:9" ht="13.5" customHeight="1" x14ac:dyDescent="0.3">
      <c r="A862" s="131">
        <f t="shared" si="48"/>
        <v>16779</v>
      </c>
      <c r="B862" s="138" t="s">
        <v>455</v>
      </c>
      <c r="C862" s="138"/>
      <c r="D862" s="33"/>
      <c r="E862" s="15" t="s">
        <v>123</v>
      </c>
      <c r="F862" s="15" t="s">
        <v>1044</v>
      </c>
      <c r="G862" s="15">
        <f t="shared" si="47"/>
        <v>1</v>
      </c>
      <c r="H862" s="131">
        <v>1</v>
      </c>
      <c r="I862" s="85"/>
    </row>
    <row r="863" spans="1:9" ht="13.5" customHeight="1" x14ac:dyDescent="0.3">
      <c r="A863" s="131">
        <f t="shared" si="48"/>
        <v>16780</v>
      </c>
      <c r="B863" s="138" t="s">
        <v>456</v>
      </c>
      <c r="C863" s="138"/>
      <c r="D863" s="33"/>
      <c r="E863" s="15" t="s">
        <v>123</v>
      </c>
      <c r="F863" s="15" t="s">
        <v>1044</v>
      </c>
      <c r="G863" s="15">
        <f t="shared" si="47"/>
        <v>1</v>
      </c>
      <c r="H863" s="131">
        <v>1</v>
      </c>
      <c r="I863" s="85"/>
    </row>
    <row r="864" spans="1:9" ht="13.5" customHeight="1" x14ac:dyDescent="0.3">
      <c r="A864" s="131">
        <f t="shared" si="48"/>
        <v>16781</v>
      </c>
      <c r="B864" s="138" t="s">
        <v>457</v>
      </c>
      <c r="C864" s="138"/>
      <c r="D864" s="33"/>
      <c r="E864" s="15" t="s">
        <v>123</v>
      </c>
      <c r="F864" s="15" t="s">
        <v>1044</v>
      </c>
      <c r="G864" s="15">
        <f t="shared" si="47"/>
        <v>1</v>
      </c>
      <c r="H864" s="131">
        <v>1</v>
      </c>
      <c r="I864" s="85"/>
    </row>
    <row r="865" spans="1:9" ht="13.5" customHeight="1" x14ac:dyDescent="0.3">
      <c r="A865" s="131">
        <f t="shared" si="48"/>
        <v>16782</v>
      </c>
      <c r="B865" s="138" t="s">
        <v>458</v>
      </c>
      <c r="C865" s="138"/>
      <c r="D865" s="33"/>
      <c r="E865" s="15" t="s">
        <v>123</v>
      </c>
      <c r="F865" s="15" t="s">
        <v>1044</v>
      </c>
      <c r="G865" s="15">
        <f t="shared" si="47"/>
        <v>1</v>
      </c>
      <c r="H865" s="131">
        <v>1</v>
      </c>
      <c r="I865" s="85"/>
    </row>
    <row r="866" spans="1:9" ht="13.5" customHeight="1" x14ac:dyDescent="0.3">
      <c r="A866" s="131">
        <f t="shared" si="48"/>
        <v>16783</v>
      </c>
      <c r="B866" s="138" t="s">
        <v>520</v>
      </c>
      <c r="C866" s="138"/>
      <c r="D866" s="33"/>
      <c r="E866" s="15" t="s">
        <v>123</v>
      </c>
      <c r="F866" s="15" t="s">
        <v>1044</v>
      </c>
      <c r="G866" s="15">
        <f t="shared" si="47"/>
        <v>1</v>
      </c>
      <c r="H866" s="131">
        <v>1</v>
      </c>
      <c r="I866" s="85"/>
    </row>
    <row r="867" spans="1:9" ht="13.5" customHeight="1" x14ac:dyDescent="0.3">
      <c r="A867" s="131">
        <f t="shared" si="48"/>
        <v>16784</v>
      </c>
      <c r="B867" s="138" t="s">
        <v>521</v>
      </c>
      <c r="C867" s="138"/>
      <c r="D867" s="33"/>
      <c r="E867" s="15" t="s">
        <v>123</v>
      </c>
      <c r="F867" s="15" t="s">
        <v>1044</v>
      </c>
      <c r="G867" s="15">
        <f t="shared" si="47"/>
        <v>1</v>
      </c>
      <c r="H867" s="131">
        <v>1</v>
      </c>
      <c r="I867" s="85"/>
    </row>
    <row r="868" spans="1:9" ht="13.5" customHeight="1" x14ac:dyDescent="0.3">
      <c r="A868" s="131">
        <f t="shared" si="48"/>
        <v>16785</v>
      </c>
      <c r="B868" s="138" t="s">
        <v>525</v>
      </c>
      <c r="C868" s="138"/>
      <c r="D868" s="33"/>
      <c r="E868" s="15" t="s">
        <v>123</v>
      </c>
      <c r="F868" s="15" t="s">
        <v>1044</v>
      </c>
      <c r="G868" s="15">
        <f>IF(OR(E868="U16", E868="S16"),1,IF(E868="TS",6,2))</f>
        <v>1</v>
      </c>
      <c r="H868" s="131">
        <v>1</v>
      </c>
      <c r="I868" s="85"/>
    </row>
    <row r="869" spans="1:9" ht="13.5" customHeight="1" x14ac:dyDescent="0.3">
      <c r="A869" s="131">
        <f t="shared" si="48"/>
        <v>16786</v>
      </c>
      <c r="B869" s="138" t="s">
        <v>459</v>
      </c>
      <c r="C869" s="138"/>
      <c r="D869" s="33"/>
      <c r="E869" s="15" t="s">
        <v>123</v>
      </c>
      <c r="F869" s="15" t="s">
        <v>1044</v>
      </c>
      <c r="G869" s="15">
        <f t="shared" si="47"/>
        <v>1</v>
      </c>
      <c r="H869" s="131">
        <v>1</v>
      </c>
      <c r="I869" s="85"/>
    </row>
    <row r="870" spans="1:9" ht="13.5" customHeight="1" x14ac:dyDescent="0.3">
      <c r="A870" s="131">
        <f t="shared" si="48"/>
        <v>16787</v>
      </c>
      <c r="B870" s="138" t="s">
        <v>460</v>
      </c>
      <c r="C870" s="138"/>
      <c r="D870" s="33"/>
      <c r="E870" s="15" t="s">
        <v>123</v>
      </c>
      <c r="F870" s="15" t="s">
        <v>1044</v>
      </c>
      <c r="G870" s="15">
        <f t="shared" si="47"/>
        <v>1</v>
      </c>
      <c r="H870" s="131">
        <v>1</v>
      </c>
      <c r="I870" s="85"/>
    </row>
    <row r="871" spans="1:9" ht="13.5" customHeight="1" x14ac:dyDescent="0.3">
      <c r="A871" s="131">
        <f t="shared" si="48"/>
        <v>16788</v>
      </c>
      <c r="B871" s="138" t="s">
        <v>461</v>
      </c>
      <c r="C871" s="138"/>
      <c r="D871" s="33"/>
      <c r="E871" s="15" t="s">
        <v>123</v>
      </c>
      <c r="F871" s="15" t="s">
        <v>1044</v>
      </c>
      <c r="G871" s="15">
        <f t="shared" si="47"/>
        <v>1</v>
      </c>
      <c r="H871" s="131">
        <v>1</v>
      </c>
      <c r="I871" s="85"/>
    </row>
    <row r="872" spans="1:9" ht="13.5" customHeight="1" x14ac:dyDescent="0.3">
      <c r="A872" s="131">
        <f t="shared" si="48"/>
        <v>16789</v>
      </c>
      <c r="B872" s="138" t="s">
        <v>462</v>
      </c>
      <c r="C872" s="138"/>
      <c r="D872" s="33"/>
      <c r="E872" s="15" t="s">
        <v>123</v>
      </c>
      <c r="F872" s="15" t="s">
        <v>1044</v>
      </c>
      <c r="G872" s="15">
        <f t="shared" si="47"/>
        <v>1</v>
      </c>
      <c r="H872" s="131">
        <v>1</v>
      </c>
      <c r="I872" s="85"/>
    </row>
    <row r="873" spans="1:9" ht="13.5" customHeight="1" x14ac:dyDescent="0.3">
      <c r="A873" s="131">
        <f t="shared" si="48"/>
        <v>16790</v>
      </c>
      <c r="B873" s="138" t="s">
        <v>463</v>
      </c>
      <c r="C873" s="138"/>
      <c r="D873" s="33"/>
      <c r="E873" s="15" t="s">
        <v>123</v>
      </c>
      <c r="F873" s="15" t="s">
        <v>1044</v>
      </c>
      <c r="G873" s="15">
        <f t="shared" si="47"/>
        <v>1</v>
      </c>
      <c r="H873" s="131">
        <v>1</v>
      </c>
      <c r="I873" s="85"/>
    </row>
    <row r="874" spans="1:9" ht="13.5" customHeight="1" x14ac:dyDescent="0.3">
      <c r="A874" s="131">
        <f t="shared" si="48"/>
        <v>16791</v>
      </c>
      <c r="B874" s="138" t="s">
        <v>464</v>
      </c>
      <c r="C874" s="138"/>
      <c r="D874" s="33"/>
      <c r="E874" s="15" t="s">
        <v>123</v>
      </c>
      <c r="F874" s="15" t="s">
        <v>1044</v>
      </c>
      <c r="G874" s="15">
        <f t="shared" si="47"/>
        <v>1</v>
      </c>
      <c r="H874" s="131">
        <v>1</v>
      </c>
      <c r="I874" s="85"/>
    </row>
    <row r="875" spans="1:9" ht="13.5" customHeight="1" x14ac:dyDescent="0.3">
      <c r="A875" s="131">
        <f t="shared" si="48"/>
        <v>16792</v>
      </c>
      <c r="B875" s="138" t="s">
        <v>465</v>
      </c>
      <c r="C875" s="138"/>
      <c r="D875" s="33"/>
      <c r="E875" s="15" t="s">
        <v>123</v>
      </c>
      <c r="F875" s="15" t="s">
        <v>1044</v>
      </c>
      <c r="G875" s="15">
        <f t="shared" si="47"/>
        <v>1</v>
      </c>
      <c r="H875" s="131">
        <v>1</v>
      </c>
      <c r="I875" s="85"/>
    </row>
    <row r="876" spans="1:9" ht="13.5" customHeight="1" x14ac:dyDescent="0.3">
      <c r="A876" s="131">
        <f t="shared" si="48"/>
        <v>16793</v>
      </c>
      <c r="B876" s="138" t="s">
        <v>466</v>
      </c>
      <c r="C876" s="138"/>
      <c r="D876" s="33"/>
      <c r="E876" s="15" t="s">
        <v>123</v>
      </c>
      <c r="F876" s="15" t="s">
        <v>1044</v>
      </c>
      <c r="G876" s="15">
        <f t="shared" si="47"/>
        <v>1</v>
      </c>
      <c r="H876" s="131">
        <v>1</v>
      </c>
      <c r="I876" s="85"/>
    </row>
    <row r="877" spans="1:9" ht="13.5" customHeight="1" x14ac:dyDescent="0.3">
      <c r="A877" s="131">
        <f t="shared" si="48"/>
        <v>16794</v>
      </c>
      <c r="B877" s="138" t="s">
        <v>467</v>
      </c>
      <c r="C877" s="138"/>
      <c r="D877" s="33"/>
      <c r="E877" s="15" t="s">
        <v>123</v>
      </c>
      <c r="F877" s="15" t="s">
        <v>1044</v>
      </c>
      <c r="G877" s="15">
        <f t="shared" si="47"/>
        <v>1</v>
      </c>
      <c r="H877" s="131">
        <v>1</v>
      </c>
      <c r="I877" s="85"/>
    </row>
    <row r="878" spans="1:9" ht="15" customHeight="1" x14ac:dyDescent="0.3">
      <c r="A878" s="131">
        <f t="shared" si="48"/>
        <v>16795</v>
      </c>
      <c r="B878" s="138" t="s">
        <v>468</v>
      </c>
      <c r="C878" s="138"/>
      <c r="D878" s="33"/>
      <c r="E878" s="15" t="s">
        <v>123</v>
      </c>
      <c r="F878" s="15" t="s">
        <v>1044</v>
      </c>
      <c r="G878" s="15">
        <f t="shared" si="47"/>
        <v>1</v>
      </c>
      <c r="H878" s="131">
        <v>1</v>
      </c>
      <c r="I878" s="85"/>
    </row>
    <row r="879" spans="1:9" ht="15" customHeight="1" x14ac:dyDescent="0.3">
      <c r="A879" s="131">
        <f t="shared" si="48"/>
        <v>16796</v>
      </c>
      <c r="B879" s="138" t="s">
        <v>469</v>
      </c>
      <c r="C879" s="138"/>
      <c r="D879" s="33"/>
      <c r="E879" s="15" t="s">
        <v>123</v>
      </c>
      <c r="F879" s="15" t="s">
        <v>1044</v>
      </c>
      <c r="G879" s="15">
        <f t="shared" si="47"/>
        <v>1</v>
      </c>
      <c r="H879" s="131">
        <v>1</v>
      </c>
      <c r="I879" s="85"/>
    </row>
    <row r="880" spans="1:9" ht="15" customHeight="1" x14ac:dyDescent="0.3">
      <c r="A880" s="131">
        <f t="shared" si="48"/>
        <v>16797</v>
      </c>
      <c r="B880" s="138" t="s">
        <v>470</v>
      </c>
      <c r="C880" s="138"/>
      <c r="D880" s="33"/>
      <c r="E880" s="15" t="s">
        <v>123</v>
      </c>
      <c r="F880" s="15" t="s">
        <v>1044</v>
      </c>
      <c r="G880" s="15">
        <f t="shared" si="47"/>
        <v>1</v>
      </c>
      <c r="H880" s="131">
        <v>1</v>
      </c>
      <c r="I880" s="85"/>
    </row>
    <row r="881" spans="1:9" ht="15" customHeight="1" x14ac:dyDescent="0.3">
      <c r="A881" s="131">
        <f t="shared" si="48"/>
        <v>16798</v>
      </c>
      <c r="B881" s="138" t="s">
        <v>471</v>
      </c>
      <c r="C881" s="138"/>
      <c r="D881" s="33"/>
      <c r="E881" s="15" t="s">
        <v>123</v>
      </c>
      <c r="F881" s="15" t="s">
        <v>1044</v>
      </c>
      <c r="G881" s="15">
        <f t="shared" si="47"/>
        <v>1</v>
      </c>
      <c r="H881" s="131">
        <v>1</v>
      </c>
      <c r="I881" s="85"/>
    </row>
    <row r="882" spans="1:9" ht="15" customHeight="1" x14ac:dyDescent="0.3">
      <c r="A882" s="131">
        <f t="shared" si="48"/>
        <v>16799</v>
      </c>
      <c r="B882" s="138" t="s">
        <v>472</v>
      </c>
      <c r="C882" s="138"/>
      <c r="D882" s="33"/>
      <c r="E882" s="15" t="s">
        <v>123</v>
      </c>
      <c r="F882" s="15" t="s">
        <v>1044</v>
      </c>
      <c r="G882" s="15">
        <f t="shared" si="47"/>
        <v>1</v>
      </c>
      <c r="H882" s="131">
        <v>1</v>
      </c>
      <c r="I882" s="85"/>
    </row>
    <row r="883" spans="1:9" ht="15" customHeight="1" x14ac:dyDescent="0.3">
      <c r="A883" s="131">
        <f t="shared" si="48"/>
        <v>16800</v>
      </c>
      <c r="B883" s="138" t="s">
        <v>473</v>
      </c>
      <c r="C883" s="138"/>
      <c r="D883" s="33"/>
      <c r="E883" s="15" t="s">
        <v>123</v>
      </c>
      <c r="F883" s="15" t="s">
        <v>1044</v>
      </c>
      <c r="G883" s="15">
        <f t="shared" si="47"/>
        <v>1</v>
      </c>
      <c r="H883" s="131">
        <v>1</v>
      </c>
      <c r="I883" s="85"/>
    </row>
    <row r="884" spans="1:9" ht="15" customHeight="1" x14ac:dyDescent="0.3">
      <c r="A884" s="131">
        <f t="shared" si="48"/>
        <v>16801</v>
      </c>
      <c r="B884" s="138" t="s">
        <v>474</v>
      </c>
      <c r="C884" s="138"/>
      <c r="D884" s="33"/>
      <c r="E884" s="15" t="s">
        <v>123</v>
      </c>
      <c r="F884" s="15" t="s">
        <v>1044</v>
      </c>
      <c r="G884" s="15">
        <f t="shared" si="47"/>
        <v>1</v>
      </c>
      <c r="H884" s="131">
        <v>1</v>
      </c>
      <c r="I884" s="85"/>
    </row>
    <row r="885" spans="1:9" ht="15" customHeight="1" x14ac:dyDescent="0.3">
      <c r="A885" s="131">
        <f t="shared" si="48"/>
        <v>16802</v>
      </c>
      <c r="B885" s="138" t="s">
        <v>523</v>
      </c>
      <c r="C885" s="138"/>
      <c r="D885" s="33"/>
      <c r="E885" s="15" t="s">
        <v>123</v>
      </c>
      <c r="F885" s="15" t="s">
        <v>1044</v>
      </c>
      <c r="G885" s="15">
        <f t="shared" si="47"/>
        <v>1</v>
      </c>
      <c r="H885" s="131">
        <v>1</v>
      </c>
      <c r="I885" s="85"/>
    </row>
    <row r="886" spans="1:9" ht="15" customHeight="1" x14ac:dyDescent="0.3">
      <c r="A886" s="131">
        <f t="shared" si="48"/>
        <v>16803</v>
      </c>
      <c r="B886" s="138" t="s">
        <v>524</v>
      </c>
      <c r="C886" s="138"/>
      <c r="D886" s="33"/>
      <c r="E886" s="15" t="s">
        <v>123</v>
      </c>
      <c r="F886" s="15" t="s">
        <v>1044</v>
      </c>
      <c r="G886" s="15">
        <f t="shared" si="47"/>
        <v>1</v>
      </c>
      <c r="H886" s="131">
        <v>1</v>
      </c>
      <c r="I886" s="85"/>
    </row>
    <row r="887" spans="1:9" ht="15" customHeight="1" x14ac:dyDescent="0.3">
      <c r="A887" s="131">
        <f t="shared" si="48"/>
        <v>16804</v>
      </c>
      <c r="B887" s="138" t="s">
        <v>41</v>
      </c>
      <c r="C887" s="138"/>
      <c r="D887" s="33"/>
      <c r="E887" s="15" t="s">
        <v>123</v>
      </c>
      <c r="F887" s="15" t="s">
        <v>1044</v>
      </c>
      <c r="G887" s="15">
        <f t="shared" si="47"/>
        <v>1</v>
      </c>
      <c r="H887" s="131">
        <v>1</v>
      </c>
      <c r="I887" s="85"/>
    </row>
    <row r="888" spans="1:9" ht="15" customHeight="1" x14ac:dyDescent="0.3">
      <c r="A888" s="131">
        <f t="shared" si="48"/>
        <v>16805</v>
      </c>
      <c r="B888" s="138" t="s">
        <v>477</v>
      </c>
      <c r="C888" s="138"/>
      <c r="D888" s="33"/>
      <c r="E888" s="15" t="s">
        <v>123</v>
      </c>
      <c r="F888" s="15" t="s">
        <v>1044</v>
      </c>
      <c r="G888" s="15">
        <f t="shared" si="47"/>
        <v>1</v>
      </c>
      <c r="H888" s="131">
        <v>1</v>
      </c>
      <c r="I888" s="85"/>
    </row>
    <row r="889" spans="1:9" ht="15" customHeight="1" x14ac:dyDescent="0.3">
      <c r="A889" s="131">
        <f t="shared" si="48"/>
        <v>16806</v>
      </c>
      <c r="B889" s="138" t="s">
        <v>478</v>
      </c>
      <c r="C889" s="138"/>
      <c r="D889" s="33"/>
      <c r="E889" s="15" t="s">
        <v>123</v>
      </c>
      <c r="F889" s="15" t="s">
        <v>1044</v>
      </c>
      <c r="G889" s="15">
        <f t="shared" si="47"/>
        <v>1</v>
      </c>
      <c r="H889" s="131">
        <v>1</v>
      </c>
      <c r="I889" s="85"/>
    </row>
    <row r="890" spans="1:9" ht="15" customHeight="1" x14ac:dyDescent="0.3">
      <c r="A890" s="131">
        <f t="shared" si="48"/>
        <v>16807</v>
      </c>
      <c r="B890" s="138" t="s">
        <v>479</v>
      </c>
      <c r="C890" s="138"/>
      <c r="D890" s="33"/>
      <c r="E890" s="15" t="s">
        <v>123</v>
      </c>
      <c r="F890" s="15" t="s">
        <v>1044</v>
      </c>
      <c r="G890" s="15">
        <f t="shared" si="47"/>
        <v>1</v>
      </c>
      <c r="H890" s="131">
        <v>1</v>
      </c>
      <c r="I890" s="85"/>
    </row>
    <row r="891" spans="1:9" ht="15" customHeight="1" x14ac:dyDescent="0.3">
      <c r="A891" s="131">
        <f t="shared" si="48"/>
        <v>16808</v>
      </c>
      <c r="B891" s="138" t="s">
        <v>480</v>
      </c>
      <c r="C891" s="138"/>
      <c r="D891" s="33"/>
      <c r="E891" s="15" t="s">
        <v>123</v>
      </c>
      <c r="F891" s="15" t="s">
        <v>1044</v>
      </c>
      <c r="G891" s="15">
        <f t="shared" si="47"/>
        <v>1</v>
      </c>
      <c r="H891" s="131">
        <v>1</v>
      </c>
      <c r="I891" s="85"/>
    </row>
    <row r="892" spans="1:9" ht="15" customHeight="1" x14ac:dyDescent="0.3">
      <c r="A892" s="131">
        <f t="shared" si="48"/>
        <v>16809</v>
      </c>
      <c r="B892" s="138" t="s">
        <v>481</v>
      </c>
      <c r="C892" s="138"/>
      <c r="D892" s="33"/>
      <c r="E892" s="15" t="s">
        <v>123</v>
      </c>
      <c r="F892" s="15" t="s">
        <v>1044</v>
      </c>
      <c r="G892" s="15">
        <f t="shared" si="47"/>
        <v>1</v>
      </c>
      <c r="H892" s="131">
        <v>1</v>
      </c>
      <c r="I892" s="85"/>
    </row>
    <row r="893" spans="1:9" ht="15" customHeight="1" x14ac:dyDescent="0.3">
      <c r="A893" s="131">
        <f t="shared" si="48"/>
        <v>16810</v>
      </c>
      <c r="B893" s="138" t="s">
        <v>482</v>
      </c>
      <c r="C893" s="138"/>
      <c r="D893" s="33"/>
      <c r="E893" s="15" t="s">
        <v>123</v>
      </c>
      <c r="F893" s="15" t="s">
        <v>1044</v>
      </c>
      <c r="G893" s="15">
        <f t="shared" si="47"/>
        <v>1</v>
      </c>
      <c r="H893" s="131">
        <v>1</v>
      </c>
      <c r="I893" s="85"/>
    </row>
    <row r="894" spans="1:9" ht="15" customHeight="1" x14ac:dyDescent="0.3">
      <c r="A894" s="131">
        <f t="shared" si="48"/>
        <v>16811</v>
      </c>
      <c r="B894" s="138" t="s">
        <v>483</v>
      </c>
      <c r="C894" s="138"/>
      <c r="D894" s="33"/>
      <c r="E894" s="15" t="s">
        <v>123</v>
      </c>
      <c r="F894" s="15" t="s">
        <v>1044</v>
      </c>
      <c r="G894" s="15">
        <f t="shared" si="47"/>
        <v>1</v>
      </c>
      <c r="H894" s="131">
        <v>1</v>
      </c>
      <c r="I894" s="85"/>
    </row>
    <row r="895" spans="1:9" ht="15" customHeight="1" x14ac:dyDescent="0.3">
      <c r="A895" s="131">
        <f t="shared" si="48"/>
        <v>16812</v>
      </c>
      <c r="B895" s="138" t="s">
        <v>484</v>
      </c>
      <c r="C895" s="138"/>
      <c r="D895" s="33"/>
      <c r="E895" s="15" t="s">
        <v>123</v>
      </c>
      <c r="F895" s="15" t="s">
        <v>1044</v>
      </c>
      <c r="G895" s="15">
        <f t="shared" si="47"/>
        <v>1</v>
      </c>
      <c r="H895" s="131">
        <v>1</v>
      </c>
      <c r="I895" s="85"/>
    </row>
    <row r="896" spans="1:9" ht="15" customHeight="1" x14ac:dyDescent="0.3">
      <c r="A896" s="131">
        <f t="shared" si="48"/>
        <v>16813</v>
      </c>
      <c r="B896" s="138" t="s">
        <v>485</v>
      </c>
      <c r="C896" s="138"/>
      <c r="D896" s="33"/>
      <c r="E896" s="15" t="s">
        <v>123</v>
      </c>
      <c r="F896" s="15" t="s">
        <v>1044</v>
      </c>
      <c r="G896" s="15">
        <f t="shared" si="47"/>
        <v>1</v>
      </c>
      <c r="H896" s="131">
        <v>1</v>
      </c>
      <c r="I896" s="85"/>
    </row>
    <row r="897" spans="1:9" ht="15" customHeight="1" x14ac:dyDescent="0.3">
      <c r="A897" s="131">
        <f t="shared" si="48"/>
        <v>16814</v>
      </c>
      <c r="B897" s="138" t="s">
        <v>486</v>
      </c>
      <c r="C897" s="138"/>
      <c r="D897" s="33"/>
      <c r="E897" s="15" t="s">
        <v>123</v>
      </c>
      <c r="F897" s="15" t="s">
        <v>1044</v>
      </c>
      <c r="G897" s="15">
        <f t="shared" si="47"/>
        <v>1</v>
      </c>
      <c r="H897" s="131">
        <v>1</v>
      </c>
      <c r="I897" s="85"/>
    </row>
    <row r="898" spans="1:9" ht="15" customHeight="1" x14ac:dyDescent="0.3">
      <c r="A898" s="131">
        <f t="shared" si="48"/>
        <v>16815</v>
      </c>
      <c r="B898" s="138" t="s">
        <v>487</v>
      </c>
      <c r="C898" s="138"/>
      <c r="D898" s="33"/>
      <c r="E898" s="15" t="s">
        <v>123</v>
      </c>
      <c r="F898" s="15" t="s">
        <v>1044</v>
      </c>
      <c r="G898" s="15">
        <f t="shared" si="47"/>
        <v>1</v>
      </c>
      <c r="H898" s="131">
        <v>1</v>
      </c>
      <c r="I898" s="85"/>
    </row>
    <row r="899" spans="1:9" ht="15" customHeight="1" x14ac:dyDescent="0.3">
      <c r="A899" s="131">
        <f t="shared" si="48"/>
        <v>16816</v>
      </c>
      <c r="B899" s="138" t="s">
        <v>488</v>
      </c>
      <c r="C899" s="138"/>
      <c r="D899" s="33"/>
      <c r="E899" s="15" t="s">
        <v>123</v>
      </c>
      <c r="F899" s="15" t="s">
        <v>1044</v>
      </c>
      <c r="G899" s="15">
        <f t="shared" si="47"/>
        <v>1</v>
      </c>
      <c r="H899" s="131">
        <v>1</v>
      </c>
      <c r="I899" s="85"/>
    </row>
    <row r="900" spans="1:9" ht="15" customHeight="1" x14ac:dyDescent="0.3">
      <c r="A900" s="131">
        <f t="shared" si="48"/>
        <v>16817</v>
      </c>
      <c r="B900" s="138" t="s">
        <v>489</v>
      </c>
      <c r="C900" s="138"/>
      <c r="D900" s="33"/>
      <c r="E900" s="15" t="s">
        <v>123</v>
      </c>
      <c r="F900" s="15" t="s">
        <v>1044</v>
      </c>
      <c r="G900" s="15">
        <f t="shared" si="47"/>
        <v>1</v>
      </c>
      <c r="H900" s="131">
        <v>1</v>
      </c>
      <c r="I900" s="85"/>
    </row>
    <row r="901" spans="1:9" ht="15" customHeight="1" x14ac:dyDescent="0.3">
      <c r="A901" s="131">
        <f t="shared" si="48"/>
        <v>16818</v>
      </c>
      <c r="B901" s="138" t="s">
        <v>490</v>
      </c>
      <c r="C901" s="138"/>
      <c r="D901" s="33"/>
      <c r="E901" s="15" t="s">
        <v>123</v>
      </c>
      <c r="F901" s="15" t="s">
        <v>1044</v>
      </c>
      <c r="G901" s="15">
        <f t="shared" si="47"/>
        <v>1</v>
      </c>
      <c r="H901" s="131">
        <v>1</v>
      </c>
      <c r="I901" s="85"/>
    </row>
    <row r="902" spans="1:9" ht="15" customHeight="1" x14ac:dyDescent="0.3">
      <c r="A902" s="131">
        <f t="shared" si="48"/>
        <v>16819</v>
      </c>
      <c r="B902" s="138" t="s">
        <v>491</v>
      </c>
      <c r="C902" s="138"/>
      <c r="D902" s="33"/>
      <c r="E902" s="15" t="s">
        <v>123</v>
      </c>
      <c r="F902" s="15" t="s">
        <v>1044</v>
      </c>
      <c r="G902" s="15">
        <f t="shared" si="47"/>
        <v>1</v>
      </c>
      <c r="H902" s="131">
        <v>1</v>
      </c>
      <c r="I902" s="85"/>
    </row>
    <row r="903" spans="1:9" ht="15" customHeight="1" x14ac:dyDescent="0.3">
      <c r="A903" s="131">
        <f t="shared" si="48"/>
        <v>16820</v>
      </c>
      <c r="B903" s="138" t="s">
        <v>492</v>
      </c>
      <c r="C903" s="138"/>
      <c r="D903" s="33"/>
      <c r="E903" s="15" t="s">
        <v>123</v>
      </c>
      <c r="F903" s="15" t="s">
        <v>1044</v>
      </c>
      <c r="G903" s="15">
        <f t="shared" si="47"/>
        <v>1</v>
      </c>
      <c r="H903" s="131">
        <v>1</v>
      </c>
      <c r="I903" s="85"/>
    </row>
    <row r="904" spans="1:9" ht="15" customHeight="1" x14ac:dyDescent="0.3">
      <c r="A904" s="131">
        <f t="shared" si="48"/>
        <v>16821</v>
      </c>
      <c r="B904" s="138" t="s">
        <v>509</v>
      </c>
      <c r="C904" s="138"/>
      <c r="D904" s="33"/>
      <c r="E904" s="15" t="s">
        <v>123</v>
      </c>
      <c r="F904" s="15" t="s">
        <v>1044</v>
      </c>
      <c r="G904" s="15">
        <f t="shared" si="47"/>
        <v>1</v>
      </c>
      <c r="H904" s="131">
        <v>1</v>
      </c>
      <c r="I904" s="85"/>
    </row>
    <row r="905" spans="1:9" ht="15" customHeight="1" x14ac:dyDescent="0.3">
      <c r="A905" s="131">
        <f t="shared" si="48"/>
        <v>16822</v>
      </c>
      <c r="B905" s="138" t="s">
        <v>510</v>
      </c>
      <c r="C905" s="138"/>
      <c r="D905" s="33"/>
      <c r="E905" s="15" t="s">
        <v>123</v>
      </c>
      <c r="F905" s="15" t="s">
        <v>1044</v>
      </c>
      <c r="G905" s="15">
        <f t="shared" si="47"/>
        <v>1</v>
      </c>
      <c r="H905" s="131">
        <v>1</v>
      </c>
      <c r="I905" s="85"/>
    </row>
    <row r="906" spans="1:9" ht="15" customHeight="1" x14ac:dyDescent="0.3">
      <c r="A906" s="131">
        <f t="shared" si="48"/>
        <v>16823</v>
      </c>
      <c r="B906" s="138" t="s">
        <v>41</v>
      </c>
      <c r="C906" s="138"/>
      <c r="D906" s="33"/>
      <c r="E906" s="15" t="s">
        <v>123</v>
      </c>
      <c r="F906" s="15" t="s">
        <v>1044</v>
      </c>
      <c r="G906" s="15">
        <f t="shared" si="47"/>
        <v>1</v>
      </c>
      <c r="H906" s="131">
        <v>1</v>
      </c>
      <c r="I906" s="85"/>
    </row>
    <row r="907" spans="1:9" ht="15" customHeight="1" x14ac:dyDescent="0.3">
      <c r="A907" s="131">
        <f t="shared" si="48"/>
        <v>16824</v>
      </c>
      <c r="B907" s="138" t="s">
        <v>493</v>
      </c>
      <c r="C907" s="138"/>
      <c r="D907" s="33"/>
      <c r="E907" s="15" t="s">
        <v>123</v>
      </c>
      <c r="F907" s="15" t="s">
        <v>1044</v>
      </c>
      <c r="G907" s="15">
        <f t="shared" si="47"/>
        <v>1</v>
      </c>
      <c r="H907" s="131">
        <v>1</v>
      </c>
      <c r="I907" s="85"/>
    </row>
    <row r="908" spans="1:9" ht="15" customHeight="1" x14ac:dyDescent="0.3">
      <c r="A908" s="131">
        <f t="shared" si="48"/>
        <v>16825</v>
      </c>
      <c r="B908" s="138" t="s">
        <v>494</v>
      </c>
      <c r="C908" s="138"/>
      <c r="D908" s="33"/>
      <c r="E908" s="15" t="s">
        <v>123</v>
      </c>
      <c r="F908" s="15" t="s">
        <v>1044</v>
      </c>
      <c r="G908" s="15">
        <f t="shared" si="47"/>
        <v>1</v>
      </c>
      <c r="H908" s="131">
        <v>1</v>
      </c>
      <c r="I908" s="85"/>
    </row>
    <row r="909" spans="1:9" ht="15" customHeight="1" x14ac:dyDescent="0.3">
      <c r="A909" s="131">
        <f t="shared" si="48"/>
        <v>16826</v>
      </c>
      <c r="B909" s="138" t="s">
        <v>495</v>
      </c>
      <c r="C909" s="138"/>
      <c r="D909" s="33"/>
      <c r="E909" s="15" t="s">
        <v>123</v>
      </c>
      <c r="F909" s="15" t="s">
        <v>1044</v>
      </c>
      <c r="G909" s="15">
        <f t="shared" si="47"/>
        <v>1</v>
      </c>
      <c r="H909" s="131">
        <v>1</v>
      </c>
      <c r="I909" s="85"/>
    </row>
    <row r="910" spans="1:9" ht="15" customHeight="1" x14ac:dyDescent="0.3">
      <c r="A910" s="131">
        <f t="shared" si="48"/>
        <v>16827</v>
      </c>
      <c r="B910" s="138" t="s">
        <v>496</v>
      </c>
      <c r="C910" s="138"/>
      <c r="D910" s="33"/>
      <c r="E910" s="15" t="s">
        <v>123</v>
      </c>
      <c r="F910" s="15" t="s">
        <v>1044</v>
      </c>
      <c r="G910" s="15">
        <f t="shared" si="47"/>
        <v>1</v>
      </c>
      <c r="H910" s="131">
        <v>1</v>
      </c>
      <c r="I910" s="85"/>
    </row>
    <row r="911" spans="1:9" ht="15" customHeight="1" x14ac:dyDescent="0.3">
      <c r="A911" s="131">
        <f t="shared" si="48"/>
        <v>16828</v>
      </c>
      <c r="B911" s="138" t="s">
        <v>497</v>
      </c>
      <c r="C911" s="138"/>
      <c r="D911" s="33"/>
      <c r="E911" s="15" t="s">
        <v>123</v>
      </c>
      <c r="F911" s="15" t="s">
        <v>1044</v>
      </c>
      <c r="G911" s="15">
        <f t="shared" ref="G911:G912" si="49">IF(OR(E911="U16", E911="S16"),1,IF(E911="TS",6,2))</f>
        <v>1</v>
      </c>
      <c r="H911" s="131">
        <v>1</v>
      </c>
      <c r="I911" s="85"/>
    </row>
    <row r="912" spans="1:9" ht="15" customHeight="1" x14ac:dyDescent="0.3">
      <c r="A912" s="131">
        <f t="shared" ref="A912:A923" si="50">A911+(G911*H911)</f>
        <v>16829</v>
      </c>
      <c r="B912" s="138" t="s">
        <v>498</v>
      </c>
      <c r="C912" s="138"/>
      <c r="D912" s="33"/>
      <c r="E912" s="15" t="s">
        <v>123</v>
      </c>
      <c r="F912" s="15" t="s">
        <v>1044</v>
      </c>
      <c r="G912" s="15">
        <f t="shared" si="49"/>
        <v>1</v>
      </c>
      <c r="H912" s="131">
        <v>1</v>
      </c>
      <c r="I912" s="85"/>
    </row>
    <row r="913" spans="1:9" ht="15" customHeight="1" x14ac:dyDescent="0.3">
      <c r="A913" s="131">
        <f t="shared" si="50"/>
        <v>16830</v>
      </c>
      <c r="B913" s="138" t="s">
        <v>499</v>
      </c>
      <c r="C913" s="138"/>
      <c r="D913" s="33"/>
      <c r="E913" s="15" t="s">
        <v>123</v>
      </c>
      <c r="F913" s="15" t="s">
        <v>1044</v>
      </c>
      <c r="G913" s="15">
        <f>IF(OR(E913="U16", E913="S16"),1,IF(E913="TS",6,2))</f>
        <v>1</v>
      </c>
      <c r="H913" s="131">
        <v>1</v>
      </c>
      <c r="I913" s="85"/>
    </row>
    <row r="914" spans="1:9" ht="15" customHeight="1" x14ac:dyDescent="0.3">
      <c r="A914" s="131">
        <f t="shared" si="50"/>
        <v>16831</v>
      </c>
      <c r="B914" s="138" t="s">
        <v>500</v>
      </c>
      <c r="C914" s="138"/>
      <c r="D914" s="131"/>
      <c r="E914" s="15" t="s">
        <v>123</v>
      </c>
      <c r="F914" s="15" t="s">
        <v>1044</v>
      </c>
      <c r="G914" s="15">
        <f t="shared" ref="G914:G919" si="51">IF(OR(E914="U16", E914="S16"),1,IF(E914="TS",6,2))</f>
        <v>1</v>
      </c>
      <c r="H914" s="131">
        <v>1</v>
      </c>
      <c r="I914" s="85"/>
    </row>
    <row r="915" spans="1:9" ht="15" customHeight="1" x14ac:dyDescent="0.3">
      <c r="A915" s="131">
        <f t="shared" si="50"/>
        <v>16832</v>
      </c>
      <c r="B915" s="138" t="s">
        <v>501</v>
      </c>
      <c r="C915" s="138"/>
      <c r="D915" s="131"/>
      <c r="E915" s="15" t="s">
        <v>123</v>
      </c>
      <c r="F915" s="15" t="s">
        <v>1044</v>
      </c>
      <c r="G915" s="15">
        <f t="shared" si="51"/>
        <v>1</v>
      </c>
      <c r="H915" s="131">
        <v>1</v>
      </c>
      <c r="I915" s="85"/>
    </row>
    <row r="916" spans="1:9" ht="15" customHeight="1" x14ac:dyDescent="0.3">
      <c r="A916" s="131">
        <f t="shared" si="50"/>
        <v>16833</v>
      </c>
      <c r="B916" s="138" t="s">
        <v>502</v>
      </c>
      <c r="C916" s="138"/>
      <c r="D916" s="131"/>
      <c r="E916" s="15" t="s">
        <v>123</v>
      </c>
      <c r="F916" s="15" t="s">
        <v>1044</v>
      </c>
      <c r="G916" s="15">
        <f t="shared" si="51"/>
        <v>1</v>
      </c>
      <c r="H916" s="131">
        <v>1</v>
      </c>
      <c r="I916" s="85"/>
    </row>
    <row r="917" spans="1:9" ht="15" customHeight="1" x14ac:dyDescent="0.3">
      <c r="A917" s="131">
        <f t="shared" si="50"/>
        <v>16834</v>
      </c>
      <c r="B917" s="138" t="s">
        <v>503</v>
      </c>
      <c r="C917" s="138"/>
      <c r="D917" s="131"/>
      <c r="E917" s="15" t="s">
        <v>123</v>
      </c>
      <c r="F917" s="15" t="s">
        <v>1044</v>
      </c>
      <c r="G917" s="15">
        <f t="shared" si="51"/>
        <v>1</v>
      </c>
      <c r="H917" s="131">
        <v>1</v>
      </c>
      <c r="I917" s="85"/>
    </row>
    <row r="918" spans="1:9" ht="15" customHeight="1" x14ac:dyDescent="0.3">
      <c r="A918" s="131">
        <f t="shared" si="50"/>
        <v>16835</v>
      </c>
      <c r="B918" s="138" t="s">
        <v>504</v>
      </c>
      <c r="C918" s="138"/>
      <c r="D918" s="131"/>
      <c r="E918" s="15" t="s">
        <v>123</v>
      </c>
      <c r="F918" s="15" t="s">
        <v>1044</v>
      </c>
      <c r="G918" s="15">
        <f t="shared" si="51"/>
        <v>1</v>
      </c>
      <c r="H918" s="131">
        <v>1</v>
      </c>
      <c r="I918" s="85"/>
    </row>
    <row r="919" spans="1:9" ht="15" customHeight="1" x14ac:dyDescent="0.3">
      <c r="A919" s="131">
        <f t="shared" si="50"/>
        <v>16836</v>
      </c>
      <c r="B919" s="138" t="s">
        <v>505</v>
      </c>
      <c r="C919" s="138"/>
      <c r="D919" s="131"/>
      <c r="E919" s="15" t="s">
        <v>123</v>
      </c>
      <c r="F919" s="15" t="s">
        <v>1044</v>
      </c>
      <c r="G919" s="15">
        <f t="shared" si="51"/>
        <v>1</v>
      </c>
      <c r="H919" s="131">
        <v>1</v>
      </c>
      <c r="I919" s="85"/>
    </row>
    <row r="920" spans="1:9" ht="15" customHeight="1" x14ac:dyDescent="0.3">
      <c r="A920" s="131">
        <f t="shared" si="50"/>
        <v>16837</v>
      </c>
      <c r="B920" s="138" t="s">
        <v>506</v>
      </c>
      <c r="C920" s="138"/>
      <c r="D920" s="131"/>
      <c r="E920" s="15" t="s">
        <v>123</v>
      </c>
      <c r="F920" s="15" t="s">
        <v>1044</v>
      </c>
      <c r="G920" s="15">
        <f>IF(OR(E920="U16", E920="S16"),1,IF(E920="TS",6,2))</f>
        <v>1</v>
      </c>
      <c r="H920" s="131">
        <v>1</v>
      </c>
      <c r="I920" s="85"/>
    </row>
    <row r="921" spans="1:9" ht="15" customHeight="1" x14ac:dyDescent="0.3">
      <c r="A921" s="131">
        <f t="shared" si="50"/>
        <v>16838</v>
      </c>
      <c r="B921" s="138" t="s">
        <v>507</v>
      </c>
      <c r="C921" s="138"/>
      <c r="D921" s="131"/>
      <c r="E921" s="15" t="s">
        <v>123</v>
      </c>
      <c r="F921" s="15" t="s">
        <v>1044</v>
      </c>
      <c r="G921" s="15">
        <f>IF(OR(E921="U16", E921="S16"),1,IF(E921="TS",6,2))</f>
        <v>1</v>
      </c>
      <c r="H921" s="131">
        <v>1</v>
      </c>
      <c r="I921" s="85"/>
    </row>
    <row r="922" spans="1:9" ht="15" customHeight="1" x14ac:dyDescent="0.3">
      <c r="A922" s="131">
        <f t="shared" si="50"/>
        <v>16839</v>
      </c>
      <c r="B922" s="138" t="s">
        <v>508</v>
      </c>
      <c r="C922" s="138"/>
      <c r="D922" s="131"/>
      <c r="E922" s="15" t="s">
        <v>123</v>
      </c>
      <c r="F922" s="15" t="s">
        <v>1044</v>
      </c>
      <c r="G922" s="15">
        <f>IF(OR(E922="U16", E922="S16"),1,IF(E922="TS",6,2))</f>
        <v>1</v>
      </c>
      <c r="H922" s="131">
        <v>1</v>
      </c>
      <c r="I922" s="85"/>
    </row>
    <row r="923" spans="1:9" ht="15" customHeight="1" x14ac:dyDescent="0.3">
      <c r="A923" s="131">
        <f t="shared" si="50"/>
        <v>16840</v>
      </c>
      <c r="B923" s="138"/>
      <c r="C923" s="138"/>
      <c r="D923" s="131"/>
      <c r="E923" s="15" t="s">
        <v>123</v>
      </c>
      <c r="F923" s="15" t="s">
        <v>1044</v>
      </c>
      <c r="G923" s="15">
        <f>IF(OR(E923="U16", E923="S16"),1,IF(E923="TS",6,2))</f>
        <v>1</v>
      </c>
      <c r="H923" s="131">
        <v>4</v>
      </c>
      <c r="I923" s="85"/>
    </row>
    <row r="924" spans="1:9" ht="15" customHeight="1" x14ac:dyDescent="0.3">
      <c r="A924" s="162" t="s">
        <v>221</v>
      </c>
      <c r="B924" s="162"/>
      <c r="C924" s="162"/>
      <c r="D924" s="162"/>
      <c r="E924" s="162"/>
      <c r="F924" s="162"/>
      <c r="G924" s="162"/>
      <c r="H924" s="162"/>
      <c r="I924" s="88"/>
    </row>
    <row r="925" spans="1:9" ht="15" customHeight="1" x14ac:dyDescent="0.3">
      <c r="A925" s="131">
        <f>A923+(G923*H923)</f>
        <v>16844</v>
      </c>
      <c r="B925" s="12" t="s">
        <v>220</v>
      </c>
      <c r="C925" s="138"/>
      <c r="D925" s="131"/>
      <c r="E925" s="15" t="s">
        <v>123</v>
      </c>
      <c r="F925" s="15" t="s">
        <v>1044</v>
      </c>
      <c r="G925" s="15">
        <f>IF(OR(E925="U16", E925="S16"),1,IF(E925="TS",6,2))</f>
        <v>1</v>
      </c>
      <c r="H925" s="131">
        <v>1</v>
      </c>
      <c r="I925" s="85"/>
    </row>
    <row r="926" spans="1:9" ht="15" customHeight="1" x14ac:dyDescent="0.3">
      <c r="A926" s="131">
        <f>A925+(G925*H925)</f>
        <v>16845</v>
      </c>
      <c r="B926" s="12" t="s">
        <v>222</v>
      </c>
      <c r="C926" s="138"/>
      <c r="D926" s="131"/>
      <c r="E926" s="15" t="s">
        <v>123</v>
      </c>
      <c r="F926" s="15" t="s">
        <v>1044</v>
      </c>
      <c r="G926" s="15">
        <f>IF(OR(E926="U16", E926="S16"),1,IF(E926="TS",6,2))</f>
        <v>1</v>
      </c>
      <c r="H926" s="131">
        <v>1</v>
      </c>
      <c r="I926" s="85"/>
    </row>
    <row r="927" spans="1:9" ht="15" customHeight="1" x14ac:dyDescent="0.3">
      <c r="A927" s="131">
        <f>A926+(G926*H926)</f>
        <v>16846</v>
      </c>
      <c r="B927" s="12" t="s">
        <v>41</v>
      </c>
      <c r="C927" s="138"/>
      <c r="D927" s="131"/>
      <c r="E927" s="15" t="s">
        <v>123</v>
      </c>
      <c r="F927" s="15"/>
      <c r="G927" s="15">
        <f>IF(OR(E927="U16", E927="S16"),1,IF(E927="TS",6,2))</f>
        <v>1</v>
      </c>
      <c r="H927" s="131">
        <v>8</v>
      </c>
      <c r="I927" s="85"/>
    </row>
    <row r="928" spans="1:9" ht="15" customHeight="1" x14ac:dyDescent="0.3">
      <c r="A928" s="162" t="s">
        <v>235</v>
      </c>
      <c r="B928" s="162"/>
      <c r="C928" s="162"/>
      <c r="D928" s="162"/>
      <c r="E928" s="162"/>
      <c r="F928" s="162"/>
      <c r="G928" s="162"/>
      <c r="H928" s="162"/>
      <c r="I928" s="88"/>
    </row>
    <row r="929" spans="1:9" ht="15" customHeight="1" x14ac:dyDescent="0.3">
      <c r="A929" s="131">
        <f>A927+(G927*H927)</f>
        <v>16854</v>
      </c>
      <c r="B929" s="138" t="s">
        <v>432</v>
      </c>
      <c r="C929" s="138"/>
      <c r="D929" s="131"/>
      <c r="E929" s="15" t="s">
        <v>123</v>
      </c>
      <c r="F929" s="15" t="s">
        <v>1044</v>
      </c>
      <c r="G929" s="15">
        <f t="shared" ref="G929:G969" si="52">IF(OR(E929="U16", E929="S16"),1,IF(E929="TS",6,2))</f>
        <v>1</v>
      </c>
      <c r="H929" s="131">
        <v>1</v>
      </c>
      <c r="I929" s="85"/>
    </row>
    <row r="930" spans="1:9" ht="15" customHeight="1" x14ac:dyDescent="0.3">
      <c r="A930" s="131">
        <f t="shared" ref="A930:A970" si="53">A929+(G929*H929)</f>
        <v>16855</v>
      </c>
      <c r="B930" s="138" t="s">
        <v>196</v>
      </c>
      <c r="C930" s="138"/>
      <c r="D930" s="131"/>
      <c r="E930" s="15" t="s">
        <v>123</v>
      </c>
      <c r="F930" s="15"/>
      <c r="G930" s="15">
        <f t="shared" si="52"/>
        <v>1</v>
      </c>
      <c r="H930" s="131">
        <v>1</v>
      </c>
      <c r="I930" s="85"/>
    </row>
    <row r="931" spans="1:9" ht="15" customHeight="1" x14ac:dyDescent="0.3">
      <c r="A931" s="131">
        <f t="shared" si="53"/>
        <v>16856</v>
      </c>
      <c r="B931" s="138"/>
      <c r="C931" s="138"/>
      <c r="D931" s="131"/>
      <c r="E931" s="15" t="s">
        <v>123</v>
      </c>
      <c r="F931" s="15"/>
      <c r="G931" s="15">
        <f>IF(OR(E931="U16", E931="S16"),1,IF(E931="TS",6,2))</f>
        <v>1</v>
      </c>
      <c r="H931" s="131">
        <v>1</v>
      </c>
      <c r="I931" s="85"/>
    </row>
    <row r="932" spans="1:9" ht="15" customHeight="1" x14ac:dyDescent="0.3">
      <c r="A932" s="131">
        <f t="shared" si="53"/>
        <v>16857</v>
      </c>
      <c r="B932" s="138"/>
      <c r="C932" s="138"/>
      <c r="D932" s="131"/>
      <c r="E932" s="15" t="s">
        <v>123</v>
      </c>
      <c r="F932" s="15"/>
      <c r="G932" s="15">
        <f>IF(OR(E932="U16", E932="S16"),1,IF(E932="TS",6,2))</f>
        <v>1</v>
      </c>
      <c r="H932" s="131">
        <v>1</v>
      </c>
      <c r="I932" s="85"/>
    </row>
    <row r="933" spans="1:9" ht="15" customHeight="1" x14ac:dyDescent="0.3">
      <c r="A933" s="181" t="s">
        <v>350</v>
      </c>
      <c r="B933" s="181"/>
      <c r="C933" s="181"/>
      <c r="D933" s="181"/>
      <c r="E933" s="181"/>
      <c r="F933" s="181"/>
      <c r="G933" s="181"/>
      <c r="H933" s="181"/>
      <c r="I933" s="95"/>
    </row>
    <row r="934" spans="1:9" ht="15" customHeight="1" x14ac:dyDescent="0.3">
      <c r="A934" s="145">
        <f>A932+(G932*H932)</f>
        <v>16858</v>
      </c>
      <c r="B934" s="141" t="s">
        <v>435</v>
      </c>
      <c r="C934" s="180"/>
      <c r="D934" s="145"/>
      <c r="E934" s="145" t="s">
        <v>123</v>
      </c>
      <c r="F934" s="145" t="s">
        <v>1045</v>
      </c>
      <c r="G934" s="145">
        <f t="shared" si="52"/>
        <v>1</v>
      </c>
      <c r="H934" s="145">
        <v>1</v>
      </c>
      <c r="I934" s="96"/>
    </row>
    <row r="935" spans="1:9" ht="15" customHeight="1" x14ac:dyDescent="0.3">
      <c r="A935" s="145">
        <f t="shared" si="53"/>
        <v>16859</v>
      </c>
      <c r="B935" s="141" t="s">
        <v>518</v>
      </c>
      <c r="C935" s="180"/>
      <c r="D935" s="145"/>
      <c r="E935" s="145" t="s">
        <v>123</v>
      </c>
      <c r="F935" s="145" t="s">
        <v>1045</v>
      </c>
      <c r="G935" s="145">
        <f t="shared" si="52"/>
        <v>1</v>
      </c>
      <c r="H935" s="145">
        <v>1</v>
      </c>
      <c r="I935" s="96"/>
    </row>
    <row r="936" spans="1:9" ht="15" customHeight="1" x14ac:dyDescent="0.3">
      <c r="A936" s="145">
        <f t="shared" si="53"/>
        <v>16860</v>
      </c>
      <c r="B936" s="141" t="s">
        <v>519</v>
      </c>
      <c r="C936" s="180"/>
      <c r="D936" s="145"/>
      <c r="E936" s="145" t="s">
        <v>123</v>
      </c>
      <c r="F936" s="145" t="s">
        <v>1044</v>
      </c>
      <c r="G936" s="145">
        <f t="shared" si="52"/>
        <v>1</v>
      </c>
      <c r="H936" s="145">
        <v>1</v>
      </c>
      <c r="I936" s="96"/>
    </row>
    <row r="937" spans="1:9" ht="15" customHeight="1" x14ac:dyDescent="0.3">
      <c r="A937" s="145">
        <f t="shared" si="53"/>
        <v>16861</v>
      </c>
      <c r="B937" s="141" t="s">
        <v>434</v>
      </c>
      <c r="C937" s="180"/>
      <c r="D937" s="145"/>
      <c r="E937" s="145" t="s">
        <v>123</v>
      </c>
      <c r="F937" s="145" t="s">
        <v>1044</v>
      </c>
      <c r="G937" s="145">
        <f t="shared" si="52"/>
        <v>1</v>
      </c>
      <c r="H937" s="145">
        <v>1</v>
      </c>
      <c r="I937" s="96"/>
    </row>
    <row r="938" spans="1:9" ht="15" customHeight="1" x14ac:dyDescent="0.3">
      <c r="A938" s="145">
        <f t="shared" si="53"/>
        <v>16862</v>
      </c>
      <c r="B938" s="141" t="s">
        <v>517</v>
      </c>
      <c r="C938" s="180"/>
      <c r="D938" s="145"/>
      <c r="E938" s="145" t="s">
        <v>58</v>
      </c>
      <c r="F938" s="145" t="s">
        <v>1044</v>
      </c>
      <c r="G938" s="145">
        <f t="shared" si="52"/>
        <v>2</v>
      </c>
      <c r="H938" s="145">
        <v>1</v>
      </c>
      <c r="I938" s="96"/>
    </row>
    <row r="939" spans="1:9" ht="15" customHeight="1" x14ac:dyDescent="0.3">
      <c r="A939" s="131">
        <f t="shared" si="53"/>
        <v>16864</v>
      </c>
      <c r="B939" s="138" t="s">
        <v>349</v>
      </c>
      <c r="C939" s="138"/>
      <c r="D939" s="131"/>
      <c r="E939" s="15" t="s">
        <v>123</v>
      </c>
      <c r="F939" s="15" t="s">
        <v>1044</v>
      </c>
      <c r="G939" s="15">
        <f t="shared" si="52"/>
        <v>1</v>
      </c>
      <c r="H939" s="131">
        <v>6</v>
      </c>
      <c r="I939" s="85"/>
    </row>
    <row r="940" spans="1:9" ht="15" customHeight="1" x14ac:dyDescent="0.3">
      <c r="A940" s="131">
        <f t="shared" si="53"/>
        <v>16870</v>
      </c>
      <c r="B940" s="138" t="s">
        <v>351</v>
      </c>
      <c r="C940" s="138"/>
      <c r="D940" s="131"/>
      <c r="E940" s="15" t="s">
        <v>123</v>
      </c>
      <c r="F940" s="15" t="s">
        <v>1044</v>
      </c>
      <c r="G940" s="15">
        <f t="shared" si="52"/>
        <v>1</v>
      </c>
      <c r="H940" s="131">
        <v>6</v>
      </c>
      <c r="I940" s="85"/>
    </row>
    <row r="941" spans="1:9" ht="15" customHeight="1" x14ac:dyDescent="0.3">
      <c r="A941" s="131">
        <f t="shared" si="53"/>
        <v>16876</v>
      </c>
      <c r="B941" s="138" t="s">
        <v>352</v>
      </c>
      <c r="C941" s="138"/>
      <c r="D941" s="131"/>
      <c r="E941" s="15" t="s">
        <v>123</v>
      </c>
      <c r="F941" s="15" t="s">
        <v>1044</v>
      </c>
      <c r="G941" s="15">
        <f t="shared" si="52"/>
        <v>1</v>
      </c>
      <c r="H941" s="131">
        <v>6</v>
      </c>
      <c r="I941" s="85"/>
    </row>
    <row r="942" spans="1:9" ht="15" customHeight="1" x14ac:dyDescent="0.3">
      <c r="A942" s="131">
        <f t="shared" si="53"/>
        <v>16882</v>
      </c>
      <c r="B942" s="138" t="s">
        <v>353</v>
      </c>
      <c r="C942" s="138"/>
      <c r="D942" s="131"/>
      <c r="E942" s="15" t="s">
        <v>123</v>
      </c>
      <c r="F942" s="15" t="s">
        <v>1044</v>
      </c>
      <c r="G942" s="15">
        <f t="shared" si="52"/>
        <v>1</v>
      </c>
      <c r="H942" s="131">
        <v>6</v>
      </c>
      <c r="I942" s="85"/>
    </row>
    <row r="943" spans="1:9" ht="15" customHeight="1" x14ac:dyDescent="0.3">
      <c r="A943" s="131">
        <f t="shared" si="53"/>
        <v>16888</v>
      </c>
      <c r="B943" s="138" t="s">
        <v>354</v>
      </c>
      <c r="C943" s="138"/>
      <c r="D943" s="131"/>
      <c r="E943" s="15" t="s">
        <v>123</v>
      </c>
      <c r="F943" s="15" t="s">
        <v>1044</v>
      </c>
      <c r="G943" s="15">
        <f t="shared" si="52"/>
        <v>1</v>
      </c>
      <c r="H943" s="131">
        <v>6</v>
      </c>
      <c r="I943" s="85"/>
    </row>
    <row r="944" spans="1:9" ht="15" customHeight="1" x14ac:dyDescent="0.3">
      <c r="A944" s="131">
        <f t="shared" si="53"/>
        <v>16894</v>
      </c>
      <c r="B944" s="138" t="s">
        <v>355</v>
      </c>
      <c r="C944" s="138"/>
      <c r="D944" s="131"/>
      <c r="E944" s="15" t="s">
        <v>123</v>
      </c>
      <c r="F944" s="15" t="s">
        <v>1044</v>
      </c>
      <c r="G944" s="15">
        <f t="shared" si="52"/>
        <v>1</v>
      </c>
      <c r="H944" s="131">
        <v>6</v>
      </c>
      <c r="I944" s="85"/>
    </row>
    <row r="945" spans="1:9" ht="15" customHeight="1" x14ac:dyDescent="0.3">
      <c r="A945" s="131">
        <f t="shared" si="53"/>
        <v>16900</v>
      </c>
      <c r="B945" s="138" t="s">
        <v>356</v>
      </c>
      <c r="C945" s="138"/>
      <c r="D945" s="131"/>
      <c r="E945" s="15" t="s">
        <v>123</v>
      </c>
      <c r="F945" s="15" t="s">
        <v>1044</v>
      </c>
      <c r="G945" s="15">
        <f t="shared" si="52"/>
        <v>1</v>
      </c>
      <c r="H945" s="131">
        <v>6</v>
      </c>
      <c r="I945" s="85"/>
    </row>
    <row r="946" spans="1:9" ht="15" customHeight="1" x14ac:dyDescent="0.3">
      <c r="A946" s="131">
        <f t="shared" si="53"/>
        <v>16906</v>
      </c>
      <c r="B946" s="138" t="s">
        <v>357</v>
      </c>
      <c r="C946" s="138"/>
      <c r="D946" s="131"/>
      <c r="E946" s="15" t="s">
        <v>123</v>
      </c>
      <c r="F946" s="15" t="s">
        <v>1044</v>
      </c>
      <c r="G946" s="15">
        <f t="shared" si="52"/>
        <v>1</v>
      </c>
      <c r="H946" s="131">
        <v>6</v>
      </c>
      <c r="I946" s="85"/>
    </row>
    <row r="947" spans="1:9" ht="15" customHeight="1" x14ac:dyDescent="0.3">
      <c r="A947" s="131">
        <f t="shared" si="53"/>
        <v>16912</v>
      </c>
      <c r="B947" s="138" t="s">
        <v>358</v>
      </c>
      <c r="C947" s="138"/>
      <c r="D947" s="131"/>
      <c r="E947" s="15" t="s">
        <v>123</v>
      </c>
      <c r="F947" s="15" t="s">
        <v>1044</v>
      </c>
      <c r="G947" s="15">
        <f t="shared" si="52"/>
        <v>1</v>
      </c>
      <c r="H947" s="131">
        <v>6</v>
      </c>
      <c r="I947" s="85"/>
    </row>
    <row r="948" spans="1:9" ht="15" customHeight="1" x14ac:dyDescent="0.3">
      <c r="A948" s="131">
        <f t="shared" si="53"/>
        <v>16918</v>
      </c>
      <c r="B948" s="138" t="s">
        <v>359</v>
      </c>
      <c r="C948" s="138"/>
      <c r="D948" s="131"/>
      <c r="E948" s="15" t="s">
        <v>123</v>
      </c>
      <c r="F948" s="15" t="s">
        <v>1044</v>
      </c>
      <c r="G948" s="15">
        <f t="shared" si="52"/>
        <v>1</v>
      </c>
      <c r="H948" s="131">
        <v>6</v>
      </c>
      <c r="I948" s="85"/>
    </row>
    <row r="949" spans="1:9" ht="15" customHeight="1" x14ac:dyDescent="0.3">
      <c r="A949" s="131">
        <f t="shared" si="53"/>
        <v>16924</v>
      </c>
      <c r="B949" s="138" t="s">
        <v>360</v>
      </c>
      <c r="C949" s="138"/>
      <c r="D949" s="131"/>
      <c r="E949" s="15" t="s">
        <v>123</v>
      </c>
      <c r="F949" s="15" t="s">
        <v>1044</v>
      </c>
      <c r="G949" s="15">
        <f t="shared" si="52"/>
        <v>1</v>
      </c>
      <c r="H949" s="131">
        <v>6</v>
      </c>
      <c r="I949" s="85"/>
    </row>
    <row r="950" spans="1:9" ht="15" customHeight="1" x14ac:dyDescent="0.3">
      <c r="A950" s="131">
        <f t="shared" si="53"/>
        <v>16930</v>
      </c>
      <c r="B950" s="138" t="s">
        <v>361</v>
      </c>
      <c r="C950" s="138"/>
      <c r="D950" s="131"/>
      <c r="E950" s="15" t="s">
        <v>123</v>
      </c>
      <c r="F950" s="15" t="s">
        <v>1044</v>
      </c>
      <c r="G950" s="15">
        <f t="shared" si="52"/>
        <v>1</v>
      </c>
      <c r="H950" s="131">
        <v>6</v>
      </c>
      <c r="I950" s="85"/>
    </row>
    <row r="951" spans="1:9" ht="15" customHeight="1" x14ac:dyDescent="0.3">
      <c r="A951" s="131">
        <f t="shared" si="53"/>
        <v>16936</v>
      </c>
      <c r="B951" s="138" t="s">
        <v>362</v>
      </c>
      <c r="C951" s="138"/>
      <c r="D951" s="131"/>
      <c r="E951" s="15" t="s">
        <v>123</v>
      </c>
      <c r="F951" s="15" t="s">
        <v>1044</v>
      </c>
      <c r="G951" s="15">
        <f t="shared" si="52"/>
        <v>1</v>
      </c>
      <c r="H951" s="131">
        <v>6</v>
      </c>
      <c r="I951" s="85"/>
    </row>
    <row r="952" spans="1:9" ht="15" customHeight="1" x14ac:dyDescent="0.3">
      <c r="A952" s="131">
        <f t="shared" si="53"/>
        <v>16942</v>
      </c>
      <c r="B952" s="138" t="s">
        <v>363</v>
      </c>
      <c r="C952" s="138"/>
      <c r="D952" s="131"/>
      <c r="E952" s="15" t="s">
        <v>123</v>
      </c>
      <c r="F952" s="15" t="s">
        <v>1044</v>
      </c>
      <c r="G952" s="15">
        <f t="shared" si="52"/>
        <v>1</v>
      </c>
      <c r="H952" s="131">
        <v>6</v>
      </c>
      <c r="I952" s="85"/>
    </row>
    <row r="953" spans="1:9" ht="15" customHeight="1" x14ac:dyDescent="0.3">
      <c r="A953" s="131">
        <f t="shared" si="53"/>
        <v>16948</v>
      </c>
      <c r="B953" s="138" t="s">
        <v>364</v>
      </c>
      <c r="C953" s="138"/>
      <c r="D953" s="131"/>
      <c r="E953" s="15" t="s">
        <v>123</v>
      </c>
      <c r="F953" s="15" t="s">
        <v>1044</v>
      </c>
      <c r="G953" s="15">
        <f t="shared" si="52"/>
        <v>1</v>
      </c>
      <c r="H953" s="131">
        <v>6</v>
      </c>
      <c r="I953" s="85"/>
    </row>
    <row r="954" spans="1:9" ht="15" customHeight="1" x14ac:dyDescent="0.3">
      <c r="A954" s="131">
        <f t="shared" si="53"/>
        <v>16954</v>
      </c>
      <c r="B954" s="138" t="s">
        <v>365</v>
      </c>
      <c r="C954" s="138"/>
      <c r="D954" s="131"/>
      <c r="E954" s="15" t="s">
        <v>123</v>
      </c>
      <c r="F954" s="15" t="s">
        <v>1044</v>
      </c>
      <c r="G954" s="15">
        <f t="shared" si="52"/>
        <v>1</v>
      </c>
      <c r="H954" s="131">
        <v>6</v>
      </c>
      <c r="I954" s="85"/>
    </row>
    <row r="955" spans="1:9" ht="15" customHeight="1" x14ac:dyDescent="0.3">
      <c r="A955" s="131">
        <f t="shared" si="53"/>
        <v>16960</v>
      </c>
      <c r="B955" s="138" t="s">
        <v>366</v>
      </c>
      <c r="C955" s="138"/>
      <c r="D955" s="131"/>
      <c r="E955" s="15" t="s">
        <v>123</v>
      </c>
      <c r="F955" s="15" t="s">
        <v>1044</v>
      </c>
      <c r="G955" s="15">
        <f t="shared" si="52"/>
        <v>1</v>
      </c>
      <c r="H955" s="131">
        <v>6</v>
      </c>
      <c r="I955" s="85"/>
    </row>
    <row r="956" spans="1:9" ht="15" customHeight="1" x14ac:dyDescent="0.3">
      <c r="A956" s="131">
        <f t="shared" si="53"/>
        <v>16966</v>
      </c>
      <c r="B956" s="138" t="s">
        <v>367</v>
      </c>
      <c r="C956" s="138"/>
      <c r="D956" s="131"/>
      <c r="E956" s="15" t="s">
        <v>123</v>
      </c>
      <c r="F956" s="15" t="s">
        <v>1044</v>
      </c>
      <c r="G956" s="15">
        <f t="shared" si="52"/>
        <v>1</v>
      </c>
      <c r="H956" s="131">
        <v>6</v>
      </c>
      <c r="I956" s="85"/>
    </row>
    <row r="957" spans="1:9" ht="15" customHeight="1" x14ac:dyDescent="0.3">
      <c r="A957" s="131">
        <f t="shared" si="53"/>
        <v>16972</v>
      </c>
      <c r="B957" s="138" t="s">
        <v>368</v>
      </c>
      <c r="C957" s="138"/>
      <c r="D957" s="131"/>
      <c r="E957" s="15" t="s">
        <v>123</v>
      </c>
      <c r="F957" s="15" t="s">
        <v>1044</v>
      </c>
      <c r="G957" s="15">
        <f t="shared" si="52"/>
        <v>1</v>
      </c>
      <c r="H957" s="131">
        <v>6</v>
      </c>
      <c r="I957" s="85"/>
    </row>
    <row r="958" spans="1:9" ht="15" customHeight="1" x14ac:dyDescent="0.3">
      <c r="A958" s="131">
        <f t="shared" si="53"/>
        <v>16978</v>
      </c>
      <c r="B958" s="138" t="s">
        <v>369</v>
      </c>
      <c r="C958" s="138"/>
      <c r="D958" s="131"/>
      <c r="E958" s="15" t="s">
        <v>123</v>
      </c>
      <c r="F958" s="15" t="s">
        <v>1044</v>
      </c>
      <c r="G958" s="15">
        <f t="shared" si="52"/>
        <v>1</v>
      </c>
      <c r="H958" s="131">
        <v>6</v>
      </c>
      <c r="I958" s="85"/>
    </row>
    <row r="959" spans="1:9" ht="15" customHeight="1" x14ac:dyDescent="0.3">
      <c r="A959" s="131">
        <f t="shared" si="53"/>
        <v>16984</v>
      </c>
      <c r="B959" s="138" t="s">
        <v>370</v>
      </c>
      <c r="C959" s="138"/>
      <c r="D959" s="131"/>
      <c r="E959" s="15" t="s">
        <v>123</v>
      </c>
      <c r="F959" s="15" t="s">
        <v>1044</v>
      </c>
      <c r="G959" s="15">
        <f t="shared" si="52"/>
        <v>1</v>
      </c>
      <c r="H959" s="131">
        <v>6</v>
      </c>
      <c r="I959" s="85"/>
    </row>
    <row r="960" spans="1:9" ht="15" customHeight="1" x14ac:dyDescent="0.3">
      <c r="A960" s="131">
        <f t="shared" si="53"/>
        <v>16990</v>
      </c>
      <c r="B960" s="138" t="s">
        <v>371</v>
      </c>
      <c r="C960" s="138"/>
      <c r="D960" s="131"/>
      <c r="E960" s="15" t="s">
        <v>123</v>
      </c>
      <c r="F960" s="15" t="s">
        <v>1044</v>
      </c>
      <c r="G960" s="15">
        <f t="shared" si="52"/>
        <v>1</v>
      </c>
      <c r="H960" s="131">
        <v>6</v>
      </c>
      <c r="I960" s="85"/>
    </row>
    <row r="961" spans="1:9" ht="15" customHeight="1" x14ac:dyDescent="0.3">
      <c r="A961" s="131">
        <f t="shared" si="53"/>
        <v>16996</v>
      </c>
      <c r="B961" s="138" t="s">
        <v>372</v>
      </c>
      <c r="C961" s="138"/>
      <c r="D961" s="131"/>
      <c r="E961" s="15" t="s">
        <v>123</v>
      </c>
      <c r="F961" s="15" t="s">
        <v>1044</v>
      </c>
      <c r="G961" s="15">
        <f t="shared" si="52"/>
        <v>1</v>
      </c>
      <c r="H961" s="131">
        <v>6</v>
      </c>
      <c r="I961" s="85"/>
    </row>
    <row r="962" spans="1:9" ht="15" customHeight="1" x14ac:dyDescent="0.3">
      <c r="A962" s="131">
        <f t="shared" si="53"/>
        <v>17002</v>
      </c>
      <c r="B962" s="138" t="s">
        <v>373</v>
      </c>
      <c r="C962" s="138"/>
      <c r="D962" s="131"/>
      <c r="E962" s="15" t="s">
        <v>123</v>
      </c>
      <c r="F962" s="15" t="s">
        <v>1044</v>
      </c>
      <c r="G962" s="15">
        <f t="shared" si="52"/>
        <v>1</v>
      </c>
      <c r="H962" s="131">
        <v>6</v>
      </c>
      <c r="I962" s="85"/>
    </row>
    <row r="963" spans="1:9" ht="15" customHeight="1" x14ac:dyDescent="0.3">
      <c r="A963" s="131">
        <f t="shared" si="53"/>
        <v>17008</v>
      </c>
      <c r="B963" s="138" t="s">
        <v>374</v>
      </c>
      <c r="C963" s="138"/>
      <c r="D963" s="131"/>
      <c r="E963" s="15" t="s">
        <v>123</v>
      </c>
      <c r="F963" s="15" t="s">
        <v>1044</v>
      </c>
      <c r="G963" s="15">
        <f t="shared" si="52"/>
        <v>1</v>
      </c>
      <c r="H963" s="131">
        <v>6</v>
      </c>
      <c r="I963" s="85"/>
    </row>
    <row r="964" spans="1:9" ht="15" customHeight="1" x14ac:dyDescent="0.3">
      <c r="A964" s="131">
        <f t="shared" si="53"/>
        <v>17014</v>
      </c>
      <c r="B964" s="138" t="s">
        <v>375</v>
      </c>
      <c r="C964" s="138"/>
      <c r="D964" s="131"/>
      <c r="E964" s="15" t="s">
        <v>123</v>
      </c>
      <c r="F964" s="15" t="s">
        <v>1044</v>
      </c>
      <c r="G964" s="15">
        <f t="shared" si="52"/>
        <v>1</v>
      </c>
      <c r="H964" s="131">
        <v>6</v>
      </c>
      <c r="I964" s="85"/>
    </row>
    <row r="965" spans="1:9" ht="15" customHeight="1" x14ac:dyDescent="0.3">
      <c r="A965" s="131">
        <f t="shared" si="53"/>
        <v>17020</v>
      </c>
      <c r="B965" s="138" t="s">
        <v>376</v>
      </c>
      <c r="C965" s="138"/>
      <c r="D965" s="131"/>
      <c r="E965" s="15" t="s">
        <v>123</v>
      </c>
      <c r="F965" s="15" t="s">
        <v>1044</v>
      </c>
      <c r="G965" s="15">
        <f t="shared" si="52"/>
        <v>1</v>
      </c>
      <c r="H965" s="131">
        <v>6</v>
      </c>
      <c r="I965" s="85"/>
    </row>
    <row r="966" spans="1:9" ht="15" customHeight="1" x14ac:dyDescent="0.3">
      <c r="A966" s="131">
        <f t="shared" si="53"/>
        <v>17026</v>
      </c>
      <c r="B966" s="138" t="s">
        <v>377</v>
      </c>
      <c r="C966" s="138"/>
      <c r="D966" s="131"/>
      <c r="E966" s="15" t="s">
        <v>123</v>
      </c>
      <c r="F966" s="15" t="s">
        <v>1044</v>
      </c>
      <c r="G966" s="15">
        <f t="shared" si="52"/>
        <v>1</v>
      </c>
      <c r="H966" s="131">
        <v>6</v>
      </c>
      <c r="I966" s="85"/>
    </row>
    <row r="967" spans="1:9" ht="15" customHeight="1" x14ac:dyDescent="0.3">
      <c r="A967" s="131">
        <f t="shared" si="53"/>
        <v>17032</v>
      </c>
      <c r="B967" s="138" t="s">
        <v>378</v>
      </c>
      <c r="C967" s="138"/>
      <c r="D967" s="131"/>
      <c r="E967" s="15" t="s">
        <v>123</v>
      </c>
      <c r="F967" s="15" t="s">
        <v>1044</v>
      </c>
      <c r="G967" s="15">
        <f t="shared" si="52"/>
        <v>1</v>
      </c>
      <c r="H967" s="131">
        <v>6</v>
      </c>
      <c r="I967" s="85"/>
    </row>
    <row r="968" spans="1:9" ht="15" customHeight="1" x14ac:dyDescent="0.3">
      <c r="A968" s="131">
        <f t="shared" si="53"/>
        <v>17038</v>
      </c>
      <c r="B968" s="138" t="s">
        <v>379</v>
      </c>
      <c r="C968" s="138"/>
      <c r="D968" s="131"/>
      <c r="E968" s="15" t="s">
        <v>123</v>
      </c>
      <c r="F968" s="15" t="s">
        <v>1044</v>
      </c>
      <c r="G968" s="15">
        <f t="shared" si="52"/>
        <v>1</v>
      </c>
      <c r="H968" s="131">
        <v>6</v>
      </c>
      <c r="I968" s="85"/>
    </row>
    <row r="969" spans="1:9" ht="15" customHeight="1" x14ac:dyDescent="0.3">
      <c r="A969" s="131">
        <f t="shared" si="53"/>
        <v>17044</v>
      </c>
      <c r="B969" s="138" t="s">
        <v>380</v>
      </c>
      <c r="C969" s="138"/>
      <c r="D969" s="131"/>
      <c r="E969" s="15" t="s">
        <v>123</v>
      </c>
      <c r="F969" s="15" t="s">
        <v>1044</v>
      </c>
      <c r="G969" s="15">
        <f t="shared" si="52"/>
        <v>1</v>
      </c>
      <c r="H969" s="131">
        <v>6</v>
      </c>
      <c r="I969" s="85"/>
    </row>
    <row r="970" spans="1:9" ht="13.5" customHeight="1" x14ac:dyDescent="0.3">
      <c r="A970" s="131">
        <f t="shared" si="53"/>
        <v>17050</v>
      </c>
      <c r="B970" s="8"/>
      <c r="E970" s="8"/>
      <c r="F970" s="8"/>
      <c r="G970" s="8"/>
    </row>
    <row r="971" spans="1:9" ht="13.5" customHeight="1" x14ac:dyDescent="0.3">
      <c r="B971" s="8"/>
      <c r="E971" s="8"/>
      <c r="F971" s="8"/>
      <c r="G971" s="8"/>
    </row>
  </sheetData>
  <mergeCells count="101">
    <mergeCell ref="D50:D51"/>
    <mergeCell ref="D52:D59"/>
    <mergeCell ref="D60:D67"/>
    <mergeCell ref="C64:C67"/>
    <mergeCell ref="D76:D79"/>
    <mergeCell ref="D68:D75"/>
    <mergeCell ref="C72:C75"/>
    <mergeCell ref="C24:C25"/>
    <mergeCell ref="A2:H2"/>
    <mergeCell ref="D8:D15"/>
    <mergeCell ref="D16:D17"/>
    <mergeCell ref="C18:C20"/>
    <mergeCell ref="C21:C23"/>
    <mergeCell ref="C45:C46"/>
    <mergeCell ref="C47:C49"/>
    <mergeCell ref="C26:C27"/>
    <mergeCell ref="C28:C29"/>
    <mergeCell ref="D33:D37"/>
    <mergeCell ref="C41:C42"/>
    <mergeCell ref="C43:C44"/>
    <mergeCell ref="A124:H124"/>
    <mergeCell ref="C216:C217"/>
    <mergeCell ref="C218:C219"/>
    <mergeCell ref="A241:H241"/>
    <mergeCell ref="A270:H270"/>
    <mergeCell ref="C276:C278"/>
    <mergeCell ref="C80:C83"/>
    <mergeCell ref="D80:D83"/>
    <mergeCell ref="C84:C87"/>
    <mergeCell ref="D84:D87"/>
    <mergeCell ref="C88:C91"/>
    <mergeCell ref="D88:D90"/>
    <mergeCell ref="B715:B723"/>
    <mergeCell ref="A756:H756"/>
    <mergeCell ref="B761:B769"/>
    <mergeCell ref="A802:H802"/>
    <mergeCell ref="A532:H532"/>
    <mergeCell ref="A573:H573"/>
    <mergeCell ref="A584:H584"/>
    <mergeCell ref="C310:C313"/>
    <mergeCell ref="C314:C317"/>
    <mergeCell ref="A318:H318"/>
    <mergeCell ref="C325:C327"/>
    <mergeCell ref="C332:C334"/>
    <mergeCell ref="C335:C337"/>
    <mergeCell ref="C338:C340"/>
    <mergeCell ref="C341:C343"/>
    <mergeCell ref="C363:C366"/>
    <mergeCell ref="A367:H367"/>
    <mergeCell ref="A378:H378"/>
    <mergeCell ref="A389:H389"/>
    <mergeCell ref="B393:B396"/>
    <mergeCell ref="C344:C346"/>
    <mergeCell ref="C347:C350"/>
    <mergeCell ref="C351:C354"/>
    <mergeCell ref="C355:C358"/>
    <mergeCell ref="J84:J87"/>
    <mergeCell ref="J88:J90"/>
    <mergeCell ref="A203:H203"/>
    <mergeCell ref="C204:C205"/>
    <mergeCell ref="C206:C207"/>
    <mergeCell ref="D92:D115"/>
    <mergeCell ref="D116:D119"/>
    <mergeCell ref="D120:D123"/>
    <mergeCell ref="C328:C330"/>
    <mergeCell ref="C292:C294"/>
    <mergeCell ref="C295:C297"/>
    <mergeCell ref="C298:C301"/>
    <mergeCell ref="C302:C305"/>
    <mergeCell ref="C306:C309"/>
    <mergeCell ref="C279:C281"/>
    <mergeCell ref="C283:C285"/>
    <mergeCell ref="C286:C288"/>
    <mergeCell ref="C289:C291"/>
    <mergeCell ref="C208:C209"/>
    <mergeCell ref="C210:C211"/>
    <mergeCell ref="C212:C213"/>
    <mergeCell ref="C214:C215"/>
    <mergeCell ref="C92:C94"/>
    <mergeCell ref="C95:C97"/>
    <mergeCell ref="C359:C362"/>
    <mergeCell ref="J584:J595"/>
    <mergeCell ref="A597:H597"/>
    <mergeCell ref="A647:H647"/>
    <mergeCell ref="A706:H706"/>
    <mergeCell ref="A710:H710"/>
    <mergeCell ref="A442:H442"/>
    <mergeCell ref="B446:B450"/>
    <mergeCell ref="A485:H485"/>
    <mergeCell ref="B490:B494"/>
    <mergeCell ref="A527:H527"/>
    <mergeCell ref="A846:H846"/>
    <mergeCell ref="A924:H924"/>
    <mergeCell ref="A928:H928"/>
    <mergeCell ref="A933:H933"/>
    <mergeCell ref="C934:C938"/>
    <mergeCell ref="A803:H803"/>
    <mergeCell ref="A824:H824"/>
    <mergeCell ref="A834:H834"/>
    <mergeCell ref="A835:H835"/>
    <mergeCell ref="A840:H840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5D242-6F54-484D-8653-682D9E2E62E8}">
  <dimension ref="A1:J971"/>
  <sheetViews>
    <sheetView topLeftCell="A273" workbookViewId="0">
      <selection activeCell="B12" sqref="B12"/>
    </sheetView>
  </sheetViews>
  <sheetFormatPr defaultColWidth="9" defaultRowHeight="13.5" x14ac:dyDescent="0.3"/>
  <cols>
    <col min="1" max="1" width="7.375" style="8" customWidth="1"/>
    <col min="2" max="2" width="40.875" style="139" bestFit="1" customWidth="1"/>
    <col min="3" max="3" width="32.5" style="139" bestFit="1" customWidth="1"/>
    <col min="4" max="4" width="6.875" style="8" bestFit="1" customWidth="1"/>
    <col min="5" max="5" width="5.25" style="16" bestFit="1" customWidth="1"/>
    <col min="6" max="6" width="4.5" style="16" bestFit="1" customWidth="1"/>
    <col min="7" max="7" width="6" style="16" bestFit="1" customWidth="1"/>
    <col min="8" max="8" width="6" style="8" bestFit="1" customWidth="1"/>
    <col min="9" max="9" width="6" style="8" customWidth="1"/>
    <col min="10" max="10" width="75.25" style="139" customWidth="1"/>
    <col min="11" max="16384" width="9" style="8"/>
  </cols>
  <sheetData>
    <row r="1" spans="1:10" ht="27.75" customHeight="1" x14ac:dyDescent="0.3">
      <c r="A1" s="42" t="s">
        <v>634</v>
      </c>
      <c r="B1" s="42" t="s">
        <v>632</v>
      </c>
      <c r="C1" s="125" t="s">
        <v>633</v>
      </c>
      <c r="D1" s="42" t="s">
        <v>638</v>
      </c>
      <c r="E1" s="42" t="s">
        <v>635</v>
      </c>
      <c r="F1" s="42" t="s">
        <v>1041</v>
      </c>
      <c r="G1" s="42" t="s">
        <v>636</v>
      </c>
      <c r="H1" s="42" t="s">
        <v>637</v>
      </c>
      <c r="I1" s="87"/>
    </row>
    <row r="2" spans="1:10" ht="15.95" customHeight="1" x14ac:dyDescent="0.3">
      <c r="A2" s="162" t="s">
        <v>139</v>
      </c>
      <c r="B2" s="162"/>
      <c r="C2" s="162"/>
      <c r="D2" s="162"/>
      <c r="E2" s="162"/>
      <c r="F2" s="162"/>
      <c r="G2" s="162"/>
      <c r="H2" s="162"/>
      <c r="I2" s="88"/>
    </row>
    <row r="3" spans="1:10" ht="15.95" customHeight="1" x14ac:dyDescent="0.3">
      <c r="A3" s="131">
        <v>20000</v>
      </c>
      <c r="B3" s="138" t="s">
        <v>90</v>
      </c>
      <c r="C3" s="138"/>
      <c r="D3" s="131"/>
      <c r="E3" s="15" t="s">
        <v>91</v>
      </c>
      <c r="F3" s="15">
        <v>3</v>
      </c>
      <c r="G3" s="15">
        <f>IF(OR(E3="U16",E3="S16"),1,IF(E3="TS",6,IF(E3="U64",4,2)))</f>
        <v>2</v>
      </c>
      <c r="H3" s="131">
        <v>1</v>
      </c>
      <c r="I3" s="85"/>
    </row>
    <row r="4" spans="1:10" ht="81" x14ac:dyDescent="0.3">
      <c r="A4" s="143">
        <f>A3+(G3*H3)</f>
        <v>20002</v>
      </c>
      <c r="B4" s="144" t="s">
        <v>635</v>
      </c>
      <c r="C4" s="138" t="s">
        <v>1178</v>
      </c>
      <c r="D4" s="131"/>
      <c r="E4" s="15" t="s">
        <v>123</v>
      </c>
      <c r="F4" s="15">
        <v>3</v>
      </c>
      <c r="G4" s="15">
        <v>1</v>
      </c>
      <c r="H4" s="131">
        <v>1</v>
      </c>
      <c r="I4" s="85"/>
    </row>
    <row r="5" spans="1:10" ht="15.95" customHeight="1" x14ac:dyDescent="0.3">
      <c r="A5" s="143">
        <f t="shared" ref="A5:A68" si="0">A4+(G4*H4)</f>
        <v>20003</v>
      </c>
      <c r="B5" s="144" t="s">
        <v>963</v>
      </c>
      <c r="C5" s="138" t="s">
        <v>964</v>
      </c>
      <c r="D5" s="131"/>
      <c r="E5" s="15" t="s">
        <v>123</v>
      </c>
      <c r="F5" s="15">
        <v>3</v>
      </c>
      <c r="G5" s="15">
        <v>1</v>
      </c>
      <c r="H5" s="131">
        <v>1</v>
      </c>
      <c r="I5" s="85"/>
      <c r="J5" s="139" t="s">
        <v>1186</v>
      </c>
    </row>
    <row r="6" spans="1:10" ht="15.95" customHeight="1" x14ac:dyDescent="0.3">
      <c r="A6" s="143">
        <f t="shared" si="0"/>
        <v>20004</v>
      </c>
      <c r="B6" s="144" t="s">
        <v>30</v>
      </c>
      <c r="C6" s="138" t="s">
        <v>598</v>
      </c>
      <c r="D6" s="131" t="s">
        <v>639</v>
      </c>
      <c r="E6" s="15" t="s">
        <v>58</v>
      </c>
      <c r="F6" s="15">
        <v>3</v>
      </c>
      <c r="G6" s="15">
        <f t="shared" ref="G6:G69" si="1">IF(OR(E6="U16",E6="S16"),1,IF(E6="TS",6,IF(E6="U64",4,2)))</f>
        <v>2</v>
      </c>
      <c r="H6" s="131">
        <v>1</v>
      </c>
      <c r="I6" s="85"/>
    </row>
    <row r="7" spans="1:10" ht="15.95" customHeight="1" x14ac:dyDescent="0.3">
      <c r="A7" s="143">
        <f t="shared" si="0"/>
        <v>20006</v>
      </c>
      <c r="B7" s="144" t="s">
        <v>147</v>
      </c>
      <c r="C7" s="138"/>
      <c r="D7" s="43" t="s">
        <v>640</v>
      </c>
      <c r="E7" s="15" t="s">
        <v>58</v>
      </c>
      <c r="F7" s="15">
        <v>3</v>
      </c>
      <c r="G7" s="15">
        <f t="shared" si="1"/>
        <v>2</v>
      </c>
      <c r="H7" s="131">
        <v>1</v>
      </c>
      <c r="I7" s="85"/>
    </row>
    <row r="8" spans="1:10" ht="15.95" customHeight="1" x14ac:dyDescent="0.3">
      <c r="A8" s="143">
        <f t="shared" si="0"/>
        <v>20008</v>
      </c>
      <c r="B8" s="144" t="s">
        <v>154</v>
      </c>
      <c r="C8" s="144" t="s">
        <v>618</v>
      </c>
      <c r="D8" s="171" t="s">
        <v>142</v>
      </c>
      <c r="E8" s="143" t="s">
        <v>58</v>
      </c>
      <c r="F8" s="15">
        <v>3</v>
      </c>
      <c r="G8" s="15">
        <f t="shared" si="1"/>
        <v>2</v>
      </c>
      <c r="H8" s="131">
        <v>1</v>
      </c>
      <c r="I8" s="85"/>
    </row>
    <row r="9" spans="1:10" ht="15.95" customHeight="1" x14ac:dyDescent="0.3">
      <c r="A9" s="143">
        <f t="shared" si="0"/>
        <v>20010</v>
      </c>
      <c r="B9" s="144" t="s">
        <v>155</v>
      </c>
      <c r="C9" s="144" t="s">
        <v>619</v>
      </c>
      <c r="D9" s="171"/>
      <c r="E9" s="143" t="s">
        <v>58</v>
      </c>
      <c r="F9" s="15">
        <v>3</v>
      </c>
      <c r="G9" s="15">
        <f t="shared" si="1"/>
        <v>2</v>
      </c>
      <c r="H9" s="131">
        <v>1</v>
      </c>
      <c r="I9" s="85"/>
    </row>
    <row r="10" spans="1:10" ht="15.95" customHeight="1" x14ac:dyDescent="0.3">
      <c r="A10" s="143">
        <f t="shared" si="0"/>
        <v>20012</v>
      </c>
      <c r="B10" s="144" t="s">
        <v>156</v>
      </c>
      <c r="C10" s="144" t="s">
        <v>620</v>
      </c>
      <c r="D10" s="171"/>
      <c r="E10" s="143" t="s">
        <v>58</v>
      </c>
      <c r="F10" s="15">
        <v>3</v>
      </c>
      <c r="G10" s="15">
        <f t="shared" si="1"/>
        <v>2</v>
      </c>
      <c r="H10" s="131">
        <v>1</v>
      </c>
      <c r="I10" s="85"/>
    </row>
    <row r="11" spans="1:10" ht="15.95" customHeight="1" x14ac:dyDescent="0.3">
      <c r="A11" s="143">
        <f t="shared" si="0"/>
        <v>20014</v>
      </c>
      <c r="B11" s="144" t="s">
        <v>157</v>
      </c>
      <c r="C11" s="144" t="s">
        <v>621</v>
      </c>
      <c r="D11" s="171"/>
      <c r="E11" s="143" t="s">
        <v>58</v>
      </c>
      <c r="F11" s="15">
        <v>3</v>
      </c>
      <c r="G11" s="15">
        <f t="shared" si="1"/>
        <v>2</v>
      </c>
      <c r="H11" s="131">
        <v>1</v>
      </c>
      <c r="I11" s="85"/>
    </row>
    <row r="12" spans="1:10" ht="15.95" customHeight="1" x14ac:dyDescent="0.3">
      <c r="A12" s="143">
        <f t="shared" si="0"/>
        <v>20016</v>
      </c>
      <c r="B12" s="144" t="s">
        <v>158</v>
      </c>
      <c r="C12" s="144" t="s">
        <v>599</v>
      </c>
      <c r="D12" s="171"/>
      <c r="E12" s="143" t="s">
        <v>58</v>
      </c>
      <c r="F12" s="15">
        <v>3</v>
      </c>
      <c r="G12" s="15">
        <f t="shared" si="1"/>
        <v>2</v>
      </c>
      <c r="H12" s="131">
        <v>1</v>
      </c>
      <c r="I12" s="85"/>
    </row>
    <row r="13" spans="1:10" ht="15.95" customHeight="1" x14ac:dyDescent="0.3">
      <c r="A13" s="143">
        <f t="shared" si="0"/>
        <v>20018</v>
      </c>
      <c r="B13" s="144" t="s">
        <v>159</v>
      </c>
      <c r="C13" s="144" t="s">
        <v>600</v>
      </c>
      <c r="D13" s="171"/>
      <c r="E13" s="143" t="s">
        <v>58</v>
      </c>
      <c r="F13" s="15">
        <v>3</v>
      </c>
      <c r="G13" s="15">
        <f t="shared" si="1"/>
        <v>2</v>
      </c>
      <c r="H13" s="131">
        <v>1</v>
      </c>
      <c r="I13" s="85"/>
    </row>
    <row r="14" spans="1:10" ht="15.95" customHeight="1" x14ac:dyDescent="0.3">
      <c r="A14" s="143">
        <f t="shared" si="0"/>
        <v>20020</v>
      </c>
      <c r="B14" s="144" t="s">
        <v>160</v>
      </c>
      <c r="C14" s="144" t="s">
        <v>601</v>
      </c>
      <c r="D14" s="171"/>
      <c r="E14" s="143" t="s">
        <v>58</v>
      </c>
      <c r="F14" s="15">
        <v>3</v>
      </c>
      <c r="G14" s="15">
        <f t="shared" si="1"/>
        <v>2</v>
      </c>
      <c r="H14" s="131">
        <v>1</v>
      </c>
      <c r="I14" s="85"/>
    </row>
    <row r="15" spans="1:10" ht="15.95" customHeight="1" x14ac:dyDescent="0.3">
      <c r="A15" s="143">
        <f t="shared" si="0"/>
        <v>20022</v>
      </c>
      <c r="B15" s="144" t="s">
        <v>161</v>
      </c>
      <c r="C15" s="144" t="s">
        <v>622</v>
      </c>
      <c r="D15" s="171"/>
      <c r="E15" s="143" t="s">
        <v>58</v>
      </c>
      <c r="F15" s="15">
        <v>3</v>
      </c>
      <c r="G15" s="15">
        <f t="shared" si="1"/>
        <v>2</v>
      </c>
      <c r="H15" s="131">
        <v>1</v>
      </c>
      <c r="I15" s="85"/>
    </row>
    <row r="16" spans="1:10" ht="15.95" customHeight="1" x14ac:dyDescent="0.3">
      <c r="A16" s="131">
        <f t="shared" si="0"/>
        <v>20024</v>
      </c>
      <c r="B16" s="138" t="s">
        <v>189</v>
      </c>
      <c r="C16" s="138"/>
      <c r="D16" s="163" t="s">
        <v>146</v>
      </c>
      <c r="E16" s="15" t="s">
        <v>58</v>
      </c>
      <c r="F16" s="15">
        <v>3</v>
      </c>
      <c r="G16" s="15">
        <f t="shared" si="1"/>
        <v>2</v>
      </c>
      <c r="H16" s="131">
        <v>1</v>
      </c>
      <c r="I16" s="85"/>
      <c r="J16" s="139" t="s">
        <v>180</v>
      </c>
    </row>
    <row r="17" spans="1:10" ht="15.95" customHeight="1" x14ac:dyDescent="0.3">
      <c r="A17" s="131">
        <f t="shared" si="0"/>
        <v>20026</v>
      </c>
      <c r="B17" s="138" t="s">
        <v>190</v>
      </c>
      <c r="C17" s="138"/>
      <c r="D17" s="163"/>
      <c r="E17" s="15" t="s">
        <v>58</v>
      </c>
      <c r="F17" s="15">
        <v>3</v>
      </c>
      <c r="G17" s="15">
        <f t="shared" si="1"/>
        <v>2</v>
      </c>
      <c r="H17" s="131">
        <v>1</v>
      </c>
      <c r="I17" s="85"/>
      <c r="J17" s="139" t="s">
        <v>181</v>
      </c>
    </row>
    <row r="18" spans="1:10" ht="15.95" customHeight="1" x14ac:dyDescent="0.3">
      <c r="A18" s="131">
        <f t="shared" si="0"/>
        <v>20028</v>
      </c>
      <c r="B18" s="138" t="s">
        <v>169</v>
      </c>
      <c r="C18" s="173"/>
      <c r="D18" s="33"/>
      <c r="E18" s="15" t="s">
        <v>58</v>
      </c>
      <c r="F18" s="15">
        <v>3</v>
      </c>
      <c r="G18" s="15">
        <f t="shared" si="1"/>
        <v>2</v>
      </c>
      <c r="H18" s="131">
        <v>1</v>
      </c>
      <c r="I18" s="85"/>
    </row>
    <row r="19" spans="1:10" ht="15.95" customHeight="1" x14ac:dyDescent="0.3">
      <c r="A19" s="131">
        <f t="shared" si="0"/>
        <v>20030</v>
      </c>
      <c r="B19" s="138" t="s">
        <v>170</v>
      </c>
      <c r="C19" s="173"/>
      <c r="D19" s="33"/>
      <c r="E19" s="15" t="s">
        <v>58</v>
      </c>
      <c r="F19" s="15">
        <v>3</v>
      </c>
      <c r="G19" s="15">
        <f t="shared" si="1"/>
        <v>2</v>
      </c>
      <c r="H19" s="131">
        <v>1</v>
      </c>
      <c r="I19" s="85"/>
    </row>
    <row r="20" spans="1:10" ht="15.95" customHeight="1" x14ac:dyDescent="0.3">
      <c r="A20" s="131">
        <f t="shared" si="0"/>
        <v>20032</v>
      </c>
      <c r="B20" s="138" t="s">
        <v>171</v>
      </c>
      <c r="C20" s="173"/>
      <c r="D20" s="33"/>
      <c r="E20" s="15" t="s">
        <v>58</v>
      </c>
      <c r="F20" s="15">
        <v>3</v>
      </c>
      <c r="G20" s="15">
        <f t="shared" si="1"/>
        <v>2</v>
      </c>
      <c r="H20" s="131">
        <v>1</v>
      </c>
      <c r="I20" s="85"/>
    </row>
    <row r="21" spans="1:10" ht="15.95" customHeight="1" x14ac:dyDescent="0.3">
      <c r="A21" s="131">
        <f t="shared" si="0"/>
        <v>20034</v>
      </c>
      <c r="B21" s="138" t="s">
        <v>172</v>
      </c>
      <c r="C21" s="173"/>
      <c r="D21" s="33"/>
      <c r="E21" s="15" t="s">
        <v>58</v>
      </c>
      <c r="F21" s="15">
        <v>3</v>
      </c>
      <c r="G21" s="15">
        <f t="shared" si="1"/>
        <v>2</v>
      </c>
      <c r="H21" s="131">
        <v>1</v>
      </c>
      <c r="I21" s="85"/>
    </row>
    <row r="22" spans="1:10" ht="15.95" customHeight="1" x14ac:dyDescent="0.3">
      <c r="A22" s="131">
        <f t="shared" si="0"/>
        <v>20036</v>
      </c>
      <c r="B22" s="138" t="s">
        <v>173</v>
      </c>
      <c r="C22" s="173"/>
      <c r="D22" s="33"/>
      <c r="E22" s="15" t="s">
        <v>58</v>
      </c>
      <c r="F22" s="15">
        <v>3</v>
      </c>
      <c r="G22" s="15">
        <f t="shared" si="1"/>
        <v>2</v>
      </c>
      <c r="H22" s="131">
        <v>1</v>
      </c>
      <c r="I22" s="85"/>
    </row>
    <row r="23" spans="1:10" ht="15.95" customHeight="1" x14ac:dyDescent="0.3">
      <c r="A23" s="131">
        <f t="shared" si="0"/>
        <v>20038</v>
      </c>
      <c r="B23" s="138" t="s">
        <v>177</v>
      </c>
      <c r="C23" s="173"/>
      <c r="D23" s="33"/>
      <c r="E23" s="15" t="s">
        <v>58</v>
      </c>
      <c r="F23" s="15">
        <v>3</v>
      </c>
      <c r="G23" s="15">
        <f t="shared" si="1"/>
        <v>2</v>
      </c>
      <c r="H23" s="131">
        <v>1</v>
      </c>
      <c r="I23" s="85"/>
    </row>
    <row r="24" spans="1:10" ht="15.95" customHeight="1" x14ac:dyDescent="0.3">
      <c r="A24" s="131">
        <f t="shared" si="0"/>
        <v>20040</v>
      </c>
      <c r="B24" s="138" t="s">
        <v>174</v>
      </c>
      <c r="C24" s="173"/>
      <c r="D24" s="33"/>
      <c r="E24" s="15" t="s">
        <v>58</v>
      </c>
      <c r="F24" s="15">
        <v>3</v>
      </c>
      <c r="G24" s="15">
        <f t="shared" si="1"/>
        <v>2</v>
      </c>
      <c r="H24" s="131">
        <v>1</v>
      </c>
      <c r="I24" s="85"/>
    </row>
    <row r="25" spans="1:10" ht="15.95" customHeight="1" x14ac:dyDescent="0.3">
      <c r="A25" s="131">
        <f t="shared" si="0"/>
        <v>20042</v>
      </c>
      <c r="B25" s="138" t="s">
        <v>175</v>
      </c>
      <c r="C25" s="173"/>
      <c r="D25" s="33"/>
      <c r="E25" s="15" t="s">
        <v>58</v>
      </c>
      <c r="F25" s="15">
        <v>3</v>
      </c>
      <c r="G25" s="15">
        <f t="shared" si="1"/>
        <v>2</v>
      </c>
      <c r="H25" s="131">
        <v>1</v>
      </c>
      <c r="I25" s="85"/>
    </row>
    <row r="26" spans="1:10" ht="15.95" customHeight="1" x14ac:dyDescent="0.3">
      <c r="A26" s="131">
        <f t="shared" si="0"/>
        <v>20044</v>
      </c>
      <c r="B26" s="138" t="s">
        <v>176</v>
      </c>
      <c r="C26" s="173"/>
      <c r="D26" s="33"/>
      <c r="E26" s="15" t="s">
        <v>58</v>
      </c>
      <c r="F26" s="15">
        <v>3</v>
      </c>
      <c r="G26" s="15">
        <f t="shared" si="1"/>
        <v>2</v>
      </c>
      <c r="H26" s="131">
        <v>1</v>
      </c>
      <c r="I26" s="85"/>
    </row>
    <row r="27" spans="1:10" ht="15.95" customHeight="1" x14ac:dyDescent="0.3">
      <c r="A27" s="131">
        <f t="shared" si="0"/>
        <v>20046</v>
      </c>
      <c r="B27" s="138" t="s">
        <v>163</v>
      </c>
      <c r="C27" s="173"/>
      <c r="D27" s="131" t="s">
        <v>146</v>
      </c>
      <c r="E27" s="15" t="s">
        <v>58</v>
      </c>
      <c r="F27" s="15">
        <v>3</v>
      </c>
      <c r="G27" s="15">
        <f t="shared" si="1"/>
        <v>2</v>
      </c>
      <c r="H27" s="131">
        <v>1</v>
      </c>
      <c r="I27" s="85"/>
    </row>
    <row r="28" spans="1:10" ht="15.95" customHeight="1" x14ac:dyDescent="0.3">
      <c r="A28" s="131">
        <f t="shared" si="0"/>
        <v>20048</v>
      </c>
      <c r="B28" s="138" t="s">
        <v>164</v>
      </c>
      <c r="C28" s="173"/>
      <c r="D28" s="131" t="s">
        <v>146</v>
      </c>
      <c r="E28" s="15" t="s">
        <v>58</v>
      </c>
      <c r="F28" s="15">
        <v>3</v>
      </c>
      <c r="G28" s="15">
        <f t="shared" si="1"/>
        <v>2</v>
      </c>
      <c r="H28" s="131">
        <v>1</v>
      </c>
      <c r="I28" s="85"/>
    </row>
    <row r="29" spans="1:10" ht="15.95" customHeight="1" x14ac:dyDescent="0.3">
      <c r="A29" s="131">
        <f t="shared" si="0"/>
        <v>20050</v>
      </c>
      <c r="B29" s="138" t="s">
        <v>165</v>
      </c>
      <c r="C29" s="173"/>
      <c r="D29" s="131" t="s">
        <v>146</v>
      </c>
      <c r="E29" s="15" t="s">
        <v>58</v>
      </c>
      <c r="F29" s="15">
        <v>3</v>
      </c>
      <c r="G29" s="15">
        <f t="shared" si="1"/>
        <v>2</v>
      </c>
      <c r="H29" s="131">
        <v>1</v>
      </c>
      <c r="I29" s="85"/>
    </row>
    <row r="30" spans="1:10" ht="15.95" customHeight="1" x14ac:dyDescent="0.3">
      <c r="A30" s="131">
        <f t="shared" si="0"/>
        <v>20052</v>
      </c>
      <c r="B30" s="138" t="s">
        <v>166</v>
      </c>
      <c r="C30" s="138"/>
      <c r="D30" s="131" t="s">
        <v>146</v>
      </c>
      <c r="E30" s="15" t="s">
        <v>58</v>
      </c>
      <c r="F30" s="15">
        <v>3</v>
      </c>
      <c r="G30" s="15">
        <f t="shared" si="1"/>
        <v>2</v>
      </c>
      <c r="H30" s="131">
        <v>1</v>
      </c>
      <c r="I30" s="85"/>
    </row>
    <row r="31" spans="1:10" ht="15.95" customHeight="1" x14ac:dyDescent="0.3">
      <c r="A31" s="131">
        <f t="shared" si="0"/>
        <v>20054</v>
      </c>
      <c r="B31" s="138" t="s">
        <v>167</v>
      </c>
      <c r="C31" s="138"/>
      <c r="D31" s="131" t="s">
        <v>146</v>
      </c>
      <c r="E31" s="15" t="s">
        <v>58</v>
      </c>
      <c r="F31" s="15">
        <v>3</v>
      </c>
      <c r="G31" s="15">
        <f t="shared" si="1"/>
        <v>2</v>
      </c>
      <c r="H31" s="131">
        <v>1</v>
      </c>
      <c r="I31" s="85"/>
    </row>
    <row r="32" spans="1:10" ht="15.95" customHeight="1" x14ac:dyDescent="0.3">
      <c r="A32" s="131">
        <f t="shared" si="0"/>
        <v>20056</v>
      </c>
      <c r="B32" s="138" t="s">
        <v>168</v>
      </c>
      <c r="C32" s="138"/>
      <c r="D32" s="131" t="s">
        <v>146</v>
      </c>
      <c r="E32" s="15" t="s">
        <v>58</v>
      </c>
      <c r="F32" s="15">
        <v>3</v>
      </c>
      <c r="G32" s="15">
        <f t="shared" si="1"/>
        <v>2</v>
      </c>
      <c r="H32" s="131">
        <v>1</v>
      </c>
      <c r="I32" s="85"/>
    </row>
    <row r="33" spans="1:10" ht="15.95" customHeight="1" x14ac:dyDescent="0.3">
      <c r="A33" s="131">
        <f t="shared" si="0"/>
        <v>20058</v>
      </c>
      <c r="B33" s="144" t="s">
        <v>0</v>
      </c>
      <c r="C33" s="144" t="s">
        <v>623</v>
      </c>
      <c r="D33" s="171" t="s">
        <v>641</v>
      </c>
      <c r="E33" s="143" t="s">
        <v>58</v>
      </c>
      <c r="F33" s="15">
        <v>3</v>
      </c>
      <c r="G33" s="15">
        <f t="shared" si="1"/>
        <v>2</v>
      </c>
      <c r="H33" s="131">
        <v>1</v>
      </c>
      <c r="I33" s="85"/>
    </row>
    <row r="34" spans="1:10" ht="15.95" customHeight="1" x14ac:dyDescent="0.3">
      <c r="A34" s="131">
        <f t="shared" si="0"/>
        <v>20060</v>
      </c>
      <c r="B34" s="144" t="s">
        <v>1</v>
      </c>
      <c r="C34" s="144" t="s">
        <v>624</v>
      </c>
      <c r="D34" s="171"/>
      <c r="E34" s="143" t="s">
        <v>58</v>
      </c>
      <c r="F34" s="15">
        <v>3</v>
      </c>
      <c r="G34" s="15">
        <f t="shared" si="1"/>
        <v>2</v>
      </c>
      <c r="H34" s="131">
        <v>1</v>
      </c>
      <c r="I34" s="85"/>
    </row>
    <row r="35" spans="1:10" ht="15.95" customHeight="1" x14ac:dyDescent="0.3">
      <c r="A35" s="143">
        <f t="shared" si="0"/>
        <v>20062</v>
      </c>
      <c r="B35" s="144" t="s">
        <v>2</v>
      </c>
      <c r="C35" s="144" t="s">
        <v>625</v>
      </c>
      <c r="D35" s="171"/>
      <c r="E35" s="143" t="s">
        <v>58</v>
      </c>
      <c r="F35" s="15">
        <v>3</v>
      </c>
      <c r="G35" s="15">
        <f t="shared" si="1"/>
        <v>2</v>
      </c>
      <c r="H35" s="131">
        <v>1</v>
      </c>
      <c r="I35" s="85"/>
    </row>
    <row r="36" spans="1:10" ht="15.95" customHeight="1" x14ac:dyDescent="0.3">
      <c r="A36" s="143">
        <f t="shared" si="0"/>
        <v>20064</v>
      </c>
      <c r="B36" s="144" t="s">
        <v>129</v>
      </c>
      <c r="C36" s="144"/>
      <c r="D36" s="171"/>
      <c r="E36" s="143" t="s">
        <v>58</v>
      </c>
      <c r="F36" s="15">
        <v>3</v>
      </c>
      <c r="G36" s="15">
        <f t="shared" si="1"/>
        <v>2</v>
      </c>
      <c r="H36" s="131">
        <v>1</v>
      </c>
      <c r="I36" s="85"/>
    </row>
    <row r="37" spans="1:10" ht="15.95" customHeight="1" x14ac:dyDescent="0.3">
      <c r="A37" s="143">
        <f t="shared" si="0"/>
        <v>20066</v>
      </c>
      <c r="B37" s="144" t="s">
        <v>5</v>
      </c>
      <c r="C37" s="144"/>
      <c r="D37" s="171"/>
      <c r="E37" s="143" t="s">
        <v>58</v>
      </c>
      <c r="F37" s="15">
        <v>3</v>
      </c>
      <c r="G37" s="15">
        <f t="shared" si="1"/>
        <v>2</v>
      </c>
      <c r="H37" s="131">
        <v>1</v>
      </c>
      <c r="I37" s="85"/>
    </row>
    <row r="38" spans="1:10" ht="15.95" customHeight="1" x14ac:dyDescent="0.3">
      <c r="A38" s="143">
        <f t="shared" si="0"/>
        <v>20068</v>
      </c>
      <c r="B38" s="144" t="s">
        <v>40</v>
      </c>
      <c r="C38" s="144"/>
      <c r="D38" s="143"/>
      <c r="E38" s="143" t="s">
        <v>58</v>
      </c>
      <c r="F38" s="15">
        <v>3</v>
      </c>
      <c r="G38" s="15">
        <f t="shared" si="1"/>
        <v>2</v>
      </c>
      <c r="H38" s="131">
        <v>1</v>
      </c>
      <c r="I38" s="131"/>
      <c r="J38" s="138" t="s">
        <v>582</v>
      </c>
    </row>
    <row r="39" spans="1:10" ht="15.95" customHeight="1" x14ac:dyDescent="0.3">
      <c r="A39" s="143">
        <f t="shared" si="0"/>
        <v>20070</v>
      </c>
      <c r="B39" s="144" t="s">
        <v>580</v>
      </c>
      <c r="C39" s="144" t="s">
        <v>581</v>
      </c>
      <c r="D39" s="143"/>
      <c r="E39" s="143" t="s">
        <v>58</v>
      </c>
      <c r="F39" s="15">
        <v>3</v>
      </c>
      <c r="G39" s="15">
        <f t="shared" si="1"/>
        <v>2</v>
      </c>
      <c r="H39" s="131">
        <v>1</v>
      </c>
      <c r="I39" s="85"/>
      <c r="J39" s="139" t="s">
        <v>583</v>
      </c>
    </row>
    <row r="40" spans="1:10" ht="15.95" customHeight="1" x14ac:dyDescent="0.3">
      <c r="A40" s="143">
        <f t="shared" si="0"/>
        <v>20072</v>
      </c>
      <c r="B40" s="144" t="s">
        <v>655</v>
      </c>
      <c r="C40" s="144"/>
      <c r="D40" s="143"/>
      <c r="E40" s="143" t="s">
        <v>58</v>
      </c>
      <c r="F40" s="15">
        <v>3</v>
      </c>
      <c r="G40" s="15">
        <f t="shared" si="1"/>
        <v>2</v>
      </c>
      <c r="H40" s="131">
        <v>1</v>
      </c>
      <c r="I40" s="85"/>
    </row>
    <row r="41" spans="1:10" ht="15.95" customHeight="1" x14ac:dyDescent="0.3">
      <c r="A41" s="131">
        <f t="shared" si="0"/>
        <v>20074</v>
      </c>
      <c r="B41" s="138" t="s">
        <v>182</v>
      </c>
      <c r="C41" s="173"/>
      <c r="D41" s="131"/>
      <c r="E41" s="15" t="s">
        <v>58</v>
      </c>
      <c r="F41" s="15">
        <v>3</v>
      </c>
      <c r="G41" s="15">
        <f t="shared" si="1"/>
        <v>2</v>
      </c>
      <c r="H41" s="131">
        <v>1</v>
      </c>
      <c r="I41" s="85"/>
    </row>
    <row r="42" spans="1:10" ht="15.95" customHeight="1" x14ac:dyDescent="0.3">
      <c r="A42" s="131">
        <f t="shared" si="0"/>
        <v>20076</v>
      </c>
      <c r="B42" s="138" t="s">
        <v>183</v>
      </c>
      <c r="C42" s="173"/>
      <c r="D42" s="131"/>
      <c r="E42" s="15" t="s">
        <v>58</v>
      </c>
      <c r="F42" s="15">
        <v>3</v>
      </c>
      <c r="G42" s="15">
        <f t="shared" si="1"/>
        <v>2</v>
      </c>
      <c r="H42" s="131">
        <v>1</v>
      </c>
      <c r="I42" s="85"/>
    </row>
    <row r="43" spans="1:10" ht="15.95" customHeight="1" x14ac:dyDescent="0.3">
      <c r="A43" s="131">
        <f t="shared" si="0"/>
        <v>20078</v>
      </c>
      <c r="B43" s="138" t="s">
        <v>184</v>
      </c>
      <c r="C43" s="173"/>
      <c r="D43" s="131"/>
      <c r="E43" s="15" t="s">
        <v>58</v>
      </c>
      <c r="F43" s="15">
        <v>3</v>
      </c>
      <c r="G43" s="15">
        <f t="shared" si="1"/>
        <v>2</v>
      </c>
      <c r="H43" s="131">
        <v>1</v>
      </c>
      <c r="I43" s="85"/>
    </row>
    <row r="44" spans="1:10" ht="15.95" customHeight="1" x14ac:dyDescent="0.3">
      <c r="A44" s="131">
        <f t="shared" si="0"/>
        <v>20080</v>
      </c>
      <c r="B44" s="138" t="s">
        <v>185</v>
      </c>
      <c r="C44" s="173"/>
      <c r="D44" s="131"/>
      <c r="E44" s="15" t="s">
        <v>58</v>
      </c>
      <c r="F44" s="15">
        <v>3</v>
      </c>
      <c r="G44" s="15">
        <f t="shared" si="1"/>
        <v>2</v>
      </c>
      <c r="H44" s="131">
        <v>1</v>
      </c>
      <c r="I44" s="85"/>
    </row>
    <row r="45" spans="1:10" ht="15.95" customHeight="1" x14ac:dyDescent="0.3">
      <c r="A45" s="131">
        <f t="shared" si="0"/>
        <v>20082</v>
      </c>
      <c r="B45" s="138" t="s">
        <v>186</v>
      </c>
      <c r="C45" s="173"/>
      <c r="D45" s="131"/>
      <c r="E45" s="15" t="s">
        <v>58</v>
      </c>
      <c r="F45" s="15">
        <v>3</v>
      </c>
      <c r="G45" s="15">
        <f t="shared" si="1"/>
        <v>2</v>
      </c>
      <c r="H45" s="131">
        <v>1</v>
      </c>
      <c r="I45" s="85"/>
    </row>
    <row r="46" spans="1:10" ht="15.95" customHeight="1" x14ac:dyDescent="0.3">
      <c r="A46" s="131">
        <f t="shared" si="0"/>
        <v>20084</v>
      </c>
      <c r="B46" s="138" t="s">
        <v>187</v>
      </c>
      <c r="C46" s="173"/>
      <c r="D46" s="131"/>
      <c r="E46" s="15" t="s">
        <v>58</v>
      </c>
      <c r="F46" s="15">
        <v>3</v>
      </c>
      <c r="G46" s="15">
        <f t="shared" si="1"/>
        <v>2</v>
      </c>
      <c r="H46" s="131">
        <v>1</v>
      </c>
      <c r="I46" s="85"/>
    </row>
    <row r="47" spans="1:10" ht="15.95" customHeight="1" x14ac:dyDescent="0.3">
      <c r="A47" s="131">
        <f t="shared" si="0"/>
        <v>20086</v>
      </c>
      <c r="B47" s="138" t="s">
        <v>191</v>
      </c>
      <c r="C47" s="173"/>
      <c r="D47" s="131"/>
      <c r="E47" s="15" t="s">
        <v>58</v>
      </c>
      <c r="F47" s="15">
        <v>3</v>
      </c>
      <c r="G47" s="15">
        <f t="shared" si="1"/>
        <v>2</v>
      </c>
      <c r="H47" s="131">
        <v>1</v>
      </c>
      <c r="I47" s="85"/>
    </row>
    <row r="48" spans="1:10" ht="15.95" customHeight="1" x14ac:dyDescent="0.3">
      <c r="A48" s="131">
        <f t="shared" si="0"/>
        <v>20088</v>
      </c>
      <c r="B48" s="138" t="s">
        <v>192</v>
      </c>
      <c r="C48" s="173"/>
      <c r="D48" s="131"/>
      <c r="E48" s="15" t="s">
        <v>58</v>
      </c>
      <c r="F48" s="15">
        <v>3</v>
      </c>
      <c r="G48" s="15">
        <f t="shared" si="1"/>
        <v>2</v>
      </c>
      <c r="H48" s="131">
        <v>1</v>
      </c>
      <c r="I48" s="85"/>
    </row>
    <row r="49" spans="1:9" ht="15.95" customHeight="1" x14ac:dyDescent="0.3">
      <c r="A49" s="131">
        <f t="shared" si="0"/>
        <v>20090</v>
      </c>
      <c r="B49" s="138" t="s">
        <v>193</v>
      </c>
      <c r="C49" s="173"/>
      <c r="D49" s="131"/>
      <c r="E49" s="15" t="s">
        <v>58</v>
      </c>
      <c r="F49" s="15">
        <v>3</v>
      </c>
      <c r="G49" s="15">
        <f t="shared" si="1"/>
        <v>2</v>
      </c>
      <c r="H49" s="131">
        <v>1</v>
      </c>
      <c r="I49" s="85"/>
    </row>
    <row r="50" spans="1:9" ht="15.95" customHeight="1" x14ac:dyDescent="0.3">
      <c r="A50" s="131">
        <f t="shared" si="0"/>
        <v>20092</v>
      </c>
      <c r="B50" s="138" t="s">
        <v>194</v>
      </c>
      <c r="C50" s="138"/>
      <c r="D50" s="163" t="s">
        <v>146</v>
      </c>
      <c r="E50" s="15" t="s">
        <v>58</v>
      </c>
      <c r="F50" s="15">
        <v>3</v>
      </c>
      <c r="G50" s="15">
        <f t="shared" si="1"/>
        <v>2</v>
      </c>
      <c r="H50" s="131">
        <v>1</v>
      </c>
      <c r="I50" s="85"/>
    </row>
    <row r="51" spans="1:9" ht="15.95" customHeight="1" x14ac:dyDescent="0.3">
      <c r="A51" s="131">
        <f t="shared" si="0"/>
        <v>20094</v>
      </c>
      <c r="B51" s="138" t="s">
        <v>188</v>
      </c>
      <c r="C51" s="138"/>
      <c r="D51" s="163"/>
      <c r="E51" s="15" t="s">
        <v>58</v>
      </c>
      <c r="F51" s="15">
        <v>3</v>
      </c>
      <c r="G51" s="15">
        <f t="shared" si="1"/>
        <v>2</v>
      </c>
      <c r="H51" s="131">
        <v>1</v>
      </c>
      <c r="I51" s="85"/>
    </row>
    <row r="52" spans="1:9" ht="15.95" customHeight="1" x14ac:dyDescent="0.3">
      <c r="A52" s="131">
        <f t="shared" si="0"/>
        <v>20096</v>
      </c>
      <c r="B52" s="144" t="s">
        <v>60</v>
      </c>
      <c r="C52" s="144" t="s">
        <v>602</v>
      </c>
      <c r="D52" s="171" t="s">
        <v>594</v>
      </c>
      <c r="E52" s="143" t="s">
        <v>58</v>
      </c>
      <c r="F52" s="15">
        <v>3</v>
      </c>
      <c r="G52" s="15">
        <f t="shared" si="1"/>
        <v>2</v>
      </c>
      <c r="H52" s="131">
        <v>1</v>
      </c>
      <c r="I52" s="85"/>
    </row>
    <row r="53" spans="1:9" ht="15.95" customHeight="1" x14ac:dyDescent="0.3">
      <c r="A53" s="143">
        <f t="shared" si="0"/>
        <v>20098</v>
      </c>
      <c r="B53" s="144" t="s">
        <v>148</v>
      </c>
      <c r="C53" s="144" t="s">
        <v>603</v>
      </c>
      <c r="D53" s="171"/>
      <c r="E53" s="143" t="s">
        <v>58</v>
      </c>
      <c r="F53" s="15">
        <v>3</v>
      </c>
      <c r="G53" s="15">
        <f t="shared" si="1"/>
        <v>2</v>
      </c>
      <c r="H53" s="131">
        <v>1</v>
      </c>
      <c r="I53" s="85"/>
    </row>
    <row r="54" spans="1:9" ht="15.95" customHeight="1" x14ac:dyDescent="0.3">
      <c r="A54" s="143">
        <f t="shared" si="0"/>
        <v>20100</v>
      </c>
      <c r="B54" s="144" t="s">
        <v>4</v>
      </c>
      <c r="C54" s="144" t="s">
        <v>604</v>
      </c>
      <c r="D54" s="171"/>
      <c r="E54" s="143" t="s">
        <v>58</v>
      </c>
      <c r="F54" s="15">
        <v>3</v>
      </c>
      <c r="G54" s="15">
        <f t="shared" si="1"/>
        <v>2</v>
      </c>
      <c r="H54" s="131">
        <v>1</v>
      </c>
      <c r="I54" s="85"/>
    </row>
    <row r="55" spans="1:9" ht="15.95" customHeight="1" x14ac:dyDescent="0.3">
      <c r="A55" s="143">
        <f t="shared" si="0"/>
        <v>20102</v>
      </c>
      <c r="B55" s="144" t="s">
        <v>61</v>
      </c>
      <c r="C55" s="144" t="s">
        <v>605</v>
      </c>
      <c r="D55" s="171"/>
      <c r="E55" s="143" t="s">
        <v>58</v>
      </c>
      <c r="F55" s="15">
        <v>3</v>
      </c>
      <c r="G55" s="15">
        <f t="shared" si="1"/>
        <v>2</v>
      </c>
      <c r="H55" s="131">
        <v>1</v>
      </c>
      <c r="I55" s="85"/>
    </row>
    <row r="56" spans="1:9" ht="15.95" customHeight="1" x14ac:dyDescent="0.3">
      <c r="A56" s="143">
        <f t="shared" si="0"/>
        <v>20104</v>
      </c>
      <c r="B56" s="144" t="s">
        <v>68</v>
      </c>
      <c r="C56" s="144"/>
      <c r="D56" s="171"/>
      <c r="E56" s="143" t="s">
        <v>58</v>
      </c>
      <c r="F56" s="15">
        <v>3</v>
      </c>
      <c r="G56" s="15">
        <f t="shared" si="1"/>
        <v>2</v>
      </c>
      <c r="H56" s="131">
        <v>1</v>
      </c>
      <c r="I56" s="85"/>
    </row>
    <row r="57" spans="1:9" ht="15.95" customHeight="1" x14ac:dyDescent="0.3">
      <c r="A57" s="143">
        <f t="shared" si="0"/>
        <v>20106</v>
      </c>
      <c r="B57" s="144" t="s">
        <v>69</v>
      </c>
      <c r="C57" s="144"/>
      <c r="D57" s="171"/>
      <c r="E57" s="143" t="s">
        <v>58</v>
      </c>
      <c r="F57" s="15">
        <v>3</v>
      </c>
      <c r="G57" s="15">
        <f t="shared" si="1"/>
        <v>2</v>
      </c>
      <c r="H57" s="131">
        <v>1</v>
      </c>
      <c r="I57" s="85"/>
    </row>
    <row r="58" spans="1:9" ht="15.95" customHeight="1" x14ac:dyDescent="0.3">
      <c r="A58" s="143">
        <f t="shared" si="0"/>
        <v>20108</v>
      </c>
      <c r="B58" s="144" t="s">
        <v>70</v>
      </c>
      <c r="C58" s="144"/>
      <c r="D58" s="171"/>
      <c r="E58" s="143" t="s">
        <v>58</v>
      </c>
      <c r="F58" s="15">
        <v>3</v>
      </c>
      <c r="G58" s="15">
        <f t="shared" si="1"/>
        <v>2</v>
      </c>
      <c r="H58" s="131">
        <v>1</v>
      </c>
      <c r="I58" s="85"/>
    </row>
    <row r="59" spans="1:9" ht="15.95" customHeight="1" x14ac:dyDescent="0.3">
      <c r="A59" s="143">
        <f t="shared" si="0"/>
        <v>20110</v>
      </c>
      <c r="B59" s="144" t="s">
        <v>71</v>
      </c>
      <c r="C59" s="144"/>
      <c r="D59" s="171"/>
      <c r="E59" s="143" t="s">
        <v>58</v>
      </c>
      <c r="F59" s="15">
        <v>3</v>
      </c>
      <c r="G59" s="15">
        <f t="shared" si="1"/>
        <v>2</v>
      </c>
      <c r="H59" s="131">
        <v>1</v>
      </c>
      <c r="I59" s="85"/>
    </row>
    <row r="60" spans="1:9" ht="15.95" customHeight="1" x14ac:dyDescent="0.3">
      <c r="A60" s="143">
        <f t="shared" si="0"/>
        <v>20112</v>
      </c>
      <c r="B60" s="144" t="s">
        <v>62</v>
      </c>
      <c r="C60" s="144" t="s">
        <v>606</v>
      </c>
      <c r="D60" s="171" t="s">
        <v>595</v>
      </c>
      <c r="E60" s="143" t="s">
        <v>58</v>
      </c>
      <c r="F60" s="15">
        <v>3</v>
      </c>
      <c r="G60" s="15">
        <f t="shared" si="1"/>
        <v>2</v>
      </c>
      <c r="H60" s="131">
        <v>1</v>
      </c>
      <c r="I60" s="85"/>
    </row>
    <row r="61" spans="1:9" ht="15.95" customHeight="1" x14ac:dyDescent="0.3">
      <c r="A61" s="143">
        <f t="shared" si="0"/>
        <v>20114</v>
      </c>
      <c r="B61" s="144" t="s">
        <v>63</v>
      </c>
      <c r="C61" s="144" t="s">
        <v>607</v>
      </c>
      <c r="D61" s="171"/>
      <c r="E61" s="143" t="s">
        <v>58</v>
      </c>
      <c r="F61" s="15">
        <v>3</v>
      </c>
      <c r="G61" s="15">
        <f t="shared" si="1"/>
        <v>2</v>
      </c>
      <c r="H61" s="131">
        <v>1</v>
      </c>
      <c r="I61" s="85"/>
    </row>
    <row r="62" spans="1:9" ht="15.95" customHeight="1" x14ac:dyDescent="0.3">
      <c r="A62" s="143">
        <f t="shared" si="0"/>
        <v>20116</v>
      </c>
      <c r="B62" s="144" t="s">
        <v>64</v>
      </c>
      <c r="C62" s="144" t="s">
        <v>608</v>
      </c>
      <c r="D62" s="171"/>
      <c r="E62" s="143" t="s">
        <v>58</v>
      </c>
      <c r="F62" s="15">
        <v>3</v>
      </c>
      <c r="G62" s="15">
        <f t="shared" si="1"/>
        <v>2</v>
      </c>
      <c r="H62" s="131">
        <v>1</v>
      </c>
      <c r="I62" s="85"/>
    </row>
    <row r="63" spans="1:9" ht="15.95" customHeight="1" x14ac:dyDescent="0.3">
      <c r="A63" s="143">
        <f t="shared" si="0"/>
        <v>20118</v>
      </c>
      <c r="B63" s="144" t="s">
        <v>65</v>
      </c>
      <c r="C63" s="144" t="s">
        <v>609</v>
      </c>
      <c r="D63" s="171"/>
      <c r="E63" s="143" t="s">
        <v>58</v>
      </c>
      <c r="F63" s="15">
        <v>3</v>
      </c>
      <c r="G63" s="15">
        <f t="shared" si="1"/>
        <v>2</v>
      </c>
      <c r="H63" s="131">
        <v>1</v>
      </c>
      <c r="I63" s="85"/>
    </row>
    <row r="64" spans="1:9" ht="15.95" customHeight="1" x14ac:dyDescent="0.3">
      <c r="A64" s="143">
        <f t="shared" si="0"/>
        <v>20120</v>
      </c>
      <c r="B64" s="144" t="s">
        <v>72</v>
      </c>
      <c r="C64" s="172"/>
      <c r="D64" s="171"/>
      <c r="E64" s="143" t="s">
        <v>58</v>
      </c>
      <c r="F64" s="15">
        <v>3</v>
      </c>
      <c r="G64" s="15">
        <f t="shared" si="1"/>
        <v>2</v>
      </c>
      <c r="H64" s="131">
        <v>1</v>
      </c>
      <c r="I64" s="85"/>
    </row>
    <row r="65" spans="1:10" ht="15.95" customHeight="1" x14ac:dyDescent="0.3">
      <c r="A65" s="143">
        <f t="shared" si="0"/>
        <v>20122</v>
      </c>
      <c r="B65" s="144" t="s">
        <v>73</v>
      </c>
      <c r="C65" s="172"/>
      <c r="D65" s="171"/>
      <c r="E65" s="143" t="s">
        <v>58</v>
      </c>
      <c r="F65" s="15">
        <v>3</v>
      </c>
      <c r="G65" s="15">
        <f t="shared" si="1"/>
        <v>2</v>
      </c>
      <c r="H65" s="131">
        <v>1</v>
      </c>
      <c r="I65" s="85"/>
    </row>
    <row r="66" spans="1:10" ht="15.95" customHeight="1" x14ac:dyDescent="0.3">
      <c r="A66" s="143">
        <f t="shared" si="0"/>
        <v>20124</v>
      </c>
      <c r="B66" s="144" t="s">
        <v>74</v>
      </c>
      <c r="C66" s="172"/>
      <c r="D66" s="171"/>
      <c r="E66" s="143" t="s">
        <v>58</v>
      </c>
      <c r="F66" s="15">
        <v>3</v>
      </c>
      <c r="G66" s="15">
        <f t="shared" si="1"/>
        <v>2</v>
      </c>
      <c r="H66" s="131">
        <v>1</v>
      </c>
      <c r="I66" s="85"/>
    </row>
    <row r="67" spans="1:10" ht="15.95" customHeight="1" x14ac:dyDescent="0.3">
      <c r="A67" s="143">
        <f t="shared" si="0"/>
        <v>20126</v>
      </c>
      <c r="B67" s="144" t="s">
        <v>75</v>
      </c>
      <c r="C67" s="172"/>
      <c r="D67" s="171"/>
      <c r="E67" s="143" t="s">
        <v>58</v>
      </c>
      <c r="F67" s="15">
        <v>3</v>
      </c>
      <c r="G67" s="15">
        <f t="shared" si="1"/>
        <v>2</v>
      </c>
      <c r="H67" s="131">
        <v>1</v>
      </c>
      <c r="I67" s="85"/>
    </row>
    <row r="68" spans="1:10" ht="15.95" customHeight="1" x14ac:dyDescent="0.3">
      <c r="A68" s="143">
        <f t="shared" si="0"/>
        <v>20128</v>
      </c>
      <c r="B68" s="144" t="s">
        <v>66</v>
      </c>
      <c r="C68" s="144" t="s">
        <v>610</v>
      </c>
      <c r="D68" s="171" t="s">
        <v>596</v>
      </c>
      <c r="E68" s="143" t="s">
        <v>58</v>
      </c>
      <c r="F68" s="15">
        <v>3</v>
      </c>
      <c r="G68" s="15">
        <f t="shared" si="1"/>
        <v>2</v>
      </c>
      <c r="H68" s="131">
        <v>1</v>
      </c>
      <c r="I68" s="85"/>
    </row>
    <row r="69" spans="1:10" ht="15.95" customHeight="1" x14ac:dyDescent="0.3">
      <c r="A69" s="143">
        <f t="shared" ref="A69:A123" si="2">A68+(G68*H68)</f>
        <v>20130</v>
      </c>
      <c r="B69" s="144" t="s">
        <v>6</v>
      </c>
      <c r="C69" s="144" t="s">
        <v>611</v>
      </c>
      <c r="D69" s="171"/>
      <c r="E69" s="143" t="s">
        <v>58</v>
      </c>
      <c r="F69" s="15">
        <v>3</v>
      </c>
      <c r="G69" s="15">
        <f t="shared" si="1"/>
        <v>2</v>
      </c>
      <c r="H69" s="131">
        <v>1</v>
      </c>
      <c r="I69" s="85"/>
    </row>
    <row r="70" spans="1:10" ht="15.95" customHeight="1" x14ac:dyDescent="0.3">
      <c r="A70" s="143">
        <f t="shared" si="2"/>
        <v>20132</v>
      </c>
      <c r="B70" s="144" t="s">
        <v>7</v>
      </c>
      <c r="C70" s="144" t="s">
        <v>612</v>
      </c>
      <c r="D70" s="171"/>
      <c r="E70" s="143" t="s">
        <v>58</v>
      </c>
      <c r="F70" s="15">
        <v>3</v>
      </c>
      <c r="G70" s="15">
        <f t="shared" ref="G70:G91" si="3">IF(OR(E70="U16",E70="S16"),1,IF(E70="TS",6,IF(E70="U64",4,2)))</f>
        <v>2</v>
      </c>
      <c r="H70" s="131">
        <v>1</v>
      </c>
      <c r="I70" s="85"/>
      <c r="J70" s="27"/>
    </row>
    <row r="71" spans="1:10" ht="15.95" customHeight="1" x14ac:dyDescent="0.3">
      <c r="A71" s="143">
        <f t="shared" si="2"/>
        <v>20134</v>
      </c>
      <c r="B71" s="144" t="s">
        <v>67</v>
      </c>
      <c r="C71" s="144" t="s">
        <v>613</v>
      </c>
      <c r="D71" s="171"/>
      <c r="E71" s="143" t="s">
        <v>58</v>
      </c>
      <c r="F71" s="15">
        <v>3</v>
      </c>
      <c r="G71" s="15">
        <f t="shared" si="3"/>
        <v>2</v>
      </c>
      <c r="H71" s="131">
        <v>1</v>
      </c>
      <c r="I71" s="85"/>
    </row>
    <row r="72" spans="1:10" ht="15.95" customHeight="1" x14ac:dyDescent="0.3">
      <c r="A72" s="143">
        <f t="shared" si="2"/>
        <v>20136</v>
      </c>
      <c r="B72" s="144" t="s">
        <v>76</v>
      </c>
      <c r="C72" s="172"/>
      <c r="D72" s="171"/>
      <c r="E72" s="143" t="s">
        <v>58</v>
      </c>
      <c r="F72" s="15">
        <v>3</v>
      </c>
      <c r="G72" s="15">
        <f t="shared" si="3"/>
        <v>2</v>
      </c>
      <c r="H72" s="131">
        <v>1</v>
      </c>
      <c r="I72" s="85"/>
    </row>
    <row r="73" spans="1:10" ht="15.95" customHeight="1" x14ac:dyDescent="0.3">
      <c r="A73" s="143">
        <f t="shared" si="2"/>
        <v>20138</v>
      </c>
      <c r="B73" s="144" t="s">
        <v>77</v>
      </c>
      <c r="C73" s="172"/>
      <c r="D73" s="171"/>
      <c r="E73" s="143" t="s">
        <v>58</v>
      </c>
      <c r="F73" s="15">
        <v>3</v>
      </c>
      <c r="G73" s="15">
        <f t="shared" si="3"/>
        <v>2</v>
      </c>
      <c r="H73" s="131">
        <v>1</v>
      </c>
      <c r="I73" s="85"/>
    </row>
    <row r="74" spans="1:10" ht="15.95" customHeight="1" x14ac:dyDescent="0.3">
      <c r="A74" s="143">
        <f t="shared" si="2"/>
        <v>20140</v>
      </c>
      <c r="B74" s="144" t="s">
        <v>78</v>
      </c>
      <c r="C74" s="172"/>
      <c r="D74" s="171"/>
      <c r="E74" s="143" t="s">
        <v>58</v>
      </c>
      <c r="F74" s="15">
        <v>3</v>
      </c>
      <c r="G74" s="15">
        <f t="shared" si="3"/>
        <v>2</v>
      </c>
      <c r="H74" s="131">
        <v>1</v>
      </c>
      <c r="I74" s="85"/>
    </row>
    <row r="75" spans="1:10" ht="15.95" customHeight="1" x14ac:dyDescent="0.3">
      <c r="A75" s="143">
        <f t="shared" si="2"/>
        <v>20142</v>
      </c>
      <c r="B75" s="144" t="s">
        <v>79</v>
      </c>
      <c r="C75" s="172"/>
      <c r="D75" s="171"/>
      <c r="E75" s="143" t="s">
        <v>58</v>
      </c>
      <c r="F75" s="15">
        <v>3</v>
      </c>
      <c r="G75" s="15">
        <f t="shared" si="3"/>
        <v>2</v>
      </c>
      <c r="H75" s="131">
        <v>1</v>
      </c>
      <c r="I75" s="85"/>
    </row>
    <row r="76" spans="1:10" ht="15.95" customHeight="1" x14ac:dyDescent="0.3">
      <c r="A76" s="143">
        <f t="shared" si="2"/>
        <v>20144</v>
      </c>
      <c r="B76" s="144" t="s">
        <v>80</v>
      </c>
      <c r="C76" s="144" t="s">
        <v>615</v>
      </c>
      <c r="D76" s="171" t="s">
        <v>146</v>
      </c>
      <c r="E76" s="143" t="s">
        <v>58</v>
      </c>
      <c r="F76" s="143">
        <v>3</v>
      </c>
      <c r="G76" s="143">
        <f t="shared" si="3"/>
        <v>2</v>
      </c>
      <c r="H76" s="131">
        <v>1</v>
      </c>
      <c r="I76" s="85"/>
    </row>
    <row r="77" spans="1:10" ht="15.95" customHeight="1" x14ac:dyDescent="0.3">
      <c r="A77" s="143">
        <f t="shared" si="2"/>
        <v>20146</v>
      </c>
      <c r="B77" s="144" t="s">
        <v>8</v>
      </c>
      <c r="C77" s="144" t="s">
        <v>616</v>
      </c>
      <c r="D77" s="171"/>
      <c r="E77" s="143" t="s">
        <v>58</v>
      </c>
      <c r="F77" s="143">
        <v>3</v>
      </c>
      <c r="G77" s="143">
        <f t="shared" si="3"/>
        <v>2</v>
      </c>
      <c r="H77" s="131">
        <v>1</v>
      </c>
      <c r="I77" s="85"/>
    </row>
    <row r="78" spans="1:10" ht="15.95" customHeight="1" x14ac:dyDescent="0.3">
      <c r="A78" s="143">
        <f t="shared" si="2"/>
        <v>20148</v>
      </c>
      <c r="B78" s="144" t="s">
        <v>9</v>
      </c>
      <c r="C78" s="144" t="s">
        <v>617</v>
      </c>
      <c r="D78" s="171"/>
      <c r="E78" s="143" t="s">
        <v>58</v>
      </c>
      <c r="F78" s="143">
        <v>3</v>
      </c>
      <c r="G78" s="143">
        <f t="shared" si="3"/>
        <v>2</v>
      </c>
      <c r="H78" s="131">
        <v>1</v>
      </c>
      <c r="I78" s="85"/>
    </row>
    <row r="79" spans="1:10" ht="15.95" customHeight="1" x14ac:dyDescent="0.3">
      <c r="A79" s="143">
        <f t="shared" si="2"/>
        <v>20150</v>
      </c>
      <c r="B79" s="144" t="s">
        <v>81</v>
      </c>
      <c r="C79" s="144" t="s">
        <v>614</v>
      </c>
      <c r="D79" s="171"/>
      <c r="E79" s="143" t="s">
        <v>58</v>
      </c>
      <c r="F79" s="143">
        <v>3</v>
      </c>
      <c r="G79" s="143">
        <f t="shared" si="3"/>
        <v>2</v>
      </c>
      <c r="H79" s="131">
        <v>1</v>
      </c>
      <c r="I79" s="85"/>
    </row>
    <row r="80" spans="1:10" ht="15.95" customHeight="1" x14ac:dyDescent="0.3">
      <c r="A80" s="131">
        <f t="shared" si="2"/>
        <v>20152</v>
      </c>
      <c r="B80" s="138" t="s">
        <v>82</v>
      </c>
      <c r="C80" s="173"/>
      <c r="D80" s="163" t="s">
        <v>146</v>
      </c>
      <c r="E80" s="15" t="s">
        <v>58</v>
      </c>
      <c r="F80" s="15">
        <v>3</v>
      </c>
      <c r="G80" s="15">
        <f t="shared" si="3"/>
        <v>2</v>
      </c>
      <c r="H80" s="131">
        <v>1</v>
      </c>
      <c r="I80" s="85"/>
    </row>
    <row r="81" spans="1:10" ht="15.95" customHeight="1" x14ac:dyDescent="0.3">
      <c r="A81" s="131">
        <f t="shared" si="2"/>
        <v>20154</v>
      </c>
      <c r="B81" s="138" t="s">
        <v>83</v>
      </c>
      <c r="C81" s="173"/>
      <c r="D81" s="163"/>
      <c r="E81" s="15" t="s">
        <v>58</v>
      </c>
      <c r="F81" s="15">
        <v>3</v>
      </c>
      <c r="G81" s="15">
        <f t="shared" si="3"/>
        <v>2</v>
      </c>
      <c r="H81" s="131">
        <v>1</v>
      </c>
      <c r="I81" s="85"/>
    </row>
    <row r="82" spans="1:10" ht="15.95" customHeight="1" x14ac:dyDescent="0.3">
      <c r="A82" s="131">
        <f t="shared" si="2"/>
        <v>20156</v>
      </c>
      <c r="B82" s="138" t="s">
        <v>84</v>
      </c>
      <c r="C82" s="173"/>
      <c r="D82" s="163"/>
      <c r="E82" s="15" t="s">
        <v>58</v>
      </c>
      <c r="F82" s="15">
        <v>3</v>
      </c>
      <c r="G82" s="15">
        <f t="shared" si="3"/>
        <v>2</v>
      </c>
      <c r="H82" s="131">
        <v>1</v>
      </c>
      <c r="I82" s="85"/>
    </row>
    <row r="83" spans="1:10" ht="15.95" customHeight="1" x14ac:dyDescent="0.3">
      <c r="A83" s="131">
        <f t="shared" si="2"/>
        <v>20158</v>
      </c>
      <c r="B83" s="138" t="s">
        <v>85</v>
      </c>
      <c r="C83" s="173"/>
      <c r="D83" s="163"/>
      <c r="E83" s="15" t="s">
        <v>58</v>
      </c>
      <c r="F83" s="15">
        <v>3</v>
      </c>
      <c r="G83" s="15">
        <f t="shared" si="3"/>
        <v>2</v>
      </c>
      <c r="H83" s="131">
        <v>1</v>
      </c>
      <c r="I83" s="85"/>
    </row>
    <row r="84" spans="1:10" ht="15.95" customHeight="1" x14ac:dyDescent="0.3">
      <c r="A84" s="131">
        <f t="shared" si="2"/>
        <v>20160</v>
      </c>
      <c r="B84" s="138" t="s">
        <v>108</v>
      </c>
      <c r="C84" s="173"/>
      <c r="D84" s="163" t="s">
        <v>594</v>
      </c>
      <c r="E84" s="15" t="s">
        <v>58</v>
      </c>
      <c r="F84" s="15">
        <v>3</v>
      </c>
      <c r="G84" s="15">
        <f t="shared" si="3"/>
        <v>2</v>
      </c>
      <c r="H84" s="131">
        <v>1</v>
      </c>
      <c r="I84" s="85"/>
      <c r="J84" s="182" t="s">
        <v>112</v>
      </c>
    </row>
    <row r="85" spans="1:10" ht="15.95" customHeight="1" x14ac:dyDescent="0.3">
      <c r="A85" s="131">
        <f t="shared" si="2"/>
        <v>20162</v>
      </c>
      <c r="B85" s="138" t="s">
        <v>109</v>
      </c>
      <c r="C85" s="173"/>
      <c r="D85" s="163"/>
      <c r="E85" s="15" t="s">
        <v>58</v>
      </c>
      <c r="F85" s="15">
        <v>3</v>
      </c>
      <c r="G85" s="15">
        <f t="shared" si="3"/>
        <v>2</v>
      </c>
      <c r="H85" s="131">
        <v>1</v>
      </c>
      <c r="I85" s="85"/>
      <c r="J85" s="182"/>
    </row>
    <row r="86" spans="1:10" ht="15.95" customHeight="1" x14ac:dyDescent="0.3">
      <c r="A86" s="131">
        <f t="shared" si="2"/>
        <v>20164</v>
      </c>
      <c r="B86" s="138" t="s">
        <v>110</v>
      </c>
      <c r="C86" s="173"/>
      <c r="D86" s="163"/>
      <c r="E86" s="15" t="s">
        <v>58</v>
      </c>
      <c r="F86" s="15">
        <v>3</v>
      </c>
      <c r="G86" s="15">
        <f t="shared" si="3"/>
        <v>2</v>
      </c>
      <c r="H86" s="131">
        <v>1</v>
      </c>
      <c r="I86" s="85"/>
      <c r="J86" s="182"/>
    </row>
    <row r="87" spans="1:10" ht="15.95" customHeight="1" x14ac:dyDescent="0.3">
      <c r="A87" s="131">
        <f t="shared" si="2"/>
        <v>20166</v>
      </c>
      <c r="B87" s="138" t="s">
        <v>111</v>
      </c>
      <c r="C87" s="173"/>
      <c r="D87" s="163"/>
      <c r="E87" s="15" t="s">
        <v>58</v>
      </c>
      <c r="F87" s="15">
        <v>3</v>
      </c>
      <c r="G87" s="15">
        <f t="shared" si="3"/>
        <v>2</v>
      </c>
      <c r="H87" s="131">
        <v>1</v>
      </c>
      <c r="I87" s="85"/>
      <c r="J87" s="182"/>
    </row>
    <row r="88" spans="1:10" ht="15.95" customHeight="1" x14ac:dyDescent="0.3">
      <c r="A88" s="131">
        <f t="shared" si="2"/>
        <v>20168</v>
      </c>
      <c r="B88" s="138" t="s">
        <v>105</v>
      </c>
      <c r="C88" s="173"/>
      <c r="D88" s="163" t="s">
        <v>642</v>
      </c>
      <c r="E88" s="15" t="s">
        <v>58</v>
      </c>
      <c r="F88" s="15">
        <v>3</v>
      </c>
      <c r="G88" s="15">
        <f t="shared" si="3"/>
        <v>2</v>
      </c>
      <c r="H88" s="131">
        <v>1</v>
      </c>
      <c r="I88" s="85"/>
      <c r="J88" s="182" t="s">
        <v>394</v>
      </c>
    </row>
    <row r="89" spans="1:10" ht="15.95" customHeight="1" x14ac:dyDescent="0.3">
      <c r="A89" s="131">
        <f t="shared" si="2"/>
        <v>20170</v>
      </c>
      <c r="B89" s="138" t="s">
        <v>106</v>
      </c>
      <c r="C89" s="173"/>
      <c r="D89" s="163"/>
      <c r="E89" s="15" t="s">
        <v>58</v>
      </c>
      <c r="F89" s="15">
        <v>3</v>
      </c>
      <c r="G89" s="15">
        <f t="shared" si="3"/>
        <v>2</v>
      </c>
      <c r="H89" s="131">
        <v>1</v>
      </c>
      <c r="I89" s="85"/>
      <c r="J89" s="182"/>
    </row>
    <row r="90" spans="1:10" ht="15.95" customHeight="1" x14ac:dyDescent="0.3">
      <c r="A90" s="131">
        <f t="shared" si="2"/>
        <v>20172</v>
      </c>
      <c r="B90" s="138" t="s">
        <v>107</v>
      </c>
      <c r="C90" s="173"/>
      <c r="D90" s="163"/>
      <c r="E90" s="15" t="s">
        <v>58</v>
      </c>
      <c r="F90" s="15">
        <v>3</v>
      </c>
      <c r="G90" s="15">
        <f t="shared" si="3"/>
        <v>2</v>
      </c>
      <c r="H90" s="131">
        <v>1</v>
      </c>
      <c r="I90" s="85"/>
      <c r="J90" s="182"/>
    </row>
    <row r="91" spans="1:10" ht="15.95" customHeight="1" x14ac:dyDescent="0.3">
      <c r="A91" s="131">
        <f t="shared" si="2"/>
        <v>20174</v>
      </c>
      <c r="B91" s="138" t="s">
        <v>41</v>
      </c>
      <c r="C91" s="173"/>
      <c r="D91" s="131"/>
      <c r="E91" s="15" t="s">
        <v>58</v>
      </c>
      <c r="F91" s="15">
        <v>3</v>
      </c>
      <c r="G91" s="15">
        <f t="shared" si="3"/>
        <v>2</v>
      </c>
      <c r="H91" s="131">
        <v>1</v>
      </c>
      <c r="I91" s="89"/>
      <c r="J91" s="41" t="s">
        <v>41</v>
      </c>
    </row>
    <row r="92" spans="1:10" ht="15.95" customHeight="1" x14ac:dyDescent="0.3">
      <c r="A92" s="131">
        <f t="shared" si="2"/>
        <v>20176</v>
      </c>
      <c r="B92" s="138" t="s">
        <v>18</v>
      </c>
      <c r="C92" s="173"/>
      <c r="D92" s="163" t="s">
        <v>146</v>
      </c>
      <c r="E92" s="15" t="s">
        <v>58</v>
      </c>
      <c r="F92" s="15">
        <v>3</v>
      </c>
      <c r="G92" s="15">
        <f t="shared" ref="G92:G123" si="4">IF(OR(E92="U16", E92="S16"),1,IF(E92="TS",6,2))</f>
        <v>2</v>
      </c>
      <c r="H92" s="131">
        <v>1</v>
      </c>
      <c r="I92" s="85"/>
    </row>
    <row r="93" spans="1:10" ht="15.95" customHeight="1" x14ac:dyDescent="0.3">
      <c r="A93" s="131">
        <f t="shared" si="2"/>
        <v>20178</v>
      </c>
      <c r="B93" s="138" t="s">
        <v>19</v>
      </c>
      <c r="C93" s="173"/>
      <c r="D93" s="163"/>
      <c r="E93" s="15" t="s">
        <v>58</v>
      </c>
      <c r="F93" s="15">
        <v>3</v>
      </c>
      <c r="G93" s="15">
        <f t="shared" si="4"/>
        <v>2</v>
      </c>
      <c r="H93" s="131">
        <v>1</v>
      </c>
      <c r="I93" s="85"/>
      <c r="J93" s="139" t="s">
        <v>178</v>
      </c>
    </row>
    <row r="94" spans="1:10" ht="15.95" customHeight="1" x14ac:dyDescent="0.3">
      <c r="A94" s="131">
        <f t="shared" si="2"/>
        <v>20180</v>
      </c>
      <c r="B94" s="138" t="s">
        <v>20</v>
      </c>
      <c r="C94" s="173"/>
      <c r="D94" s="163"/>
      <c r="E94" s="15" t="s">
        <v>58</v>
      </c>
      <c r="F94" s="15">
        <v>3</v>
      </c>
      <c r="G94" s="15">
        <f t="shared" si="4"/>
        <v>2</v>
      </c>
      <c r="H94" s="131">
        <v>1</v>
      </c>
      <c r="I94" s="85"/>
    </row>
    <row r="95" spans="1:10" ht="15.95" customHeight="1" x14ac:dyDescent="0.3">
      <c r="A95" s="131">
        <f t="shared" si="2"/>
        <v>20182</v>
      </c>
      <c r="B95" s="138" t="s">
        <v>21</v>
      </c>
      <c r="C95" s="173"/>
      <c r="D95" s="163"/>
      <c r="E95" s="15" t="s">
        <v>58</v>
      </c>
      <c r="F95" s="15">
        <v>3</v>
      </c>
      <c r="G95" s="15">
        <f t="shared" si="4"/>
        <v>2</v>
      </c>
      <c r="H95" s="131">
        <v>1</v>
      </c>
      <c r="I95" s="85"/>
    </row>
    <row r="96" spans="1:10" ht="15.95" customHeight="1" x14ac:dyDescent="0.3">
      <c r="A96" s="131">
        <f t="shared" si="2"/>
        <v>20184</v>
      </c>
      <c r="B96" s="138" t="s">
        <v>22</v>
      </c>
      <c r="C96" s="173"/>
      <c r="D96" s="163"/>
      <c r="E96" s="15" t="s">
        <v>58</v>
      </c>
      <c r="F96" s="15">
        <v>3</v>
      </c>
      <c r="G96" s="15">
        <f t="shared" si="4"/>
        <v>2</v>
      </c>
      <c r="H96" s="131">
        <v>1</v>
      </c>
      <c r="I96" s="85"/>
    </row>
    <row r="97" spans="1:9" ht="15.95" customHeight="1" x14ac:dyDescent="0.3">
      <c r="A97" s="131">
        <f t="shared" si="2"/>
        <v>20186</v>
      </c>
      <c r="B97" s="138" t="s">
        <v>23</v>
      </c>
      <c r="C97" s="173"/>
      <c r="D97" s="163"/>
      <c r="E97" s="15" t="s">
        <v>58</v>
      </c>
      <c r="F97" s="15">
        <v>3</v>
      </c>
      <c r="G97" s="15">
        <f t="shared" si="4"/>
        <v>2</v>
      </c>
      <c r="H97" s="131">
        <v>1</v>
      </c>
      <c r="I97" s="85"/>
    </row>
    <row r="98" spans="1:9" ht="15.95" customHeight="1" x14ac:dyDescent="0.3">
      <c r="A98" s="131">
        <f t="shared" si="2"/>
        <v>20188</v>
      </c>
      <c r="B98" s="138" t="s">
        <v>86</v>
      </c>
      <c r="C98" s="138" t="s">
        <v>643</v>
      </c>
      <c r="D98" s="163"/>
      <c r="E98" s="15" t="s">
        <v>58</v>
      </c>
      <c r="F98" s="15">
        <v>3</v>
      </c>
      <c r="G98" s="15">
        <f t="shared" si="4"/>
        <v>2</v>
      </c>
      <c r="H98" s="131">
        <v>1</v>
      </c>
      <c r="I98" s="85"/>
    </row>
    <row r="99" spans="1:9" ht="15.95" customHeight="1" x14ac:dyDescent="0.3">
      <c r="A99" s="131">
        <f t="shared" si="2"/>
        <v>20190</v>
      </c>
      <c r="B99" s="138" t="s">
        <v>16</v>
      </c>
      <c r="C99" s="138"/>
      <c r="D99" s="163"/>
      <c r="E99" s="15" t="s">
        <v>58</v>
      </c>
      <c r="F99" s="15">
        <v>3</v>
      </c>
      <c r="G99" s="15">
        <f t="shared" si="4"/>
        <v>2</v>
      </c>
      <c r="H99" s="131">
        <v>1</v>
      </c>
      <c r="I99" s="85"/>
    </row>
    <row r="100" spans="1:9" ht="15.95" customHeight="1" x14ac:dyDescent="0.3">
      <c r="A100" s="131">
        <f t="shared" si="2"/>
        <v>20192</v>
      </c>
      <c r="B100" s="138" t="s">
        <v>17</v>
      </c>
      <c r="C100" s="138"/>
      <c r="D100" s="163"/>
      <c r="E100" s="15" t="s">
        <v>58</v>
      </c>
      <c r="F100" s="15">
        <v>3</v>
      </c>
      <c r="G100" s="15">
        <f t="shared" si="4"/>
        <v>2</v>
      </c>
      <c r="H100" s="131">
        <v>1</v>
      </c>
      <c r="I100" s="85"/>
    </row>
    <row r="101" spans="1:9" ht="15.95" customHeight="1" x14ac:dyDescent="0.3">
      <c r="A101" s="131">
        <f t="shared" si="2"/>
        <v>20194</v>
      </c>
      <c r="B101" s="138" t="s">
        <v>87</v>
      </c>
      <c r="C101" s="138"/>
      <c r="D101" s="163"/>
      <c r="E101" s="15" t="s">
        <v>58</v>
      </c>
      <c r="F101" s="15">
        <v>3</v>
      </c>
      <c r="G101" s="15">
        <f t="shared" si="4"/>
        <v>2</v>
      </c>
      <c r="H101" s="131">
        <v>1</v>
      </c>
      <c r="I101" s="85"/>
    </row>
    <row r="102" spans="1:9" ht="15.95" customHeight="1" x14ac:dyDescent="0.3">
      <c r="A102" s="131">
        <f t="shared" si="2"/>
        <v>20196</v>
      </c>
      <c r="B102" s="138" t="s">
        <v>88</v>
      </c>
      <c r="C102" s="138"/>
      <c r="D102" s="163"/>
      <c r="E102" s="15" t="s">
        <v>58</v>
      </c>
      <c r="F102" s="15">
        <v>3</v>
      </c>
      <c r="G102" s="15">
        <f t="shared" si="4"/>
        <v>2</v>
      </c>
      <c r="H102" s="131">
        <v>1</v>
      </c>
      <c r="I102" s="85"/>
    </row>
    <row r="103" spans="1:9" ht="15.95" customHeight="1" x14ac:dyDescent="0.3">
      <c r="A103" s="131">
        <f t="shared" si="2"/>
        <v>20198</v>
      </c>
      <c r="B103" s="138" t="s">
        <v>89</v>
      </c>
      <c r="C103" s="138"/>
      <c r="D103" s="163"/>
      <c r="E103" s="15" t="s">
        <v>58</v>
      </c>
      <c r="F103" s="15">
        <v>3</v>
      </c>
      <c r="G103" s="15">
        <f t="shared" si="4"/>
        <v>2</v>
      </c>
      <c r="H103" s="131">
        <v>1</v>
      </c>
      <c r="I103" s="85"/>
    </row>
    <row r="104" spans="1:9" ht="15.95" customHeight="1" x14ac:dyDescent="0.3">
      <c r="A104" s="131">
        <f t="shared" si="2"/>
        <v>20200</v>
      </c>
      <c r="B104" s="138" t="s">
        <v>24</v>
      </c>
      <c r="C104" s="138"/>
      <c r="D104" s="163"/>
      <c r="E104" s="15" t="s">
        <v>58</v>
      </c>
      <c r="F104" s="15">
        <v>3</v>
      </c>
      <c r="G104" s="15">
        <f t="shared" si="4"/>
        <v>2</v>
      </c>
      <c r="H104" s="131">
        <v>1</v>
      </c>
      <c r="I104" s="85"/>
    </row>
    <row r="105" spans="1:9" ht="15.95" customHeight="1" x14ac:dyDescent="0.3">
      <c r="A105" s="131">
        <f t="shared" si="2"/>
        <v>20202</v>
      </c>
      <c r="B105" s="138" t="s">
        <v>25</v>
      </c>
      <c r="C105" s="138"/>
      <c r="D105" s="163"/>
      <c r="E105" s="15" t="s">
        <v>58</v>
      </c>
      <c r="F105" s="15">
        <v>3</v>
      </c>
      <c r="G105" s="15">
        <f t="shared" si="4"/>
        <v>2</v>
      </c>
      <c r="H105" s="131">
        <v>1</v>
      </c>
      <c r="I105" s="85"/>
    </row>
    <row r="106" spans="1:9" ht="15.95" customHeight="1" x14ac:dyDescent="0.3">
      <c r="A106" s="131">
        <f t="shared" si="2"/>
        <v>20204</v>
      </c>
      <c r="B106" s="138" t="s">
        <v>26</v>
      </c>
      <c r="C106" s="138"/>
      <c r="D106" s="163"/>
      <c r="E106" s="15" t="s">
        <v>58</v>
      </c>
      <c r="F106" s="15">
        <v>3</v>
      </c>
      <c r="G106" s="15">
        <f t="shared" si="4"/>
        <v>2</v>
      </c>
      <c r="H106" s="131">
        <v>1</v>
      </c>
      <c r="I106" s="85"/>
    </row>
    <row r="107" spans="1:9" ht="15.95" customHeight="1" x14ac:dyDescent="0.3">
      <c r="A107" s="131">
        <f t="shared" si="2"/>
        <v>20206</v>
      </c>
      <c r="B107" s="138" t="s">
        <v>27</v>
      </c>
      <c r="C107" s="138"/>
      <c r="D107" s="163"/>
      <c r="E107" s="15" t="s">
        <v>58</v>
      </c>
      <c r="F107" s="15">
        <v>3</v>
      </c>
      <c r="G107" s="15">
        <f t="shared" si="4"/>
        <v>2</v>
      </c>
      <c r="H107" s="131">
        <v>1</v>
      </c>
      <c r="I107" s="85"/>
    </row>
    <row r="108" spans="1:9" ht="15.95" customHeight="1" x14ac:dyDescent="0.3">
      <c r="A108" s="131">
        <f t="shared" si="2"/>
        <v>20208</v>
      </c>
      <c r="B108" s="138" t="s">
        <v>28</v>
      </c>
      <c r="C108" s="138"/>
      <c r="D108" s="163"/>
      <c r="E108" s="15" t="s">
        <v>58</v>
      </c>
      <c r="F108" s="15">
        <v>3</v>
      </c>
      <c r="G108" s="15">
        <f t="shared" si="4"/>
        <v>2</v>
      </c>
      <c r="H108" s="131">
        <v>1</v>
      </c>
      <c r="I108" s="85"/>
    </row>
    <row r="109" spans="1:9" ht="15.95" customHeight="1" x14ac:dyDescent="0.3">
      <c r="A109" s="131">
        <f t="shared" si="2"/>
        <v>20210</v>
      </c>
      <c r="B109" s="138" t="s">
        <v>29</v>
      </c>
      <c r="C109" s="138"/>
      <c r="D109" s="163"/>
      <c r="E109" s="15" t="s">
        <v>58</v>
      </c>
      <c r="F109" s="15">
        <v>3</v>
      </c>
      <c r="G109" s="15">
        <f t="shared" si="4"/>
        <v>2</v>
      </c>
      <c r="H109" s="131">
        <v>1</v>
      </c>
      <c r="I109" s="85"/>
    </row>
    <row r="110" spans="1:9" ht="15.95" customHeight="1" x14ac:dyDescent="0.3">
      <c r="A110" s="131">
        <f t="shared" si="2"/>
        <v>20212</v>
      </c>
      <c r="B110" s="138" t="s">
        <v>10</v>
      </c>
      <c r="C110" s="138" t="s">
        <v>644</v>
      </c>
      <c r="D110" s="163"/>
      <c r="E110" s="15" t="s">
        <v>58</v>
      </c>
      <c r="F110" s="15">
        <v>3</v>
      </c>
      <c r="G110" s="15">
        <f t="shared" si="4"/>
        <v>2</v>
      </c>
      <c r="H110" s="131">
        <v>1</v>
      </c>
      <c r="I110" s="85"/>
    </row>
    <row r="111" spans="1:9" ht="15.95" customHeight="1" x14ac:dyDescent="0.3">
      <c r="A111" s="131">
        <f t="shared" si="2"/>
        <v>20214</v>
      </c>
      <c r="B111" s="138" t="s">
        <v>11</v>
      </c>
      <c r="C111" s="138"/>
      <c r="D111" s="163"/>
      <c r="E111" s="15" t="s">
        <v>58</v>
      </c>
      <c r="F111" s="15">
        <v>3</v>
      </c>
      <c r="G111" s="15">
        <f t="shared" si="4"/>
        <v>2</v>
      </c>
      <c r="H111" s="131">
        <v>1</v>
      </c>
      <c r="I111" s="85"/>
    </row>
    <row r="112" spans="1:9" ht="15.95" customHeight="1" x14ac:dyDescent="0.3">
      <c r="A112" s="131">
        <f t="shared" si="2"/>
        <v>20216</v>
      </c>
      <c r="B112" s="138" t="s">
        <v>12</v>
      </c>
      <c r="C112" s="138"/>
      <c r="D112" s="163"/>
      <c r="E112" s="15" t="s">
        <v>58</v>
      </c>
      <c r="F112" s="15">
        <v>3</v>
      </c>
      <c r="G112" s="15">
        <f t="shared" si="4"/>
        <v>2</v>
      </c>
      <c r="H112" s="131">
        <v>1</v>
      </c>
      <c r="I112" s="85"/>
    </row>
    <row r="113" spans="1:10" ht="15.95" customHeight="1" x14ac:dyDescent="0.3">
      <c r="A113" s="131">
        <f t="shared" si="2"/>
        <v>20218</v>
      </c>
      <c r="B113" s="138" t="s">
        <v>13</v>
      </c>
      <c r="C113" s="138" t="s">
        <v>643</v>
      </c>
      <c r="D113" s="163"/>
      <c r="E113" s="15" t="s">
        <v>58</v>
      </c>
      <c r="F113" s="15">
        <v>3</v>
      </c>
      <c r="G113" s="15">
        <f t="shared" si="4"/>
        <v>2</v>
      </c>
      <c r="H113" s="131">
        <v>1</v>
      </c>
      <c r="I113" s="85"/>
    </row>
    <row r="114" spans="1:10" ht="15.95" customHeight="1" x14ac:dyDescent="0.3">
      <c r="A114" s="131">
        <f t="shared" si="2"/>
        <v>20220</v>
      </c>
      <c r="B114" s="138" t="s">
        <v>14</v>
      </c>
      <c r="C114" s="138"/>
      <c r="D114" s="163"/>
      <c r="E114" s="15" t="s">
        <v>58</v>
      </c>
      <c r="F114" s="15">
        <v>3</v>
      </c>
      <c r="G114" s="15">
        <f t="shared" si="4"/>
        <v>2</v>
      </c>
      <c r="H114" s="131">
        <v>1</v>
      </c>
      <c r="I114" s="85"/>
    </row>
    <row r="115" spans="1:10" ht="15.95" customHeight="1" x14ac:dyDescent="0.3">
      <c r="A115" s="131">
        <f t="shared" si="2"/>
        <v>20222</v>
      </c>
      <c r="B115" s="138" t="s">
        <v>15</v>
      </c>
      <c r="C115" s="138"/>
      <c r="D115" s="163"/>
      <c r="E115" s="15" t="s">
        <v>58</v>
      </c>
      <c r="F115" s="15">
        <v>3</v>
      </c>
      <c r="G115" s="15">
        <f t="shared" si="4"/>
        <v>2</v>
      </c>
      <c r="H115" s="131">
        <v>1</v>
      </c>
      <c r="I115" s="85"/>
    </row>
    <row r="116" spans="1:10" ht="15.95" customHeight="1" x14ac:dyDescent="0.3">
      <c r="A116" s="131">
        <f t="shared" si="2"/>
        <v>20224</v>
      </c>
      <c r="B116" s="55" t="s">
        <v>656</v>
      </c>
      <c r="C116" s="55" t="s">
        <v>660</v>
      </c>
      <c r="D116" s="174" t="s">
        <v>142</v>
      </c>
      <c r="E116" s="140" t="s">
        <v>58</v>
      </c>
      <c r="F116" s="15">
        <v>3</v>
      </c>
      <c r="G116" s="140">
        <f t="shared" si="4"/>
        <v>2</v>
      </c>
      <c r="H116" s="140">
        <v>1</v>
      </c>
      <c r="I116" s="90"/>
    </row>
    <row r="117" spans="1:10" ht="15.95" customHeight="1" x14ac:dyDescent="0.3">
      <c r="A117" s="131">
        <f t="shared" si="2"/>
        <v>20226</v>
      </c>
      <c r="B117" s="55" t="s">
        <v>657</v>
      </c>
      <c r="C117" s="55" t="s">
        <v>661</v>
      </c>
      <c r="D117" s="174"/>
      <c r="E117" s="140" t="s">
        <v>58</v>
      </c>
      <c r="F117" s="15">
        <v>3</v>
      </c>
      <c r="G117" s="140">
        <f t="shared" si="4"/>
        <v>2</v>
      </c>
      <c r="H117" s="140">
        <v>1</v>
      </c>
      <c r="I117" s="90"/>
    </row>
    <row r="118" spans="1:10" ht="15.95" customHeight="1" x14ac:dyDescent="0.3">
      <c r="A118" s="131">
        <f t="shared" si="2"/>
        <v>20228</v>
      </c>
      <c r="B118" s="55" t="s">
        <v>658</v>
      </c>
      <c r="C118" s="55" t="s">
        <v>662</v>
      </c>
      <c r="D118" s="174"/>
      <c r="E118" s="140" t="s">
        <v>58</v>
      </c>
      <c r="F118" s="15">
        <v>3</v>
      </c>
      <c r="G118" s="140">
        <f t="shared" si="4"/>
        <v>2</v>
      </c>
      <c r="H118" s="140">
        <v>1</v>
      </c>
      <c r="I118" s="90"/>
    </row>
    <row r="119" spans="1:10" ht="15.95" customHeight="1" x14ac:dyDescent="0.3">
      <c r="A119" s="131">
        <f t="shared" si="2"/>
        <v>20230</v>
      </c>
      <c r="B119" s="55" t="s">
        <v>659</v>
      </c>
      <c r="C119" s="55" t="s">
        <v>663</v>
      </c>
      <c r="D119" s="174"/>
      <c r="E119" s="140" t="s">
        <v>58</v>
      </c>
      <c r="F119" s="15">
        <v>3</v>
      </c>
      <c r="G119" s="140">
        <f t="shared" si="4"/>
        <v>2</v>
      </c>
      <c r="H119" s="140">
        <v>1</v>
      </c>
      <c r="I119" s="90"/>
    </row>
    <row r="120" spans="1:10" ht="15.95" customHeight="1" x14ac:dyDescent="0.3">
      <c r="A120" s="131">
        <f t="shared" si="2"/>
        <v>20232</v>
      </c>
      <c r="B120" s="55" t="s">
        <v>664</v>
      </c>
      <c r="C120" s="55" t="s">
        <v>668</v>
      </c>
      <c r="D120" s="174" t="s">
        <v>641</v>
      </c>
      <c r="E120" s="140" t="s">
        <v>58</v>
      </c>
      <c r="F120" s="15">
        <v>3</v>
      </c>
      <c r="G120" s="140">
        <f t="shared" si="4"/>
        <v>2</v>
      </c>
      <c r="H120" s="140">
        <v>1</v>
      </c>
      <c r="I120" s="90"/>
    </row>
    <row r="121" spans="1:10" ht="15.95" customHeight="1" x14ac:dyDescent="0.3">
      <c r="A121" s="131">
        <f t="shared" si="2"/>
        <v>20234</v>
      </c>
      <c r="B121" s="55" t="s">
        <v>665</v>
      </c>
      <c r="C121" s="55" t="s">
        <v>669</v>
      </c>
      <c r="D121" s="174"/>
      <c r="E121" s="140" t="s">
        <v>58</v>
      </c>
      <c r="F121" s="15">
        <v>3</v>
      </c>
      <c r="G121" s="140">
        <f t="shared" si="4"/>
        <v>2</v>
      </c>
      <c r="H121" s="140">
        <v>1</v>
      </c>
      <c r="I121" s="90"/>
    </row>
    <row r="122" spans="1:10" ht="15.95" customHeight="1" x14ac:dyDescent="0.3">
      <c r="A122" s="131">
        <f t="shared" si="2"/>
        <v>20236</v>
      </c>
      <c r="B122" s="55" t="s">
        <v>666</v>
      </c>
      <c r="C122" s="55" t="s">
        <v>670</v>
      </c>
      <c r="D122" s="174"/>
      <c r="E122" s="140" t="s">
        <v>58</v>
      </c>
      <c r="F122" s="15">
        <v>3</v>
      </c>
      <c r="G122" s="140">
        <f t="shared" si="4"/>
        <v>2</v>
      </c>
      <c r="H122" s="140">
        <v>1</v>
      </c>
      <c r="I122" s="90"/>
    </row>
    <row r="123" spans="1:10" ht="15.95" customHeight="1" x14ac:dyDescent="0.3">
      <c r="A123" s="131">
        <f t="shared" si="2"/>
        <v>20238</v>
      </c>
      <c r="B123" s="55" t="s">
        <v>667</v>
      </c>
      <c r="C123" s="55" t="s">
        <v>671</v>
      </c>
      <c r="D123" s="174"/>
      <c r="E123" s="140" t="s">
        <v>58</v>
      </c>
      <c r="F123" s="15">
        <v>3</v>
      </c>
      <c r="G123" s="140">
        <f t="shared" si="4"/>
        <v>2</v>
      </c>
      <c r="H123" s="140">
        <v>1</v>
      </c>
      <c r="I123" s="90"/>
    </row>
    <row r="124" spans="1:10" ht="15.95" customHeight="1" x14ac:dyDescent="0.3">
      <c r="A124" s="162" t="s">
        <v>57</v>
      </c>
      <c r="B124" s="162"/>
      <c r="C124" s="162"/>
      <c r="D124" s="162"/>
      <c r="E124" s="162"/>
      <c r="F124" s="162"/>
      <c r="G124" s="162"/>
      <c r="H124" s="162"/>
      <c r="I124" s="88"/>
    </row>
    <row r="125" spans="1:10" s="46" customFormat="1" ht="15.95" customHeight="1" x14ac:dyDescent="0.3">
      <c r="A125" s="131">
        <f>A123+(G123*H123)</f>
        <v>20240</v>
      </c>
      <c r="B125" s="144" t="s">
        <v>1120</v>
      </c>
      <c r="C125" s="144" t="s">
        <v>1138</v>
      </c>
      <c r="D125" s="143"/>
      <c r="E125" s="143" t="s">
        <v>145</v>
      </c>
      <c r="F125" s="143" t="s">
        <v>1045</v>
      </c>
      <c r="G125" s="143">
        <f>IF(OR(E125="U16",E125="S16"),1,IF(E125="TS",6,IF(E125="U64",4,2)))</f>
        <v>2</v>
      </c>
      <c r="H125" s="143">
        <v>1</v>
      </c>
      <c r="I125" s="86"/>
      <c r="J125" s="57"/>
    </row>
    <row r="126" spans="1:10" ht="15.95" customHeight="1" x14ac:dyDescent="0.3">
      <c r="A126" s="131">
        <f t="shared" ref="A126:A189" si="5">A125+(G125*H125)</f>
        <v>20242</v>
      </c>
      <c r="B126" s="138" t="s">
        <v>1121</v>
      </c>
      <c r="C126" s="138"/>
      <c r="D126" s="131"/>
      <c r="E126" s="15" t="s">
        <v>145</v>
      </c>
      <c r="F126" s="143" t="s">
        <v>1045</v>
      </c>
      <c r="G126" s="15">
        <f t="shared" ref="G126:G202" si="6">IF(OR(E126="U16",E126="S16"),1,IF(E126="TS",6,IF(E126="U64",4,2)))</f>
        <v>2</v>
      </c>
      <c r="H126" s="131">
        <v>1</v>
      </c>
      <c r="I126" s="85"/>
    </row>
    <row r="127" spans="1:10" ht="15.95" customHeight="1" x14ac:dyDescent="0.3">
      <c r="A127" s="131">
        <f t="shared" si="5"/>
        <v>20244</v>
      </c>
      <c r="B127" s="138" t="s">
        <v>1122</v>
      </c>
      <c r="C127" s="138"/>
      <c r="D127" s="131"/>
      <c r="E127" s="15" t="s">
        <v>145</v>
      </c>
      <c r="F127" s="143" t="s">
        <v>1044</v>
      </c>
      <c r="G127" s="15">
        <f t="shared" si="6"/>
        <v>2</v>
      </c>
      <c r="H127" s="131">
        <v>1</v>
      </c>
      <c r="I127" s="85"/>
    </row>
    <row r="128" spans="1:10" ht="15.95" customHeight="1" x14ac:dyDescent="0.3">
      <c r="A128" s="131">
        <f t="shared" si="5"/>
        <v>20246</v>
      </c>
      <c r="B128" s="138" t="s">
        <v>1123</v>
      </c>
      <c r="C128" s="138"/>
      <c r="D128" s="131"/>
      <c r="E128" s="15" t="s">
        <v>145</v>
      </c>
      <c r="F128" s="143" t="s">
        <v>1044</v>
      </c>
      <c r="G128" s="15">
        <f t="shared" si="6"/>
        <v>2</v>
      </c>
      <c r="H128" s="131">
        <v>1</v>
      </c>
      <c r="I128" s="85"/>
    </row>
    <row r="129" spans="1:10" ht="15.95" customHeight="1" x14ac:dyDescent="0.3">
      <c r="A129" s="131">
        <f t="shared" si="5"/>
        <v>20248</v>
      </c>
      <c r="B129" s="138" t="s">
        <v>1124</v>
      </c>
      <c r="C129" s="138"/>
      <c r="D129" s="131"/>
      <c r="E129" s="15" t="s">
        <v>145</v>
      </c>
      <c r="F129" s="143" t="s">
        <v>1044</v>
      </c>
      <c r="G129" s="15">
        <f t="shared" si="6"/>
        <v>2</v>
      </c>
      <c r="H129" s="131">
        <v>1</v>
      </c>
      <c r="I129" s="85"/>
    </row>
    <row r="130" spans="1:10" ht="15.95" customHeight="1" x14ac:dyDescent="0.3">
      <c r="A130" s="131">
        <f t="shared" si="5"/>
        <v>20250</v>
      </c>
      <c r="B130" s="138"/>
      <c r="C130" s="138"/>
      <c r="D130" s="131"/>
      <c r="E130" s="15" t="s">
        <v>145</v>
      </c>
      <c r="F130" s="143" t="s">
        <v>1044</v>
      </c>
      <c r="G130" s="15">
        <f t="shared" si="6"/>
        <v>2</v>
      </c>
      <c r="H130" s="131">
        <v>1</v>
      </c>
      <c r="I130" s="85"/>
    </row>
    <row r="131" spans="1:10" s="46" customFormat="1" ht="15.95" customHeight="1" x14ac:dyDescent="0.3">
      <c r="A131" s="131">
        <f t="shared" si="5"/>
        <v>20252</v>
      </c>
      <c r="B131" s="144" t="s">
        <v>1125</v>
      </c>
      <c r="C131" s="144" t="s">
        <v>1135</v>
      </c>
      <c r="D131" s="143"/>
      <c r="E131" s="143" t="s">
        <v>145</v>
      </c>
      <c r="F131" s="143" t="s">
        <v>1044</v>
      </c>
      <c r="G131" s="143">
        <f>IF(OR(E131="U16",E131="S16"),1,IF(E131="TS",6,IF(E131="U64",4,2)))</f>
        <v>2</v>
      </c>
      <c r="H131" s="143">
        <v>1</v>
      </c>
      <c r="I131" s="86"/>
      <c r="J131" s="57"/>
    </row>
    <row r="132" spans="1:10" ht="15.95" customHeight="1" x14ac:dyDescent="0.3">
      <c r="A132" s="131">
        <f t="shared" si="5"/>
        <v>20254</v>
      </c>
      <c r="B132" s="138" t="s">
        <v>1126</v>
      </c>
      <c r="C132" s="138"/>
      <c r="D132" s="131"/>
      <c r="E132" s="15" t="s">
        <v>145</v>
      </c>
      <c r="F132" s="143" t="s">
        <v>1044</v>
      </c>
      <c r="G132" s="15">
        <f t="shared" ref="G132:G136" si="7">IF(OR(E132="U16",E132="S16"),1,IF(E132="TS",6,IF(E132="U64",4,2)))</f>
        <v>2</v>
      </c>
      <c r="H132" s="131">
        <v>1</v>
      </c>
      <c r="I132" s="85"/>
    </row>
    <row r="133" spans="1:10" ht="15.95" customHeight="1" x14ac:dyDescent="0.3">
      <c r="A133" s="131">
        <f t="shared" si="5"/>
        <v>20256</v>
      </c>
      <c r="B133" s="138" t="s">
        <v>1127</v>
      </c>
      <c r="C133" s="138"/>
      <c r="D133" s="131"/>
      <c r="E133" s="15" t="s">
        <v>145</v>
      </c>
      <c r="F133" s="143" t="s">
        <v>1044</v>
      </c>
      <c r="G133" s="15">
        <f t="shared" si="7"/>
        <v>2</v>
      </c>
      <c r="H133" s="131">
        <v>1</v>
      </c>
      <c r="I133" s="85"/>
    </row>
    <row r="134" spans="1:10" ht="15.95" customHeight="1" x14ac:dyDescent="0.3">
      <c r="A134" s="131">
        <f t="shared" si="5"/>
        <v>20258</v>
      </c>
      <c r="B134" s="138" t="s">
        <v>1128</v>
      </c>
      <c r="C134" s="138"/>
      <c r="D134" s="131"/>
      <c r="E134" s="15" t="s">
        <v>145</v>
      </c>
      <c r="F134" s="143" t="s">
        <v>1044</v>
      </c>
      <c r="G134" s="15">
        <f t="shared" si="7"/>
        <v>2</v>
      </c>
      <c r="H134" s="131">
        <v>1</v>
      </c>
      <c r="I134" s="85"/>
    </row>
    <row r="135" spans="1:10" ht="15.95" customHeight="1" x14ac:dyDescent="0.3">
      <c r="A135" s="131">
        <f t="shared" si="5"/>
        <v>20260</v>
      </c>
      <c r="B135" s="138" t="s">
        <v>1129</v>
      </c>
      <c r="C135" s="138"/>
      <c r="D135" s="131"/>
      <c r="E135" s="15" t="s">
        <v>145</v>
      </c>
      <c r="F135" s="143" t="s">
        <v>1044</v>
      </c>
      <c r="G135" s="15">
        <f t="shared" si="7"/>
        <v>2</v>
      </c>
      <c r="H135" s="131">
        <v>1</v>
      </c>
      <c r="I135" s="85"/>
    </row>
    <row r="136" spans="1:10" ht="15.95" customHeight="1" x14ac:dyDescent="0.3">
      <c r="A136" s="131">
        <f t="shared" si="5"/>
        <v>20262</v>
      </c>
      <c r="B136" s="138"/>
      <c r="C136" s="138"/>
      <c r="D136" s="131"/>
      <c r="E136" s="15" t="s">
        <v>145</v>
      </c>
      <c r="F136" s="143" t="s">
        <v>1044</v>
      </c>
      <c r="G136" s="15">
        <f t="shared" si="7"/>
        <v>2</v>
      </c>
      <c r="H136" s="131">
        <v>1</v>
      </c>
      <c r="I136" s="85"/>
    </row>
    <row r="137" spans="1:10" ht="15.95" customHeight="1" x14ac:dyDescent="0.3">
      <c r="A137" s="131">
        <f t="shared" si="5"/>
        <v>20264</v>
      </c>
      <c r="B137" s="144" t="s">
        <v>1139</v>
      </c>
      <c r="C137" s="144" t="s">
        <v>1136</v>
      </c>
      <c r="D137" s="143"/>
      <c r="E137" s="143" t="s">
        <v>145</v>
      </c>
      <c r="F137" s="143" t="s">
        <v>1044</v>
      </c>
      <c r="G137" s="143">
        <f>IF(OR(E137="U16",E137="S16"),1,IF(E137="TS",6,IF(E137="U64",4,2)))</f>
        <v>2</v>
      </c>
      <c r="H137" s="143">
        <v>1</v>
      </c>
      <c r="I137" s="85"/>
    </row>
    <row r="138" spans="1:10" ht="15.95" customHeight="1" x14ac:dyDescent="0.3">
      <c r="A138" s="131">
        <f t="shared" si="5"/>
        <v>20266</v>
      </c>
      <c r="B138" s="138" t="s">
        <v>1140</v>
      </c>
      <c r="C138" s="138"/>
      <c r="D138" s="131"/>
      <c r="E138" s="15" t="s">
        <v>145</v>
      </c>
      <c r="F138" s="143" t="s">
        <v>1044</v>
      </c>
      <c r="G138" s="15">
        <f t="shared" ref="G138:G142" si="8">IF(OR(E138="U16",E138="S16"),1,IF(E138="TS",6,IF(E138="U64",4,2)))</f>
        <v>2</v>
      </c>
      <c r="H138" s="131">
        <v>1</v>
      </c>
      <c r="I138" s="85"/>
    </row>
    <row r="139" spans="1:10" ht="15.95" customHeight="1" x14ac:dyDescent="0.3">
      <c r="A139" s="131">
        <f t="shared" si="5"/>
        <v>20268</v>
      </c>
      <c r="B139" s="138" t="s">
        <v>1141</v>
      </c>
      <c r="C139" s="138"/>
      <c r="D139" s="131"/>
      <c r="E139" s="15" t="s">
        <v>145</v>
      </c>
      <c r="F139" s="143" t="s">
        <v>1044</v>
      </c>
      <c r="G139" s="15">
        <f t="shared" si="8"/>
        <v>2</v>
      </c>
      <c r="H139" s="131">
        <v>1</v>
      </c>
      <c r="I139" s="85"/>
    </row>
    <row r="140" spans="1:10" ht="15.95" customHeight="1" x14ac:dyDescent="0.3">
      <c r="A140" s="131">
        <f t="shared" si="5"/>
        <v>20270</v>
      </c>
      <c r="B140" s="138" t="s">
        <v>1142</v>
      </c>
      <c r="C140" s="138"/>
      <c r="D140" s="131"/>
      <c r="E140" s="15" t="s">
        <v>145</v>
      </c>
      <c r="F140" s="143" t="s">
        <v>1044</v>
      </c>
      <c r="G140" s="15">
        <f t="shared" si="8"/>
        <v>2</v>
      </c>
      <c r="H140" s="131">
        <v>1</v>
      </c>
      <c r="I140" s="85"/>
    </row>
    <row r="141" spans="1:10" ht="15.95" customHeight="1" x14ac:dyDescent="0.3">
      <c r="A141" s="131">
        <f t="shared" si="5"/>
        <v>20272</v>
      </c>
      <c r="B141" s="138" t="s">
        <v>1143</v>
      </c>
      <c r="C141" s="138"/>
      <c r="D141" s="131"/>
      <c r="E141" s="15" t="s">
        <v>145</v>
      </c>
      <c r="F141" s="143" t="s">
        <v>1044</v>
      </c>
      <c r="G141" s="15">
        <f t="shared" si="8"/>
        <v>2</v>
      </c>
      <c r="H141" s="131">
        <v>1</v>
      </c>
      <c r="I141" s="85"/>
    </row>
    <row r="142" spans="1:10" ht="15.95" customHeight="1" x14ac:dyDescent="0.3">
      <c r="A142" s="131">
        <f t="shared" si="5"/>
        <v>20274</v>
      </c>
      <c r="B142" s="138"/>
      <c r="C142" s="138"/>
      <c r="D142" s="131"/>
      <c r="E142" s="15" t="s">
        <v>145</v>
      </c>
      <c r="F142" s="143" t="s">
        <v>1044</v>
      </c>
      <c r="G142" s="15">
        <f t="shared" si="8"/>
        <v>2</v>
      </c>
      <c r="H142" s="131">
        <v>1</v>
      </c>
      <c r="I142" s="85"/>
    </row>
    <row r="143" spans="1:10" s="46" customFormat="1" ht="15.95" customHeight="1" x14ac:dyDescent="0.3">
      <c r="A143" s="131">
        <f t="shared" si="5"/>
        <v>20276</v>
      </c>
      <c r="B143" s="144" t="s">
        <v>1144</v>
      </c>
      <c r="C143" s="144" t="s">
        <v>1137</v>
      </c>
      <c r="D143" s="143"/>
      <c r="E143" s="143" t="s">
        <v>145</v>
      </c>
      <c r="F143" s="143" t="s">
        <v>1044</v>
      </c>
      <c r="G143" s="143">
        <f>IF(OR(E143="U16",E143="S16"),1,IF(E143="TS",6,IF(E143="U64",4,2)))</f>
        <v>2</v>
      </c>
      <c r="H143" s="143">
        <v>1</v>
      </c>
      <c r="I143" s="86"/>
      <c r="J143" s="57"/>
    </row>
    <row r="144" spans="1:10" ht="15.95" customHeight="1" x14ac:dyDescent="0.3">
      <c r="A144" s="131">
        <f t="shared" si="5"/>
        <v>20278</v>
      </c>
      <c r="B144" s="138" t="s">
        <v>1145</v>
      </c>
      <c r="C144" s="138"/>
      <c r="D144" s="131"/>
      <c r="E144" s="15" t="s">
        <v>145</v>
      </c>
      <c r="F144" s="143" t="s">
        <v>1044</v>
      </c>
      <c r="G144" s="15">
        <f t="shared" ref="G144:G148" si="9">IF(OR(E144="U16",E144="S16"),1,IF(E144="TS",6,IF(E144="U64",4,2)))</f>
        <v>2</v>
      </c>
      <c r="H144" s="131">
        <v>1</v>
      </c>
      <c r="I144" s="85"/>
    </row>
    <row r="145" spans="1:10" ht="15.95" customHeight="1" x14ac:dyDescent="0.3">
      <c r="A145" s="131">
        <f t="shared" si="5"/>
        <v>20280</v>
      </c>
      <c r="B145" s="138" t="s">
        <v>1146</v>
      </c>
      <c r="C145" s="138"/>
      <c r="D145" s="131"/>
      <c r="E145" s="15" t="s">
        <v>145</v>
      </c>
      <c r="F145" s="143" t="s">
        <v>1044</v>
      </c>
      <c r="G145" s="15">
        <f t="shared" si="9"/>
        <v>2</v>
      </c>
      <c r="H145" s="131">
        <v>1</v>
      </c>
      <c r="I145" s="85"/>
    </row>
    <row r="146" spans="1:10" ht="15.95" customHeight="1" x14ac:dyDescent="0.3">
      <c r="A146" s="131">
        <f t="shared" si="5"/>
        <v>20282</v>
      </c>
      <c r="B146" s="138" t="s">
        <v>1147</v>
      </c>
      <c r="C146" s="138"/>
      <c r="D146" s="131"/>
      <c r="E146" s="15" t="s">
        <v>145</v>
      </c>
      <c r="F146" s="143" t="s">
        <v>1044</v>
      </c>
      <c r="G146" s="15">
        <f t="shared" si="9"/>
        <v>2</v>
      </c>
      <c r="H146" s="131">
        <v>1</v>
      </c>
      <c r="I146" s="85"/>
    </row>
    <row r="147" spans="1:10" ht="15.95" customHeight="1" x14ac:dyDescent="0.3">
      <c r="A147" s="131">
        <f t="shared" si="5"/>
        <v>20284</v>
      </c>
      <c r="B147" s="138" t="s">
        <v>1148</v>
      </c>
      <c r="C147" s="138"/>
      <c r="D147" s="131"/>
      <c r="E147" s="15" t="s">
        <v>145</v>
      </c>
      <c r="F147" s="143" t="s">
        <v>1044</v>
      </c>
      <c r="G147" s="15">
        <f t="shared" si="9"/>
        <v>2</v>
      </c>
      <c r="H147" s="131">
        <v>1</v>
      </c>
      <c r="I147" s="85"/>
    </row>
    <row r="148" spans="1:10" ht="15.95" customHeight="1" x14ac:dyDescent="0.3">
      <c r="A148" s="131">
        <f t="shared" si="5"/>
        <v>20286</v>
      </c>
      <c r="B148" s="138"/>
      <c r="C148" s="138"/>
      <c r="D148" s="131"/>
      <c r="E148" s="15" t="s">
        <v>145</v>
      </c>
      <c r="F148" s="143" t="s">
        <v>1044</v>
      </c>
      <c r="G148" s="15">
        <f t="shared" si="9"/>
        <v>2</v>
      </c>
      <c r="H148" s="131">
        <v>1</v>
      </c>
      <c r="I148" s="85"/>
    </row>
    <row r="149" spans="1:10" ht="15.95" customHeight="1" x14ac:dyDescent="0.3">
      <c r="A149" s="131">
        <f t="shared" si="5"/>
        <v>20288</v>
      </c>
      <c r="B149" s="138" t="s">
        <v>1130</v>
      </c>
      <c r="C149" s="138" t="s">
        <v>1164</v>
      </c>
      <c r="D149" s="131"/>
      <c r="E149" s="15" t="s">
        <v>145</v>
      </c>
      <c r="F149" s="143" t="s">
        <v>1044</v>
      </c>
      <c r="G149" s="15">
        <f t="shared" si="6"/>
        <v>2</v>
      </c>
      <c r="H149" s="131">
        <v>1</v>
      </c>
      <c r="I149" s="85"/>
    </row>
    <row r="150" spans="1:10" ht="15.95" customHeight="1" x14ac:dyDescent="0.3">
      <c r="A150" s="131">
        <f t="shared" si="5"/>
        <v>20290</v>
      </c>
      <c r="B150" s="138" t="s">
        <v>1131</v>
      </c>
      <c r="C150" s="138"/>
      <c r="D150" s="131"/>
      <c r="E150" s="15" t="s">
        <v>145</v>
      </c>
      <c r="F150" s="143" t="s">
        <v>1044</v>
      </c>
      <c r="G150" s="15">
        <f t="shared" si="6"/>
        <v>2</v>
      </c>
      <c r="H150" s="131">
        <v>1</v>
      </c>
      <c r="I150" s="85"/>
    </row>
    <row r="151" spans="1:10" ht="15.95" customHeight="1" x14ac:dyDescent="0.3">
      <c r="A151" s="131">
        <f t="shared" si="5"/>
        <v>20292</v>
      </c>
      <c r="B151" s="138" t="s">
        <v>1132</v>
      </c>
      <c r="C151" s="138"/>
      <c r="D151" s="131"/>
      <c r="E151" s="15" t="s">
        <v>145</v>
      </c>
      <c r="F151" s="143" t="s">
        <v>1044</v>
      </c>
      <c r="G151" s="15">
        <f t="shared" si="6"/>
        <v>2</v>
      </c>
      <c r="H151" s="131">
        <v>1</v>
      </c>
      <c r="I151" s="85"/>
    </row>
    <row r="152" spans="1:10" ht="15.95" customHeight="1" x14ac:dyDescent="0.3">
      <c r="A152" s="131">
        <f t="shared" si="5"/>
        <v>20294</v>
      </c>
      <c r="B152" s="138" t="s">
        <v>1133</v>
      </c>
      <c r="C152" s="138"/>
      <c r="D152" s="131"/>
      <c r="E152" s="15" t="s">
        <v>145</v>
      </c>
      <c r="F152" s="143" t="s">
        <v>1044</v>
      </c>
      <c r="G152" s="15">
        <f t="shared" si="6"/>
        <v>2</v>
      </c>
      <c r="H152" s="131">
        <v>1</v>
      </c>
      <c r="I152" s="85"/>
    </row>
    <row r="153" spans="1:10" ht="15.95" customHeight="1" x14ac:dyDescent="0.3">
      <c r="A153" s="131">
        <f t="shared" si="5"/>
        <v>20296</v>
      </c>
      <c r="B153" s="138" t="s">
        <v>1134</v>
      </c>
      <c r="C153" s="138"/>
      <c r="D153" s="131"/>
      <c r="E153" s="15" t="s">
        <v>145</v>
      </c>
      <c r="F153" s="143" t="s">
        <v>1044</v>
      </c>
      <c r="G153" s="15">
        <f t="shared" si="6"/>
        <v>2</v>
      </c>
      <c r="H153" s="131">
        <v>1</v>
      </c>
      <c r="I153" s="85"/>
    </row>
    <row r="154" spans="1:10" ht="15.95" customHeight="1" x14ac:dyDescent="0.3">
      <c r="A154" s="131">
        <f t="shared" si="5"/>
        <v>20298</v>
      </c>
      <c r="B154" s="138"/>
      <c r="C154" s="138"/>
      <c r="D154" s="131"/>
      <c r="E154" s="15" t="s">
        <v>145</v>
      </c>
      <c r="F154" s="143" t="s">
        <v>1044</v>
      </c>
      <c r="G154" s="15">
        <f t="shared" si="6"/>
        <v>2</v>
      </c>
      <c r="H154" s="131">
        <v>1</v>
      </c>
      <c r="J154" s="8"/>
    </row>
    <row r="155" spans="1:10" ht="15.95" customHeight="1" x14ac:dyDescent="0.3">
      <c r="A155" s="131">
        <f t="shared" si="5"/>
        <v>20300</v>
      </c>
      <c r="B155" s="138" t="s">
        <v>1149</v>
      </c>
      <c r="C155" s="138" t="s">
        <v>1165</v>
      </c>
      <c r="D155" s="131"/>
      <c r="E155" s="15" t="s">
        <v>145</v>
      </c>
      <c r="F155" s="143" t="s">
        <v>1044</v>
      </c>
      <c r="G155" s="15">
        <f t="shared" si="6"/>
        <v>2</v>
      </c>
      <c r="H155" s="131">
        <v>1</v>
      </c>
      <c r="I155" s="85"/>
    </row>
    <row r="156" spans="1:10" ht="15.95" customHeight="1" x14ac:dyDescent="0.3">
      <c r="A156" s="131">
        <f t="shared" si="5"/>
        <v>20302</v>
      </c>
      <c r="B156" s="138" t="s">
        <v>1150</v>
      </c>
      <c r="C156" s="138"/>
      <c r="D156" s="131"/>
      <c r="E156" s="15" t="s">
        <v>145</v>
      </c>
      <c r="F156" s="143" t="s">
        <v>1044</v>
      </c>
      <c r="G156" s="15">
        <f t="shared" si="6"/>
        <v>2</v>
      </c>
      <c r="H156" s="131">
        <v>1</v>
      </c>
      <c r="I156" s="85"/>
    </row>
    <row r="157" spans="1:10" ht="15.95" customHeight="1" x14ac:dyDescent="0.3">
      <c r="A157" s="131">
        <f t="shared" si="5"/>
        <v>20304</v>
      </c>
      <c r="B157" s="138" t="s">
        <v>1151</v>
      </c>
      <c r="C157" s="138"/>
      <c r="D157" s="131"/>
      <c r="E157" s="15" t="s">
        <v>145</v>
      </c>
      <c r="F157" s="143" t="s">
        <v>1044</v>
      </c>
      <c r="G157" s="15">
        <f t="shared" si="6"/>
        <v>2</v>
      </c>
      <c r="H157" s="131">
        <v>1</v>
      </c>
      <c r="I157" s="85"/>
    </row>
    <row r="158" spans="1:10" ht="15.95" customHeight="1" x14ac:dyDescent="0.3">
      <c r="A158" s="131">
        <f t="shared" si="5"/>
        <v>20306</v>
      </c>
      <c r="B158" s="138" t="s">
        <v>1152</v>
      </c>
      <c r="C158" s="138"/>
      <c r="D158" s="131"/>
      <c r="E158" s="15" t="s">
        <v>145</v>
      </c>
      <c r="F158" s="143" t="s">
        <v>1044</v>
      </c>
      <c r="G158" s="15">
        <f t="shared" si="6"/>
        <v>2</v>
      </c>
      <c r="H158" s="131">
        <v>1</v>
      </c>
      <c r="I158" s="85"/>
    </row>
    <row r="159" spans="1:10" ht="15.95" customHeight="1" x14ac:dyDescent="0.3">
      <c r="A159" s="131">
        <f t="shared" si="5"/>
        <v>20308</v>
      </c>
      <c r="B159" s="138" t="s">
        <v>1153</v>
      </c>
      <c r="C159" s="138"/>
      <c r="D159" s="131"/>
      <c r="E159" s="15" t="s">
        <v>145</v>
      </c>
      <c r="F159" s="143" t="s">
        <v>1044</v>
      </c>
      <c r="G159" s="15">
        <f t="shared" si="6"/>
        <v>2</v>
      </c>
      <c r="H159" s="131">
        <v>1</v>
      </c>
      <c r="I159" s="85"/>
    </row>
    <row r="160" spans="1:10" ht="15.95" customHeight="1" x14ac:dyDescent="0.3">
      <c r="A160" s="131">
        <f t="shared" si="5"/>
        <v>20310</v>
      </c>
      <c r="B160" s="138"/>
      <c r="C160" s="138"/>
      <c r="D160" s="131"/>
      <c r="E160" s="15" t="s">
        <v>145</v>
      </c>
      <c r="F160" s="143" t="s">
        <v>1044</v>
      </c>
      <c r="G160" s="15">
        <f t="shared" si="6"/>
        <v>2</v>
      </c>
      <c r="H160" s="131">
        <v>1</v>
      </c>
      <c r="J160" s="8"/>
    </row>
    <row r="161" spans="1:10" ht="15.95" customHeight="1" x14ac:dyDescent="0.3">
      <c r="A161" s="131">
        <f t="shared" si="5"/>
        <v>20312</v>
      </c>
      <c r="B161" s="138" t="s">
        <v>1154</v>
      </c>
      <c r="C161" s="138" t="s">
        <v>1166</v>
      </c>
      <c r="D161" s="131"/>
      <c r="E161" s="15" t="s">
        <v>145</v>
      </c>
      <c r="F161" s="143" t="s">
        <v>1044</v>
      </c>
      <c r="G161" s="15">
        <f t="shared" si="6"/>
        <v>2</v>
      </c>
      <c r="H161" s="131">
        <v>1</v>
      </c>
      <c r="I161" s="85"/>
    </row>
    <row r="162" spans="1:10" ht="15.95" customHeight="1" x14ac:dyDescent="0.3">
      <c r="A162" s="131">
        <f t="shared" si="5"/>
        <v>20314</v>
      </c>
      <c r="B162" s="138" t="s">
        <v>1155</v>
      </c>
      <c r="C162" s="138"/>
      <c r="D162" s="131"/>
      <c r="E162" s="15" t="s">
        <v>145</v>
      </c>
      <c r="F162" s="143" t="s">
        <v>1044</v>
      </c>
      <c r="G162" s="15">
        <f t="shared" si="6"/>
        <v>2</v>
      </c>
      <c r="H162" s="131">
        <v>1</v>
      </c>
      <c r="I162" s="85"/>
    </row>
    <row r="163" spans="1:10" ht="15.95" customHeight="1" x14ac:dyDescent="0.3">
      <c r="A163" s="131">
        <f t="shared" si="5"/>
        <v>20316</v>
      </c>
      <c r="B163" s="138" t="s">
        <v>1156</v>
      </c>
      <c r="C163" s="138"/>
      <c r="D163" s="131"/>
      <c r="E163" s="15" t="s">
        <v>145</v>
      </c>
      <c r="F163" s="143" t="s">
        <v>1044</v>
      </c>
      <c r="G163" s="15">
        <f t="shared" si="6"/>
        <v>2</v>
      </c>
      <c r="H163" s="131">
        <v>1</v>
      </c>
      <c r="I163" s="85"/>
    </row>
    <row r="164" spans="1:10" ht="15.95" customHeight="1" x14ac:dyDescent="0.3">
      <c r="A164" s="131">
        <f t="shared" si="5"/>
        <v>20318</v>
      </c>
      <c r="B164" s="138" t="s">
        <v>1157</v>
      </c>
      <c r="C164" s="138"/>
      <c r="D164" s="131"/>
      <c r="E164" s="15" t="s">
        <v>145</v>
      </c>
      <c r="F164" s="143" t="s">
        <v>1044</v>
      </c>
      <c r="G164" s="15">
        <f t="shared" si="6"/>
        <v>2</v>
      </c>
      <c r="H164" s="131">
        <v>1</v>
      </c>
      <c r="I164" s="85"/>
    </row>
    <row r="165" spans="1:10" ht="15.95" customHeight="1" x14ac:dyDescent="0.3">
      <c r="A165" s="131">
        <f t="shared" si="5"/>
        <v>20320</v>
      </c>
      <c r="B165" s="138" t="s">
        <v>1158</v>
      </c>
      <c r="C165" s="138"/>
      <c r="D165" s="131"/>
      <c r="E165" s="15" t="s">
        <v>145</v>
      </c>
      <c r="F165" s="143" t="s">
        <v>1044</v>
      </c>
      <c r="G165" s="15">
        <f t="shared" si="6"/>
        <v>2</v>
      </c>
      <c r="H165" s="131">
        <v>1</v>
      </c>
      <c r="I165" s="85"/>
    </row>
    <row r="166" spans="1:10" ht="15.95" customHeight="1" x14ac:dyDescent="0.3">
      <c r="A166" s="131">
        <f t="shared" si="5"/>
        <v>20322</v>
      </c>
      <c r="B166" s="138"/>
      <c r="C166" s="138"/>
      <c r="D166" s="131"/>
      <c r="E166" s="15" t="s">
        <v>145</v>
      </c>
      <c r="F166" s="143" t="s">
        <v>1044</v>
      </c>
      <c r="G166" s="15">
        <f t="shared" si="6"/>
        <v>2</v>
      </c>
      <c r="H166" s="131">
        <v>1</v>
      </c>
      <c r="J166" s="8"/>
    </row>
    <row r="167" spans="1:10" ht="15.95" customHeight="1" x14ac:dyDescent="0.3">
      <c r="A167" s="131">
        <f t="shared" si="5"/>
        <v>20324</v>
      </c>
      <c r="B167" s="138" t="s">
        <v>1159</v>
      </c>
      <c r="C167" s="138" t="s">
        <v>1167</v>
      </c>
      <c r="D167" s="131"/>
      <c r="E167" s="15" t="s">
        <v>145</v>
      </c>
      <c r="F167" s="143" t="s">
        <v>1044</v>
      </c>
      <c r="G167" s="15">
        <f t="shared" si="6"/>
        <v>2</v>
      </c>
      <c r="H167" s="131">
        <v>1</v>
      </c>
      <c r="I167" s="85"/>
    </row>
    <row r="168" spans="1:10" ht="15.95" customHeight="1" x14ac:dyDescent="0.3">
      <c r="A168" s="131">
        <f t="shared" si="5"/>
        <v>20326</v>
      </c>
      <c r="B168" s="138" t="s">
        <v>1160</v>
      </c>
      <c r="C168" s="138"/>
      <c r="D168" s="131"/>
      <c r="E168" s="15" t="s">
        <v>145</v>
      </c>
      <c r="F168" s="143" t="s">
        <v>1044</v>
      </c>
      <c r="G168" s="15">
        <f t="shared" si="6"/>
        <v>2</v>
      </c>
      <c r="H168" s="131">
        <v>1</v>
      </c>
      <c r="I168" s="85"/>
    </row>
    <row r="169" spans="1:10" ht="15.95" customHeight="1" x14ac:dyDescent="0.3">
      <c r="A169" s="131">
        <f t="shared" si="5"/>
        <v>20328</v>
      </c>
      <c r="B169" s="138" t="s">
        <v>1161</v>
      </c>
      <c r="C169" s="138"/>
      <c r="D169" s="131"/>
      <c r="E169" s="15" t="s">
        <v>145</v>
      </c>
      <c r="F169" s="143" t="s">
        <v>1044</v>
      </c>
      <c r="G169" s="15">
        <f t="shared" si="6"/>
        <v>2</v>
      </c>
      <c r="H169" s="131">
        <v>1</v>
      </c>
      <c r="I169" s="85"/>
    </row>
    <row r="170" spans="1:10" ht="15.95" customHeight="1" x14ac:dyDescent="0.3">
      <c r="A170" s="131">
        <f t="shared" si="5"/>
        <v>20330</v>
      </c>
      <c r="B170" s="138" t="s">
        <v>1162</v>
      </c>
      <c r="C170" s="138"/>
      <c r="D170" s="131"/>
      <c r="E170" s="15" t="s">
        <v>145</v>
      </c>
      <c r="F170" s="143" t="s">
        <v>1044</v>
      </c>
      <c r="G170" s="15">
        <f t="shared" si="6"/>
        <v>2</v>
      </c>
      <c r="H170" s="131">
        <v>1</v>
      </c>
      <c r="I170" s="85"/>
    </row>
    <row r="171" spans="1:10" ht="15.95" customHeight="1" x14ac:dyDescent="0.3">
      <c r="A171" s="131">
        <f t="shared" si="5"/>
        <v>20332</v>
      </c>
      <c r="B171" s="138" t="s">
        <v>1163</v>
      </c>
      <c r="C171" s="138"/>
      <c r="D171" s="131"/>
      <c r="E171" s="15" t="s">
        <v>145</v>
      </c>
      <c r="F171" s="143" t="s">
        <v>1044</v>
      </c>
      <c r="G171" s="15">
        <f t="shared" si="6"/>
        <v>2</v>
      </c>
      <c r="H171" s="131">
        <v>1</v>
      </c>
      <c r="I171" s="85"/>
    </row>
    <row r="172" spans="1:10" ht="15.95" customHeight="1" x14ac:dyDescent="0.3">
      <c r="A172" s="131">
        <f t="shared" si="5"/>
        <v>20334</v>
      </c>
      <c r="B172" s="138"/>
      <c r="C172" s="138"/>
      <c r="D172" s="131"/>
      <c r="E172" s="15" t="s">
        <v>145</v>
      </c>
      <c r="F172" s="143" t="s">
        <v>1044</v>
      </c>
      <c r="G172" s="15">
        <f t="shared" si="6"/>
        <v>2</v>
      </c>
      <c r="H172" s="131">
        <v>1</v>
      </c>
      <c r="J172" s="8"/>
    </row>
    <row r="173" spans="1:10" ht="15.95" customHeight="1" x14ac:dyDescent="0.3">
      <c r="A173" s="131">
        <f t="shared" si="5"/>
        <v>20336</v>
      </c>
      <c r="B173" s="138" t="s">
        <v>1168</v>
      </c>
      <c r="C173" s="138" t="s">
        <v>1169</v>
      </c>
      <c r="D173" s="131"/>
      <c r="E173" s="15" t="s">
        <v>145</v>
      </c>
      <c r="F173" s="143" t="s">
        <v>1044</v>
      </c>
      <c r="G173" s="15">
        <f t="shared" si="6"/>
        <v>2</v>
      </c>
      <c r="H173" s="131">
        <v>1</v>
      </c>
      <c r="J173" s="8"/>
    </row>
    <row r="174" spans="1:10" ht="15.95" customHeight="1" x14ac:dyDescent="0.3">
      <c r="A174" s="131">
        <f t="shared" si="5"/>
        <v>20338</v>
      </c>
      <c r="B174" s="138" t="s">
        <v>532</v>
      </c>
      <c r="C174" s="138"/>
      <c r="D174" s="131"/>
      <c r="E174" s="15" t="s">
        <v>145</v>
      </c>
      <c r="F174" s="143" t="s">
        <v>1044</v>
      </c>
      <c r="G174" s="15">
        <f t="shared" si="6"/>
        <v>2</v>
      </c>
      <c r="H174" s="131">
        <v>1</v>
      </c>
      <c r="J174" s="8"/>
    </row>
    <row r="175" spans="1:10" ht="15.95" customHeight="1" x14ac:dyDescent="0.3">
      <c r="A175" s="131">
        <f t="shared" si="5"/>
        <v>20340</v>
      </c>
      <c r="B175" s="138" t="s">
        <v>533</v>
      </c>
      <c r="C175" s="138"/>
      <c r="D175" s="131"/>
      <c r="E175" s="15" t="s">
        <v>145</v>
      </c>
      <c r="F175" s="143" t="s">
        <v>1044</v>
      </c>
      <c r="G175" s="15">
        <f t="shared" si="6"/>
        <v>2</v>
      </c>
      <c r="H175" s="131">
        <v>1</v>
      </c>
      <c r="J175" s="8"/>
    </row>
    <row r="176" spans="1:10" ht="15.95" customHeight="1" x14ac:dyDescent="0.3">
      <c r="A176" s="131">
        <f t="shared" si="5"/>
        <v>20342</v>
      </c>
      <c r="B176" s="138" t="s">
        <v>534</v>
      </c>
      <c r="C176" s="138"/>
      <c r="D176" s="131"/>
      <c r="E176" s="15" t="s">
        <v>145</v>
      </c>
      <c r="F176" s="143" t="s">
        <v>1044</v>
      </c>
      <c r="G176" s="15">
        <f t="shared" si="6"/>
        <v>2</v>
      </c>
      <c r="H176" s="131">
        <v>1</v>
      </c>
      <c r="J176" s="8"/>
    </row>
    <row r="177" spans="1:10" ht="15.95" customHeight="1" x14ac:dyDescent="0.3">
      <c r="A177" s="131">
        <f t="shared" si="5"/>
        <v>20344</v>
      </c>
      <c r="B177" s="138" t="s">
        <v>31</v>
      </c>
      <c r="C177" s="138"/>
      <c r="D177" s="131"/>
      <c r="E177" s="15" t="s">
        <v>145</v>
      </c>
      <c r="F177" s="143" t="s">
        <v>1044</v>
      </c>
      <c r="G177" s="15">
        <f t="shared" si="6"/>
        <v>2</v>
      </c>
      <c r="H177" s="131">
        <v>1</v>
      </c>
      <c r="J177" s="8"/>
    </row>
    <row r="178" spans="1:10" ht="15.95" customHeight="1" x14ac:dyDescent="0.3">
      <c r="A178" s="131">
        <f t="shared" si="5"/>
        <v>20346</v>
      </c>
      <c r="B178" s="138"/>
      <c r="C178" s="138"/>
      <c r="D178" s="131"/>
      <c r="E178" s="15" t="s">
        <v>145</v>
      </c>
      <c r="F178" s="143" t="s">
        <v>1044</v>
      </c>
      <c r="G178" s="15">
        <f t="shared" si="6"/>
        <v>2</v>
      </c>
      <c r="H178" s="131">
        <v>1</v>
      </c>
      <c r="J178" s="8"/>
    </row>
    <row r="179" spans="1:10" ht="15.95" customHeight="1" x14ac:dyDescent="0.3">
      <c r="A179" s="131">
        <f t="shared" si="5"/>
        <v>20348</v>
      </c>
      <c r="B179" s="138" t="s">
        <v>1173</v>
      </c>
      <c r="C179" s="138" t="s">
        <v>1170</v>
      </c>
      <c r="D179" s="131"/>
      <c r="E179" s="15" t="s">
        <v>145</v>
      </c>
      <c r="F179" s="143" t="s">
        <v>1044</v>
      </c>
      <c r="G179" s="15">
        <f t="shared" si="6"/>
        <v>2</v>
      </c>
      <c r="H179" s="131">
        <v>1</v>
      </c>
      <c r="J179" s="8"/>
    </row>
    <row r="180" spans="1:10" ht="15.95" customHeight="1" x14ac:dyDescent="0.3">
      <c r="A180" s="131">
        <f t="shared" si="5"/>
        <v>20350</v>
      </c>
      <c r="B180" s="138" t="s">
        <v>532</v>
      </c>
      <c r="C180" s="138"/>
      <c r="D180" s="131"/>
      <c r="E180" s="15" t="s">
        <v>145</v>
      </c>
      <c r="F180" s="143" t="s">
        <v>1044</v>
      </c>
      <c r="G180" s="15">
        <f t="shared" si="6"/>
        <v>2</v>
      </c>
      <c r="H180" s="131">
        <v>1</v>
      </c>
      <c r="J180" s="8"/>
    </row>
    <row r="181" spans="1:10" ht="15.95" customHeight="1" x14ac:dyDescent="0.3">
      <c r="A181" s="131">
        <f t="shared" si="5"/>
        <v>20352</v>
      </c>
      <c r="B181" s="138" t="s">
        <v>533</v>
      </c>
      <c r="C181" s="138"/>
      <c r="D181" s="131"/>
      <c r="E181" s="15" t="s">
        <v>145</v>
      </c>
      <c r="F181" s="143" t="s">
        <v>1044</v>
      </c>
      <c r="G181" s="15">
        <f t="shared" si="6"/>
        <v>2</v>
      </c>
      <c r="H181" s="131">
        <v>1</v>
      </c>
      <c r="J181" s="8"/>
    </row>
    <row r="182" spans="1:10" ht="15.95" customHeight="1" x14ac:dyDescent="0.3">
      <c r="A182" s="131">
        <f t="shared" si="5"/>
        <v>20354</v>
      </c>
      <c r="B182" s="138" t="s">
        <v>534</v>
      </c>
      <c r="C182" s="138"/>
      <c r="D182" s="131"/>
      <c r="E182" s="15" t="s">
        <v>145</v>
      </c>
      <c r="F182" s="143" t="s">
        <v>1044</v>
      </c>
      <c r="G182" s="15">
        <f t="shared" si="6"/>
        <v>2</v>
      </c>
      <c r="H182" s="131">
        <v>1</v>
      </c>
      <c r="J182" s="8"/>
    </row>
    <row r="183" spans="1:10" ht="15.95" customHeight="1" x14ac:dyDescent="0.3">
      <c r="A183" s="131">
        <f t="shared" si="5"/>
        <v>20356</v>
      </c>
      <c r="B183" s="138" t="s">
        <v>31</v>
      </c>
      <c r="C183" s="138"/>
      <c r="D183" s="131"/>
      <c r="E183" s="15" t="s">
        <v>145</v>
      </c>
      <c r="F183" s="143" t="s">
        <v>1044</v>
      </c>
      <c r="G183" s="15">
        <f t="shared" si="6"/>
        <v>2</v>
      </c>
      <c r="H183" s="131">
        <v>1</v>
      </c>
      <c r="J183" s="8"/>
    </row>
    <row r="184" spans="1:10" ht="15.95" customHeight="1" x14ac:dyDescent="0.3">
      <c r="A184" s="131">
        <f t="shared" si="5"/>
        <v>20358</v>
      </c>
      <c r="B184" s="138"/>
      <c r="C184" s="138"/>
      <c r="D184" s="131"/>
      <c r="E184" s="15" t="s">
        <v>145</v>
      </c>
      <c r="F184" s="143" t="s">
        <v>1044</v>
      </c>
      <c r="G184" s="15">
        <f t="shared" si="6"/>
        <v>2</v>
      </c>
      <c r="H184" s="131">
        <v>1</v>
      </c>
      <c r="J184" s="8"/>
    </row>
    <row r="185" spans="1:10" ht="15.95" customHeight="1" x14ac:dyDescent="0.3">
      <c r="A185" s="131">
        <f t="shared" si="5"/>
        <v>20360</v>
      </c>
      <c r="B185" s="138" t="s">
        <v>1174</v>
      </c>
      <c r="C185" s="138" t="s">
        <v>1171</v>
      </c>
      <c r="D185" s="131"/>
      <c r="E185" s="15" t="s">
        <v>145</v>
      </c>
      <c r="F185" s="143" t="s">
        <v>1044</v>
      </c>
      <c r="G185" s="15">
        <f t="shared" si="6"/>
        <v>2</v>
      </c>
      <c r="H185" s="131">
        <v>1</v>
      </c>
      <c r="J185" s="8"/>
    </row>
    <row r="186" spans="1:10" ht="15.95" customHeight="1" x14ac:dyDescent="0.3">
      <c r="A186" s="131">
        <f t="shared" si="5"/>
        <v>20362</v>
      </c>
      <c r="B186" s="138" t="s">
        <v>532</v>
      </c>
      <c r="C186" s="138"/>
      <c r="D186" s="131"/>
      <c r="E186" s="15" t="s">
        <v>145</v>
      </c>
      <c r="F186" s="143" t="s">
        <v>1044</v>
      </c>
      <c r="G186" s="15">
        <f t="shared" si="6"/>
        <v>2</v>
      </c>
      <c r="H186" s="131">
        <v>1</v>
      </c>
      <c r="J186" s="8"/>
    </row>
    <row r="187" spans="1:10" ht="15.95" customHeight="1" x14ac:dyDescent="0.3">
      <c r="A187" s="131">
        <f t="shared" si="5"/>
        <v>20364</v>
      </c>
      <c r="B187" s="138" t="s">
        <v>533</v>
      </c>
      <c r="C187" s="138"/>
      <c r="D187" s="131"/>
      <c r="E187" s="15" t="s">
        <v>145</v>
      </c>
      <c r="F187" s="143" t="s">
        <v>1044</v>
      </c>
      <c r="G187" s="15">
        <f t="shared" si="6"/>
        <v>2</v>
      </c>
      <c r="H187" s="131">
        <v>1</v>
      </c>
      <c r="J187" s="8"/>
    </row>
    <row r="188" spans="1:10" ht="15.95" customHeight="1" x14ac:dyDescent="0.3">
      <c r="A188" s="131">
        <f t="shared" si="5"/>
        <v>20366</v>
      </c>
      <c r="B188" s="138" t="s">
        <v>534</v>
      </c>
      <c r="C188" s="138"/>
      <c r="D188" s="131"/>
      <c r="E188" s="15" t="s">
        <v>145</v>
      </c>
      <c r="F188" s="143" t="s">
        <v>1044</v>
      </c>
      <c r="G188" s="15">
        <f t="shared" si="6"/>
        <v>2</v>
      </c>
      <c r="H188" s="131">
        <v>1</v>
      </c>
      <c r="J188" s="8"/>
    </row>
    <row r="189" spans="1:10" ht="15.95" customHeight="1" x14ac:dyDescent="0.3">
      <c r="A189" s="131">
        <f t="shared" si="5"/>
        <v>20368</v>
      </c>
      <c r="B189" s="138" t="s">
        <v>31</v>
      </c>
      <c r="C189" s="138"/>
      <c r="D189" s="131"/>
      <c r="E189" s="15" t="s">
        <v>145</v>
      </c>
      <c r="F189" s="143" t="s">
        <v>1044</v>
      </c>
      <c r="G189" s="15">
        <f t="shared" si="6"/>
        <v>2</v>
      </c>
      <c r="H189" s="131">
        <v>1</v>
      </c>
      <c r="J189" s="8"/>
    </row>
    <row r="190" spans="1:10" ht="15.95" customHeight="1" x14ac:dyDescent="0.3">
      <c r="A190" s="131">
        <f t="shared" ref="A190:A202" si="10">A189+(G189*H189)</f>
        <v>20370</v>
      </c>
      <c r="B190" s="138"/>
      <c r="C190" s="138"/>
      <c r="D190" s="131"/>
      <c r="E190" s="15" t="s">
        <v>145</v>
      </c>
      <c r="F190" s="143" t="s">
        <v>1044</v>
      </c>
      <c r="G190" s="15">
        <f t="shared" si="6"/>
        <v>2</v>
      </c>
      <c r="H190" s="131">
        <v>1</v>
      </c>
      <c r="J190" s="8"/>
    </row>
    <row r="191" spans="1:10" ht="15.95" customHeight="1" x14ac:dyDescent="0.3">
      <c r="A191" s="131">
        <f t="shared" si="10"/>
        <v>20372</v>
      </c>
      <c r="B191" s="138" t="s">
        <v>1175</v>
      </c>
      <c r="C191" s="138" t="s">
        <v>1172</v>
      </c>
      <c r="D191" s="131"/>
      <c r="E191" s="15" t="s">
        <v>145</v>
      </c>
      <c r="F191" s="143" t="s">
        <v>1044</v>
      </c>
      <c r="G191" s="15">
        <f t="shared" si="6"/>
        <v>2</v>
      </c>
      <c r="H191" s="131">
        <v>1</v>
      </c>
      <c r="J191" s="8"/>
    </row>
    <row r="192" spans="1:10" ht="15.95" customHeight="1" x14ac:dyDescent="0.3">
      <c r="A192" s="131">
        <f t="shared" si="10"/>
        <v>20374</v>
      </c>
      <c r="B192" s="138" t="s">
        <v>532</v>
      </c>
      <c r="C192" s="138"/>
      <c r="D192" s="131"/>
      <c r="E192" s="15" t="s">
        <v>145</v>
      </c>
      <c r="F192" s="143" t="s">
        <v>1044</v>
      </c>
      <c r="G192" s="15">
        <f t="shared" si="6"/>
        <v>2</v>
      </c>
      <c r="H192" s="131">
        <v>1</v>
      </c>
      <c r="J192" s="8"/>
    </row>
    <row r="193" spans="1:10" ht="15.95" customHeight="1" x14ac:dyDescent="0.3">
      <c r="A193" s="131">
        <f t="shared" si="10"/>
        <v>20376</v>
      </c>
      <c r="B193" s="138" t="s">
        <v>533</v>
      </c>
      <c r="C193" s="138"/>
      <c r="D193" s="131"/>
      <c r="E193" s="15" t="s">
        <v>145</v>
      </c>
      <c r="F193" s="143" t="s">
        <v>1044</v>
      </c>
      <c r="G193" s="15">
        <f t="shared" si="6"/>
        <v>2</v>
      </c>
      <c r="H193" s="131">
        <v>1</v>
      </c>
      <c r="J193" s="8"/>
    </row>
    <row r="194" spans="1:10" ht="15.95" customHeight="1" x14ac:dyDescent="0.3">
      <c r="A194" s="131">
        <f t="shared" si="10"/>
        <v>20378</v>
      </c>
      <c r="B194" s="138" t="s">
        <v>534</v>
      </c>
      <c r="C194" s="138"/>
      <c r="D194" s="131"/>
      <c r="E194" s="15" t="s">
        <v>145</v>
      </c>
      <c r="F194" s="143" t="s">
        <v>1044</v>
      </c>
      <c r="G194" s="15">
        <f t="shared" si="6"/>
        <v>2</v>
      </c>
      <c r="H194" s="131">
        <v>1</v>
      </c>
      <c r="J194" s="8"/>
    </row>
    <row r="195" spans="1:10" ht="15.95" customHeight="1" x14ac:dyDescent="0.3">
      <c r="A195" s="131">
        <f t="shared" si="10"/>
        <v>20380</v>
      </c>
      <c r="B195" s="138" t="s">
        <v>31</v>
      </c>
      <c r="C195" s="138"/>
      <c r="D195" s="131"/>
      <c r="E195" s="15" t="s">
        <v>145</v>
      </c>
      <c r="F195" s="143" t="s">
        <v>1044</v>
      </c>
      <c r="G195" s="15">
        <f t="shared" si="6"/>
        <v>2</v>
      </c>
      <c r="H195" s="131">
        <v>1</v>
      </c>
      <c r="J195" s="8"/>
    </row>
    <row r="196" spans="1:10" ht="15.95" customHeight="1" x14ac:dyDescent="0.3">
      <c r="A196" s="131">
        <f t="shared" si="10"/>
        <v>20382</v>
      </c>
      <c r="B196" s="138"/>
      <c r="C196" s="138"/>
      <c r="D196" s="131"/>
      <c r="E196" s="15" t="s">
        <v>145</v>
      </c>
      <c r="F196" s="143" t="s">
        <v>1044</v>
      </c>
      <c r="G196" s="15">
        <f t="shared" si="6"/>
        <v>2</v>
      </c>
      <c r="H196" s="131">
        <v>1</v>
      </c>
      <c r="J196" s="8"/>
    </row>
    <row r="197" spans="1:10" ht="15.95" customHeight="1" x14ac:dyDescent="0.3">
      <c r="A197" s="131">
        <f t="shared" si="10"/>
        <v>20384</v>
      </c>
      <c r="B197" s="144" t="s">
        <v>541</v>
      </c>
      <c r="C197" s="138" t="s">
        <v>1176</v>
      </c>
      <c r="D197" s="143"/>
      <c r="E197" s="143" t="s">
        <v>540</v>
      </c>
      <c r="F197" s="143" t="s">
        <v>1044</v>
      </c>
      <c r="G197" s="143">
        <f t="shared" si="6"/>
        <v>4</v>
      </c>
      <c r="H197" s="143">
        <v>4</v>
      </c>
      <c r="J197" s="8"/>
    </row>
    <row r="198" spans="1:10" ht="15.95" customHeight="1" x14ac:dyDescent="0.3">
      <c r="A198" s="131">
        <f t="shared" si="10"/>
        <v>20400</v>
      </c>
      <c r="B198" s="144" t="s">
        <v>530</v>
      </c>
      <c r="C198" s="138"/>
      <c r="D198" s="143"/>
      <c r="E198" s="143" t="s">
        <v>540</v>
      </c>
      <c r="F198" s="143" t="s">
        <v>1044</v>
      </c>
      <c r="G198" s="143">
        <f t="shared" si="6"/>
        <v>4</v>
      </c>
      <c r="H198" s="143">
        <v>4</v>
      </c>
      <c r="J198" s="8"/>
    </row>
    <row r="199" spans="1:10" ht="15.95" customHeight="1" x14ac:dyDescent="0.3">
      <c r="A199" s="131">
        <f t="shared" si="10"/>
        <v>20416</v>
      </c>
      <c r="B199" s="144" t="s">
        <v>140</v>
      </c>
      <c r="C199" s="138"/>
      <c r="D199" s="143"/>
      <c r="E199" s="143" t="s">
        <v>540</v>
      </c>
      <c r="F199" s="143" t="s">
        <v>1044</v>
      </c>
      <c r="G199" s="143">
        <f t="shared" si="6"/>
        <v>4</v>
      </c>
      <c r="H199" s="143">
        <v>4</v>
      </c>
      <c r="J199" s="8"/>
    </row>
    <row r="200" spans="1:10" ht="15.95" customHeight="1" x14ac:dyDescent="0.3">
      <c r="A200" s="131">
        <f t="shared" si="10"/>
        <v>20432</v>
      </c>
      <c r="B200" s="144" t="s">
        <v>141</v>
      </c>
      <c r="C200" s="138"/>
      <c r="D200" s="143"/>
      <c r="E200" s="143" t="s">
        <v>540</v>
      </c>
      <c r="F200" s="143" t="s">
        <v>1044</v>
      </c>
      <c r="G200" s="143">
        <f t="shared" si="6"/>
        <v>4</v>
      </c>
      <c r="H200" s="143">
        <v>4</v>
      </c>
      <c r="I200" s="86"/>
    </row>
    <row r="201" spans="1:10" ht="15.95" customHeight="1" x14ac:dyDescent="0.3">
      <c r="A201" s="131">
        <f t="shared" si="10"/>
        <v>20448</v>
      </c>
      <c r="B201" s="144" t="s">
        <v>531</v>
      </c>
      <c r="C201" s="138"/>
      <c r="D201" s="143"/>
      <c r="E201" s="143" t="s">
        <v>540</v>
      </c>
      <c r="F201" s="143" t="s">
        <v>1044</v>
      </c>
      <c r="G201" s="143">
        <f t="shared" si="6"/>
        <v>4</v>
      </c>
      <c r="H201" s="143">
        <v>4</v>
      </c>
      <c r="I201" s="86"/>
    </row>
    <row r="202" spans="1:10" ht="15.95" customHeight="1" x14ac:dyDescent="0.3">
      <c r="A202" s="131">
        <f t="shared" si="10"/>
        <v>20464</v>
      </c>
      <c r="B202" s="144"/>
      <c r="C202" s="138"/>
      <c r="D202" s="143"/>
      <c r="E202" s="143" t="s">
        <v>540</v>
      </c>
      <c r="F202" s="143" t="s">
        <v>1044</v>
      </c>
      <c r="G202" s="143">
        <f t="shared" si="6"/>
        <v>4</v>
      </c>
      <c r="H202" s="143">
        <v>4</v>
      </c>
      <c r="I202" s="86"/>
    </row>
    <row r="203" spans="1:10" ht="15.95" customHeight="1" x14ac:dyDescent="0.3">
      <c r="A203" s="162" t="s">
        <v>138</v>
      </c>
      <c r="B203" s="162"/>
      <c r="C203" s="162"/>
      <c r="D203" s="162"/>
      <c r="E203" s="162"/>
      <c r="F203" s="162"/>
      <c r="G203" s="162"/>
      <c r="H203" s="162"/>
      <c r="I203" s="88"/>
    </row>
    <row r="204" spans="1:10" ht="15.95" customHeight="1" x14ac:dyDescent="0.3">
      <c r="A204" s="131">
        <f>A202+(G202*H202)</f>
        <v>20480</v>
      </c>
      <c r="B204" s="138" t="s">
        <v>90</v>
      </c>
      <c r="C204" s="173"/>
      <c r="D204" s="131"/>
      <c r="E204" s="15" t="s">
        <v>91</v>
      </c>
      <c r="F204" s="15">
        <v>3</v>
      </c>
      <c r="G204" s="15">
        <f t="shared" ref="G204:G240" si="11">IF(OR(E204="U16", E204="S16"),1,IF(E204="TS",6,2))</f>
        <v>2</v>
      </c>
      <c r="H204" s="131">
        <v>1</v>
      </c>
      <c r="I204" s="85"/>
    </row>
    <row r="205" spans="1:10" ht="15.95" customHeight="1" x14ac:dyDescent="0.3">
      <c r="A205" s="131">
        <f t="shared" ref="A205:A240" si="12">A204+(G204*H204)</f>
        <v>20482</v>
      </c>
      <c r="B205" s="138" t="s">
        <v>42</v>
      </c>
      <c r="C205" s="173"/>
      <c r="D205" s="131"/>
      <c r="E205" s="15" t="s">
        <v>58</v>
      </c>
      <c r="F205" s="15">
        <v>3</v>
      </c>
      <c r="G205" s="15">
        <f t="shared" si="11"/>
        <v>2</v>
      </c>
      <c r="H205" s="131">
        <v>1</v>
      </c>
      <c r="I205" s="85"/>
    </row>
    <row r="206" spans="1:10" ht="15.95" customHeight="1" x14ac:dyDescent="0.3">
      <c r="A206" s="131">
        <f t="shared" si="12"/>
        <v>20484</v>
      </c>
      <c r="B206" s="138" t="s">
        <v>90</v>
      </c>
      <c r="C206" s="173"/>
      <c r="D206" s="131"/>
      <c r="E206" s="15" t="s">
        <v>91</v>
      </c>
      <c r="F206" s="15">
        <v>3</v>
      </c>
      <c r="G206" s="15">
        <f t="shared" si="11"/>
        <v>2</v>
      </c>
      <c r="H206" s="131">
        <v>1</v>
      </c>
      <c r="I206" s="85"/>
    </row>
    <row r="207" spans="1:10" ht="15.95" customHeight="1" x14ac:dyDescent="0.3">
      <c r="A207" s="131">
        <f t="shared" si="12"/>
        <v>20486</v>
      </c>
      <c r="B207" s="138" t="s">
        <v>43</v>
      </c>
      <c r="C207" s="173"/>
      <c r="D207" s="131"/>
      <c r="E207" s="15" t="s">
        <v>58</v>
      </c>
      <c r="F207" s="15">
        <v>3</v>
      </c>
      <c r="G207" s="15">
        <f t="shared" si="11"/>
        <v>2</v>
      </c>
      <c r="H207" s="131">
        <v>1</v>
      </c>
      <c r="I207" s="85"/>
    </row>
    <row r="208" spans="1:10" ht="15.95" customHeight="1" x14ac:dyDescent="0.3">
      <c r="A208" s="131">
        <f t="shared" si="12"/>
        <v>20488</v>
      </c>
      <c r="B208" s="138" t="s">
        <v>90</v>
      </c>
      <c r="C208" s="173"/>
      <c r="D208" s="131"/>
      <c r="E208" s="15" t="s">
        <v>91</v>
      </c>
      <c r="F208" s="15">
        <v>3</v>
      </c>
      <c r="G208" s="15">
        <f t="shared" si="11"/>
        <v>2</v>
      </c>
      <c r="H208" s="131">
        <v>1</v>
      </c>
      <c r="I208" s="85"/>
    </row>
    <row r="209" spans="1:10" ht="15.95" customHeight="1" x14ac:dyDescent="0.3">
      <c r="A209" s="131">
        <f t="shared" si="12"/>
        <v>20490</v>
      </c>
      <c r="B209" s="138" t="s">
        <v>44</v>
      </c>
      <c r="C209" s="173"/>
      <c r="D209" s="131"/>
      <c r="E209" s="15" t="s">
        <v>58</v>
      </c>
      <c r="F209" s="15">
        <v>3</v>
      </c>
      <c r="G209" s="15">
        <f t="shared" si="11"/>
        <v>2</v>
      </c>
      <c r="H209" s="131">
        <v>1</v>
      </c>
      <c r="I209" s="85"/>
    </row>
    <row r="210" spans="1:10" ht="15.95" customHeight="1" x14ac:dyDescent="0.3">
      <c r="A210" s="131">
        <f t="shared" si="12"/>
        <v>20492</v>
      </c>
      <c r="B210" s="138" t="s">
        <v>90</v>
      </c>
      <c r="C210" s="173"/>
      <c r="D210" s="131"/>
      <c r="E210" s="15" t="s">
        <v>91</v>
      </c>
      <c r="F210" s="15">
        <v>3</v>
      </c>
      <c r="G210" s="15">
        <f t="shared" si="11"/>
        <v>2</v>
      </c>
      <c r="H210" s="131">
        <v>1</v>
      </c>
      <c r="I210" s="85"/>
    </row>
    <row r="211" spans="1:10" ht="15.95" customHeight="1" x14ac:dyDescent="0.3">
      <c r="A211" s="131">
        <f t="shared" si="12"/>
        <v>20494</v>
      </c>
      <c r="B211" s="138" t="s">
        <v>45</v>
      </c>
      <c r="C211" s="173"/>
      <c r="D211" s="131"/>
      <c r="E211" s="15" t="s">
        <v>58</v>
      </c>
      <c r="F211" s="15">
        <v>3</v>
      </c>
      <c r="G211" s="15">
        <f t="shared" si="11"/>
        <v>2</v>
      </c>
      <c r="H211" s="131">
        <v>1</v>
      </c>
      <c r="I211" s="85"/>
    </row>
    <row r="212" spans="1:10" ht="15.95" customHeight="1" x14ac:dyDescent="0.3">
      <c r="A212" s="131">
        <f t="shared" si="12"/>
        <v>20496</v>
      </c>
      <c r="B212" s="138" t="s">
        <v>90</v>
      </c>
      <c r="C212" s="173"/>
      <c r="D212" s="131"/>
      <c r="E212" s="15" t="s">
        <v>91</v>
      </c>
      <c r="F212" s="15">
        <v>3</v>
      </c>
      <c r="G212" s="15">
        <f t="shared" si="11"/>
        <v>2</v>
      </c>
      <c r="H212" s="131">
        <v>1</v>
      </c>
      <c r="I212" s="85"/>
    </row>
    <row r="213" spans="1:10" ht="15.95" customHeight="1" x14ac:dyDescent="0.3">
      <c r="A213" s="131">
        <f t="shared" si="12"/>
        <v>20498</v>
      </c>
      <c r="B213" s="138" t="s">
        <v>134</v>
      </c>
      <c r="C213" s="173"/>
      <c r="D213" s="131"/>
      <c r="E213" s="15" t="s">
        <v>58</v>
      </c>
      <c r="F213" s="15">
        <v>3</v>
      </c>
      <c r="G213" s="15">
        <f t="shared" si="11"/>
        <v>2</v>
      </c>
      <c r="H213" s="131">
        <v>1</v>
      </c>
      <c r="I213" s="85"/>
    </row>
    <row r="214" spans="1:10" ht="15.95" customHeight="1" x14ac:dyDescent="0.3">
      <c r="A214" s="131">
        <f t="shared" si="12"/>
        <v>20500</v>
      </c>
      <c r="B214" s="138" t="s">
        <v>90</v>
      </c>
      <c r="C214" s="173"/>
      <c r="D214" s="131"/>
      <c r="E214" s="15" t="s">
        <v>91</v>
      </c>
      <c r="F214" s="15">
        <v>3</v>
      </c>
      <c r="G214" s="15">
        <f t="shared" si="11"/>
        <v>2</v>
      </c>
      <c r="H214" s="131">
        <v>1</v>
      </c>
      <c r="I214" s="85"/>
    </row>
    <row r="215" spans="1:10" ht="15.95" customHeight="1" x14ac:dyDescent="0.3">
      <c r="A215" s="131">
        <f t="shared" si="12"/>
        <v>20502</v>
      </c>
      <c r="B215" s="138" t="s">
        <v>46</v>
      </c>
      <c r="C215" s="173"/>
      <c r="D215" s="131"/>
      <c r="E215" s="15" t="s">
        <v>58</v>
      </c>
      <c r="F215" s="15">
        <v>3</v>
      </c>
      <c r="G215" s="15">
        <f t="shared" si="11"/>
        <v>2</v>
      </c>
      <c r="H215" s="131">
        <v>1</v>
      </c>
      <c r="I215" s="85"/>
    </row>
    <row r="216" spans="1:10" ht="15.95" customHeight="1" x14ac:dyDescent="0.3">
      <c r="A216" s="131">
        <f t="shared" si="12"/>
        <v>20504</v>
      </c>
      <c r="B216" s="138" t="s">
        <v>90</v>
      </c>
      <c r="C216" s="173"/>
      <c r="D216" s="131"/>
      <c r="E216" s="15" t="s">
        <v>91</v>
      </c>
      <c r="F216" s="15">
        <v>3</v>
      </c>
      <c r="G216" s="15">
        <f t="shared" si="11"/>
        <v>2</v>
      </c>
      <c r="H216" s="131">
        <v>1</v>
      </c>
      <c r="I216" s="85"/>
    </row>
    <row r="217" spans="1:10" ht="15.95" customHeight="1" x14ac:dyDescent="0.3">
      <c r="A217" s="131">
        <f t="shared" si="12"/>
        <v>20506</v>
      </c>
      <c r="B217" s="138" t="s">
        <v>47</v>
      </c>
      <c r="C217" s="173"/>
      <c r="D217" s="131"/>
      <c r="E217" s="15" t="s">
        <v>58</v>
      </c>
      <c r="F217" s="15">
        <v>3</v>
      </c>
      <c r="G217" s="15">
        <f t="shared" si="11"/>
        <v>2</v>
      </c>
      <c r="H217" s="131">
        <v>1</v>
      </c>
      <c r="I217" s="85"/>
    </row>
    <row r="218" spans="1:10" ht="15.95" customHeight="1" x14ac:dyDescent="0.3">
      <c r="A218" s="131">
        <f t="shared" si="12"/>
        <v>20508</v>
      </c>
      <c r="B218" s="138" t="s">
        <v>90</v>
      </c>
      <c r="C218" s="173"/>
      <c r="D218" s="131"/>
      <c r="E218" s="15" t="s">
        <v>91</v>
      </c>
      <c r="F218" s="15">
        <v>3</v>
      </c>
      <c r="G218" s="15">
        <f t="shared" si="11"/>
        <v>2</v>
      </c>
      <c r="H218" s="131">
        <v>1</v>
      </c>
      <c r="I218" s="85"/>
    </row>
    <row r="219" spans="1:10" ht="15.95" customHeight="1" x14ac:dyDescent="0.3">
      <c r="A219" s="131">
        <f t="shared" si="12"/>
        <v>20510</v>
      </c>
      <c r="B219" s="138" t="s">
        <v>48</v>
      </c>
      <c r="C219" s="173"/>
      <c r="D219" s="131"/>
      <c r="E219" s="15" t="s">
        <v>58</v>
      </c>
      <c r="F219" s="15">
        <v>3</v>
      </c>
      <c r="G219" s="15">
        <f t="shared" si="11"/>
        <v>2</v>
      </c>
      <c r="H219" s="131">
        <v>1</v>
      </c>
      <c r="I219" s="85"/>
    </row>
    <row r="220" spans="1:10" ht="15.95" customHeight="1" x14ac:dyDescent="0.3">
      <c r="A220" s="131">
        <f t="shared" si="12"/>
        <v>20512</v>
      </c>
      <c r="B220" s="138" t="s">
        <v>396</v>
      </c>
      <c r="C220" s="138"/>
      <c r="D220" s="131"/>
      <c r="E220" s="15" t="s">
        <v>91</v>
      </c>
      <c r="F220" s="15">
        <v>3</v>
      </c>
      <c r="G220" s="15">
        <f t="shared" si="11"/>
        <v>2</v>
      </c>
      <c r="H220" s="131">
        <v>1</v>
      </c>
      <c r="I220" s="85"/>
    </row>
    <row r="221" spans="1:10" ht="15.95" customHeight="1" x14ac:dyDescent="0.3">
      <c r="A221" s="131">
        <f t="shared" si="12"/>
        <v>20514</v>
      </c>
      <c r="B221" s="138" t="s">
        <v>49</v>
      </c>
      <c r="C221" s="138"/>
      <c r="D221" s="131"/>
      <c r="E221" s="15" t="s">
        <v>58</v>
      </c>
      <c r="F221" s="15">
        <v>3</v>
      </c>
      <c r="G221" s="15">
        <f t="shared" si="11"/>
        <v>2</v>
      </c>
      <c r="H221" s="131">
        <v>1</v>
      </c>
      <c r="I221" s="85"/>
    </row>
    <row r="222" spans="1:10" ht="15.95" customHeight="1" x14ac:dyDescent="0.3">
      <c r="A222" s="131">
        <f t="shared" si="12"/>
        <v>20516</v>
      </c>
      <c r="B222" s="138" t="s">
        <v>50</v>
      </c>
      <c r="C222" s="138"/>
      <c r="D222" s="131"/>
      <c r="E222" s="15" t="s">
        <v>58</v>
      </c>
      <c r="F222" s="15">
        <v>3</v>
      </c>
      <c r="G222" s="15">
        <f t="shared" si="11"/>
        <v>2</v>
      </c>
      <c r="H222" s="131">
        <v>1</v>
      </c>
      <c r="I222" s="85"/>
      <c r="J222" s="139" t="s">
        <v>144</v>
      </c>
    </row>
    <row r="223" spans="1:10" ht="15.95" customHeight="1" x14ac:dyDescent="0.3">
      <c r="A223" s="131">
        <f t="shared" si="12"/>
        <v>20518</v>
      </c>
      <c r="B223" s="138" t="s">
        <v>51</v>
      </c>
      <c r="C223" s="138"/>
      <c r="D223" s="131"/>
      <c r="E223" s="15" t="s">
        <v>58</v>
      </c>
      <c r="F223" s="15">
        <v>3</v>
      </c>
      <c r="G223" s="15">
        <f t="shared" si="11"/>
        <v>2</v>
      </c>
      <c r="H223" s="131">
        <v>1</v>
      </c>
      <c r="I223" s="85"/>
    </row>
    <row r="224" spans="1:10" ht="15.95" customHeight="1" x14ac:dyDescent="0.3">
      <c r="A224" s="131">
        <f t="shared" si="12"/>
        <v>20520</v>
      </c>
      <c r="B224" s="138" t="s">
        <v>52</v>
      </c>
      <c r="C224" s="138"/>
      <c r="D224" s="131"/>
      <c r="E224" s="15" t="s">
        <v>58</v>
      </c>
      <c r="F224" s="15">
        <v>3</v>
      </c>
      <c r="G224" s="15">
        <f t="shared" si="11"/>
        <v>2</v>
      </c>
      <c r="H224" s="131">
        <v>1</v>
      </c>
      <c r="I224" s="85"/>
    </row>
    <row r="225" spans="1:9" ht="15.95" customHeight="1" x14ac:dyDescent="0.3">
      <c r="A225" s="131">
        <f t="shared" si="12"/>
        <v>20522</v>
      </c>
      <c r="B225" s="138" t="s">
        <v>53</v>
      </c>
      <c r="C225" s="138"/>
      <c r="D225" s="131"/>
      <c r="E225" s="15" t="s">
        <v>58</v>
      </c>
      <c r="F225" s="15">
        <v>3</v>
      </c>
      <c r="G225" s="15">
        <f t="shared" si="11"/>
        <v>2</v>
      </c>
      <c r="H225" s="131">
        <v>1</v>
      </c>
      <c r="I225" s="85"/>
    </row>
    <row r="226" spans="1:9" ht="15.95" customHeight="1" x14ac:dyDescent="0.3">
      <c r="A226" s="131">
        <f t="shared" si="12"/>
        <v>20524</v>
      </c>
      <c r="B226" s="138" t="s">
        <v>54</v>
      </c>
      <c r="C226" s="138"/>
      <c r="D226" s="131"/>
      <c r="E226" s="15" t="s">
        <v>58</v>
      </c>
      <c r="F226" s="15">
        <v>3</v>
      </c>
      <c r="G226" s="15">
        <f t="shared" si="11"/>
        <v>2</v>
      </c>
      <c r="H226" s="131">
        <v>1</v>
      </c>
      <c r="I226" s="85"/>
    </row>
    <row r="227" spans="1:9" ht="15.95" customHeight="1" x14ac:dyDescent="0.3">
      <c r="A227" s="131">
        <f t="shared" si="12"/>
        <v>20526</v>
      </c>
      <c r="B227" s="138" t="s">
        <v>55</v>
      </c>
      <c r="C227" s="138"/>
      <c r="D227" s="131"/>
      <c r="E227" s="15" t="s">
        <v>58</v>
      </c>
      <c r="F227" s="15">
        <v>3</v>
      </c>
      <c r="G227" s="15">
        <f t="shared" si="11"/>
        <v>2</v>
      </c>
      <c r="H227" s="131">
        <v>1</v>
      </c>
      <c r="I227" s="85"/>
    </row>
    <row r="228" spans="1:9" ht="15.95" customHeight="1" x14ac:dyDescent="0.3">
      <c r="A228" s="131">
        <f t="shared" si="12"/>
        <v>20528</v>
      </c>
      <c r="B228" s="138" t="s">
        <v>56</v>
      </c>
      <c r="C228" s="138"/>
      <c r="D228" s="131"/>
      <c r="E228" s="15" t="s">
        <v>58</v>
      </c>
      <c r="F228" s="15">
        <v>3</v>
      </c>
      <c r="G228" s="15">
        <f t="shared" si="11"/>
        <v>2</v>
      </c>
      <c r="H228" s="131">
        <v>1</v>
      </c>
      <c r="I228" s="85"/>
    </row>
    <row r="229" spans="1:9" ht="15.95" customHeight="1" x14ac:dyDescent="0.3">
      <c r="A229" s="131">
        <f t="shared" si="12"/>
        <v>20530</v>
      </c>
      <c r="B229" s="138" t="s">
        <v>259</v>
      </c>
      <c r="C229" s="138"/>
      <c r="D229" s="131"/>
      <c r="E229" s="15" t="s">
        <v>58</v>
      </c>
      <c r="F229" s="15">
        <v>3</v>
      </c>
      <c r="G229" s="15">
        <f t="shared" si="11"/>
        <v>2</v>
      </c>
      <c r="H229" s="131">
        <v>1</v>
      </c>
      <c r="I229" s="85"/>
    </row>
    <row r="230" spans="1:9" ht="15.95" customHeight="1" x14ac:dyDescent="0.3">
      <c r="A230" s="131">
        <f t="shared" si="12"/>
        <v>20532</v>
      </c>
      <c r="B230" s="138" t="s">
        <v>260</v>
      </c>
      <c r="C230" s="138"/>
      <c r="D230" s="131"/>
      <c r="E230" s="15" t="s">
        <v>58</v>
      </c>
      <c r="F230" s="15">
        <v>3</v>
      </c>
      <c r="G230" s="15">
        <f t="shared" si="11"/>
        <v>2</v>
      </c>
      <c r="H230" s="131">
        <v>1</v>
      </c>
      <c r="I230" s="85"/>
    </row>
    <row r="231" spans="1:9" ht="15.95" customHeight="1" x14ac:dyDescent="0.3">
      <c r="A231" s="131">
        <f t="shared" si="12"/>
        <v>20534</v>
      </c>
      <c r="B231" s="138" t="s">
        <v>261</v>
      </c>
      <c r="C231" s="138"/>
      <c r="D231" s="131"/>
      <c r="E231" s="15" t="s">
        <v>58</v>
      </c>
      <c r="F231" s="15">
        <v>3</v>
      </c>
      <c r="G231" s="15">
        <f t="shared" si="11"/>
        <v>2</v>
      </c>
      <c r="H231" s="131">
        <v>1</v>
      </c>
      <c r="I231" s="85"/>
    </row>
    <row r="232" spans="1:9" ht="15.95" customHeight="1" x14ac:dyDescent="0.3">
      <c r="A232" s="131">
        <f t="shared" si="12"/>
        <v>20536</v>
      </c>
      <c r="B232" s="138" t="s">
        <v>262</v>
      </c>
      <c r="C232" s="138"/>
      <c r="D232" s="131"/>
      <c r="E232" s="15" t="s">
        <v>58</v>
      </c>
      <c r="F232" s="15">
        <v>3</v>
      </c>
      <c r="G232" s="15">
        <f t="shared" si="11"/>
        <v>2</v>
      </c>
      <c r="H232" s="131">
        <v>1</v>
      </c>
      <c r="I232" s="85"/>
    </row>
    <row r="233" spans="1:9" ht="15.95" customHeight="1" x14ac:dyDescent="0.3">
      <c r="A233" s="131">
        <f t="shared" si="12"/>
        <v>20538</v>
      </c>
      <c r="B233" s="138" t="s">
        <v>263</v>
      </c>
      <c r="C233" s="138"/>
      <c r="D233" s="131"/>
      <c r="E233" s="15" t="s">
        <v>58</v>
      </c>
      <c r="F233" s="15">
        <v>3</v>
      </c>
      <c r="G233" s="15">
        <f t="shared" si="11"/>
        <v>2</v>
      </c>
      <c r="H233" s="131">
        <v>1</v>
      </c>
      <c r="I233" s="85"/>
    </row>
    <row r="234" spans="1:9" ht="15.95" customHeight="1" x14ac:dyDescent="0.3">
      <c r="A234" s="131">
        <f t="shared" si="12"/>
        <v>20540</v>
      </c>
      <c r="B234" s="138" t="s">
        <v>93</v>
      </c>
      <c r="C234" s="138"/>
      <c r="D234" s="131"/>
      <c r="E234" s="15" t="s">
        <v>58</v>
      </c>
      <c r="F234" s="15">
        <v>3</v>
      </c>
      <c r="G234" s="15">
        <f t="shared" si="11"/>
        <v>2</v>
      </c>
      <c r="H234" s="131">
        <v>1</v>
      </c>
      <c r="I234" s="85"/>
    </row>
    <row r="235" spans="1:9" ht="15.95" customHeight="1" x14ac:dyDescent="0.3">
      <c r="A235" s="131">
        <f t="shared" si="12"/>
        <v>20542</v>
      </c>
      <c r="B235" s="138" t="s">
        <v>265</v>
      </c>
      <c r="C235" s="138"/>
      <c r="D235" s="131"/>
      <c r="E235" s="15" t="s">
        <v>58</v>
      </c>
      <c r="F235" s="15">
        <v>3</v>
      </c>
      <c r="G235" s="15">
        <f t="shared" si="11"/>
        <v>2</v>
      </c>
      <c r="H235" s="131">
        <v>1</v>
      </c>
      <c r="I235" s="85"/>
    </row>
    <row r="236" spans="1:9" ht="15.95" customHeight="1" x14ac:dyDescent="0.3">
      <c r="A236" s="131">
        <f t="shared" si="12"/>
        <v>20544</v>
      </c>
      <c r="B236" s="138"/>
      <c r="C236" s="138"/>
      <c r="D236" s="131"/>
      <c r="E236" s="15" t="s">
        <v>58</v>
      </c>
      <c r="F236" s="15">
        <v>3</v>
      </c>
      <c r="G236" s="15">
        <f t="shared" si="11"/>
        <v>2</v>
      </c>
      <c r="H236" s="131">
        <v>1</v>
      </c>
      <c r="I236" s="85"/>
    </row>
    <row r="237" spans="1:9" ht="15.95" customHeight="1" x14ac:dyDescent="0.3">
      <c r="A237" s="131">
        <f t="shared" si="12"/>
        <v>20546</v>
      </c>
      <c r="B237" s="138"/>
      <c r="C237" s="138"/>
      <c r="D237" s="131"/>
      <c r="E237" s="15" t="s">
        <v>58</v>
      </c>
      <c r="F237" s="15">
        <v>3</v>
      </c>
      <c r="G237" s="15">
        <f t="shared" si="11"/>
        <v>2</v>
      </c>
      <c r="H237" s="131">
        <v>1</v>
      </c>
      <c r="I237" s="85"/>
    </row>
    <row r="238" spans="1:9" ht="15.95" customHeight="1" x14ac:dyDescent="0.3">
      <c r="A238" s="131">
        <f t="shared" si="12"/>
        <v>20548</v>
      </c>
      <c r="B238" s="138" t="s">
        <v>560</v>
      </c>
      <c r="C238" s="138"/>
      <c r="D238" s="131"/>
      <c r="E238" s="15" t="s">
        <v>145</v>
      </c>
      <c r="F238" s="15">
        <v>3</v>
      </c>
      <c r="G238" s="15">
        <f t="shared" si="11"/>
        <v>2</v>
      </c>
      <c r="H238" s="131">
        <v>1</v>
      </c>
      <c r="I238" s="85"/>
    </row>
    <row r="239" spans="1:9" ht="15.95" customHeight="1" x14ac:dyDescent="0.3">
      <c r="A239" s="131">
        <f t="shared" si="12"/>
        <v>20550</v>
      </c>
      <c r="B239" s="138" t="s">
        <v>264</v>
      </c>
      <c r="C239" s="138"/>
      <c r="D239" s="131"/>
      <c r="E239" s="15" t="s">
        <v>58</v>
      </c>
      <c r="F239" s="15">
        <v>3</v>
      </c>
      <c r="G239" s="15">
        <f t="shared" si="11"/>
        <v>2</v>
      </c>
      <c r="H239" s="131">
        <v>96</v>
      </c>
      <c r="I239" s="85"/>
    </row>
    <row r="240" spans="1:9" ht="15.95" customHeight="1" x14ac:dyDescent="0.3">
      <c r="A240" s="131">
        <f t="shared" si="12"/>
        <v>20742</v>
      </c>
      <c r="B240" s="138"/>
      <c r="C240" s="138"/>
      <c r="D240" s="131"/>
      <c r="E240" s="15" t="s">
        <v>58</v>
      </c>
      <c r="F240" s="15">
        <v>3</v>
      </c>
      <c r="G240" s="15">
        <f t="shared" si="11"/>
        <v>2</v>
      </c>
      <c r="H240" s="131">
        <v>19</v>
      </c>
      <c r="I240" s="85"/>
    </row>
    <row r="241" spans="1:9" ht="15.95" customHeight="1" x14ac:dyDescent="0.3">
      <c r="A241" s="162" t="s">
        <v>535</v>
      </c>
      <c r="B241" s="162"/>
      <c r="C241" s="162"/>
      <c r="D241" s="162"/>
      <c r="E241" s="162"/>
      <c r="F241" s="162"/>
      <c r="G241" s="162"/>
      <c r="H241" s="162"/>
      <c r="I241" s="88"/>
    </row>
    <row r="242" spans="1:9" ht="15.95" customHeight="1" x14ac:dyDescent="0.3">
      <c r="A242" s="131">
        <f>A240+(G240*H240)</f>
        <v>20780</v>
      </c>
      <c r="B242" s="138" t="s">
        <v>965</v>
      </c>
      <c r="C242" s="138"/>
      <c r="D242" s="131" t="s">
        <v>966</v>
      </c>
      <c r="E242" s="15" t="s">
        <v>436</v>
      </c>
      <c r="F242" s="15">
        <v>3</v>
      </c>
      <c r="G242" s="15">
        <v>2</v>
      </c>
      <c r="H242" s="131">
        <v>1</v>
      </c>
      <c r="I242" s="85"/>
    </row>
    <row r="243" spans="1:9" ht="15.95" customHeight="1" x14ac:dyDescent="0.3">
      <c r="A243" s="131">
        <f t="shared" ref="A243:A269" si="13">A242+(G242*H242)</f>
        <v>20782</v>
      </c>
      <c r="B243" s="138" t="s">
        <v>967</v>
      </c>
      <c r="C243" s="138"/>
      <c r="D243" s="131" t="s">
        <v>966</v>
      </c>
      <c r="E243" s="15" t="s">
        <v>436</v>
      </c>
      <c r="F243" s="15">
        <v>3</v>
      </c>
      <c r="G243" s="15">
        <v>2</v>
      </c>
      <c r="H243" s="131">
        <v>1</v>
      </c>
      <c r="I243" s="85"/>
    </row>
    <row r="244" spans="1:9" ht="15.95" customHeight="1" x14ac:dyDescent="0.3">
      <c r="A244" s="131">
        <f t="shared" si="13"/>
        <v>20784</v>
      </c>
      <c r="B244" s="138" t="s">
        <v>968</v>
      </c>
      <c r="C244" s="138"/>
      <c r="D244" s="131" t="s">
        <v>966</v>
      </c>
      <c r="E244" s="15" t="s">
        <v>436</v>
      </c>
      <c r="F244" s="15">
        <v>3</v>
      </c>
      <c r="G244" s="15">
        <v>2</v>
      </c>
      <c r="H244" s="131">
        <v>1</v>
      </c>
      <c r="I244" s="85"/>
    </row>
    <row r="245" spans="1:9" ht="15.95" customHeight="1" x14ac:dyDescent="0.3">
      <c r="A245" s="131">
        <f t="shared" si="13"/>
        <v>20786</v>
      </c>
      <c r="B245" s="138" t="s">
        <v>969</v>
      </c>
      <c r="C245" s="138"/>
      <c r="D245" s="131" t="s">
        <v>970</v>
      </c>
      <c r="E245" s="15" t="s">
        <v>436</v>
      </c>
      <c r="F245" s="15">
        <v>3</v>
      </c>
      <c r="G245" s="15">
        <v>2</v>
      </c>
      <c r="H245" s="131">
        <v>1</v>
      </c>
      <c r="I245" s="85"/>
    </row>
    <row r="246" spans="1:9" ht="15.95" customHeight="1" x14ac:dyDescent="0.3">
      <c r="A246" s="131">
        <f t="shared" si="13"/>
        <v>20788</v>
      </c>
      <c r="B246" s="138" t="s">
        <v>971</v>
      </c>
      <c r="C246" s="138"/>
      <c r="D246" s="131" t="s">
        <v>970</v>
      </c>
      <c r="E246" s="15" t="s">
        <v>436</v>
      </c>
      <c r="F246" s="15">
        <v>3</v>
      </c>
      <c r="G246" s="15">
        <v>2</v>
      </c>
      <c r="H246" s="131">
        <v>1</v>
      </c>
      <c r="I246" s="85"/>
    </row>
    <row r="247" spans="1:9" ht="15.95" customHeight="1" x14ac:dyDescent="0.3">
      <c r="A247" s="131">
        <f t="shared" si="13"/>
        <v>20790</v>
      </c>
      <c r="B247" s="138" t="s">
        <v>972</v>
      </c>
      <c r="C247" s="138"/>
      <c r="D247" s="131" t="s">
        <v>970</v>
      </c>
      <c r="E247" s="15" t="s">
        <v>436</v>
      </c>
      <c r="F247" s="15">
        <v>3</v>
      </c>
      <c r="G247" s="15">
        <v>2</v>
      </c>
      <c r="H247" s="131">
        <v>1</v>
      </c>
      <c r="I247" s="85"/>
    </row>
    <row r="248" spans="1:9" ht="15.95" customHeight="1" x14ac:dyDescent="0.3">
      <c r="A248" s="131">
        <f t="shared" si="13"/>
        <v>20792</v>
      </c>
      <c r="B248" s="138" t="s">
        <v>973</v>
      </c>
      <c r="C248" s="138"/>
      <c r="D248" s="131" t="s">
        <v>966</v>
      </c>
      <c r="E248" s="15" t="s">
        <v>436</v>
      </c>
      <c r="F248" s="15">
        <v>3</v>
      </c>
      <c r="G248" s="15">
        <v>2</v>
      </c>
      <c r="H248" s="131">
        <v>1</v>
      </c>
      <c r="I248" s="85"/>
    </row>
    <row r="249" spans="1:9" ht="15.95" customHeight="1" x14ac:dyDescent="0.3">
      <c r="A249" s="131">
        <f t="shared" si="13"/>
        <v>20794</v>
      </c>
      <c r="B249" s="138" t="s">
        <v>974</v>
      </c>
      <c r="C249" s="138"/>
      <c r="D249" s="131" t="s">
        <v>966</v>
      </c>
      <c r="E249" s="15" t="s">
        <v>436</v>
      </c>
      <c r="F249" s="15">
        <v>3</v>
      </c>
      <c r="G249" s="15">
        <v>2</v>
      </c>
      <c r="H249" s="131">
        <v>1</v>
      </c>
      <c r="I249" s="85"/>
    </row>
    <row r="250" spans="1:9" ht="15.95" customHeight="1" x14ac:dyDescent="0.3">
      <c r="A250" s="131">
        <f t="shared" si="13"/>
        <v>20796</v>
      </c>
      <c r="B250" s="138" t="s">
        <v>975</v>
      </c>
      <c r="C250" s="138"/>
      <c r="D250" s="131" t="s">
        <v>966</v>
      </c>
      <c r="E250" s="15" t="s">
        <v>436</v>
      </c>
      <c r="F250" s="15">
        <v>3</v>
      </c>
      <c r="G250" s="15">
        <v>2</v>
      </c>
      <c r="H250" s="131">
        <v>1</v>
      </c>
      <c r="I250" s="85"/>
    </row>
    <row r="251" spans="1:9" ht="15.95" customHeight="1" x14ac:dyDescent="0.3">
      <c r="A251" s="131">
        <f t="shared" si="13"/>
        <v>20798</v>
      </c>
      <c r="B251" s="138" t="s">
        <v>976</v>
      </c>
      <c r="C251" s="138"/>
      <c r="D251" s="131" t="s">
        <v>970</v>
      </c>
      <c r="E251" s="15" t="s">
        <v>436</v>
      </c>
      <c r="F251" s="15">
        <v>3</v>
      </c>
      <c r="G251" s="15">
        <v>2</v>
      </c>
      <c r="H251" s="131">
        <v>1</v>
      </c>
      <c r="I251" s="85"/>
    </row>
    <row r="252" spans="1:9" ht="15.95" customHeight="1" x14ac:dyDescent="0.3">
      <c r="A252" s="131">
        <f t="shared" si="13"/>
        <v>20800</v>
      </c>
      <c r="B252" s="138" t="s">
        <v>977</v>
      </c>
      <c r="C252" s="138"/>
      <c r="D252" s="131" t="s">
        <v>970</v>
      </c>
      <c r="E252" s="15" t="s">
        <v>436</v>
      </c>
      <c r="F252" s="15">
        <v>3</v>
      </c>
      <c r="G252" s="15">
        <v>2</v>
      </c>
      <c r="H252" s="131">
        <v>1</v>
      </c>
      <c r="I252" s="85"/>
    </row>
    <row r="253" spans="1:9" ht="15.95" customHeight="1" x14ac:dyDescent="0.3">
      <c r="A253" s="131">
        <f t="shared" si="13"/>
        <v>20802</v>
      </c>
      <c r="B253" s="138" t="s">
        <v>978</v>
      </c>
      <c r="C253" s="138"/>
      <c r="D253" s="131" t="s">
        <v>970</v>
      </c>
      <c r="E253" s="15" t="s">
        <v>436</v>
      </c>
      <c r="F253" s="15">
        <v>3</v>
      </c>
      <c r="G253" s="15">
        <v>2</v>
      </c>
      <c r="H253" s="131">
        <v>1</v>
      </c>
      <c r="I253" s="85"/>
    </row>
    <row r="254" spans="1:9" ht="15.95" customHeight="1" x14ac:dyDescent="0.3">
      <c r="A254" s="131">
        <f t="shared" si="13"/>
        <v>20804</v>
      </c>
      <c r="B254" s="149" t="s">
        <v>979</v>
      </c>
      <c r="C254" s="149" t="s">
        <v>980</v>
      </c>
      <c r="D254" s="150"/>
      <c r="E254" s="150" t="s">
        <v>436</v>
      </c>
      <c r="F254" s="150">
        <v>3</v>
      </c>
      <c r="G254" s="150">
        <v>2</v>
      </c>
      <c r="H254" s="150">
        <v>1</v>
      </c>
      <c r="I254" s="85"/>
    </row>
    <row r="255" spans="1:9" ht="15.95" customHeight="1" x14ac:dyDescent="0.3">
      <c r="A255" s="131">
        <f t="shared" si="13"/>
        <v>20806</v>
      </c>
      <c r="B255" s="149" t="s">
        <v>981</v>
      </c>
      <c r="C255" s="149"/>
      <c r="D255" s="150"/>
      <c r="E255" s="150" t="s">
        <v>436</v>
      </c>
      <c r="F255" s="150">
        <v>3</v>
      </c>
      <c r="G255" s="150">
        <v>2</v>
      </c>
      <c r="H255" s="150">
        <v>1</v>
      </c>
      <c r="I255" s="85"/>
    </row>
    <row r="256" spans="1:9" ht="15.95" customHeight="1" x14ac:dyDescent="0.3">
      <c r="A256" s="131">
        <f t="shared" si="13"/>
        <v>20808</v>
      </c>
      <c r="B256" s="149" t="s">
        <v>982</v>
      </c>
      <c r="C256" s="149"/>
      <c r="D256" s="150"/>
      <c r="E256" s="150" t="s">
        <v>436</v>
      </c>
      <c r="F256" s="150">
        <v>3</v>
      </c>
      <c r="G256" s="150">
        <v>2</v>
      </c>
      <c r="H256" s="150">
        <v>1</v>
      </c>
      <c r="I256" s="85"/>
    </row>
    <row r="257" spans="1:10" ht="15.95" customHeight="1" x14ac:dyDescent="0.3">
      <c r="A257" s="131">
        <f t="shared" si="13"/>
        <v>20810</v>
      </c>
      <c r="B257" s="149" t="s">
        <v>983</v>
      </c>
      <c r="C257" s="149" t="s">
        <v>984</v>
      </c>
      <c r="D257" s="150"/>
      <c r="E257" s="150" t="s">
        <v>436</v>
      </c>
      <c r="F257" s="150">
        <v>3</v>
      </c>
      <c r="G257" s="150">
        <v>2</v>
      </c>
      <c r="H257" s="150">
        <v>1</v>
      </c>
      <c r="I257" s="85"/>
    </row>
    <row r="258" spans="1:10" ht="15.95" customHeight="1" x14ac:dyDescent="0.3">
      <c r="A258" s="131">
        <f t="shared" si="13"/>
        <v>20812</v>
      </c>
      <c r="B258" s="149" t="s">
        <v>985</v>
      </c>
      <c r="C258" s="149"/>
      <c r="D258" s="150"/>
      <c r="E258" s="150" t="s">
        <v>436</v>
      </c>
      <c r="F258" s="150">
        <v>3</v>
      </c>
      <c r="G258" s="150">
        <v>2</v>
      </c>
      <c r="H258" s="150">
        <v>1</v>
      </c>
      <c r="I258" s="85"/>
    </row>
    <row r="259" spans="1:10" ht="15.95" customHeight="1" x14ac:dyDescent="0.3">
      <c r="A259" s="131">
        <f t="shared" si="13"/>
        <v>20814</v>
      </c>
      <c r="B259" s="149" t="s">
        <v>986</v>
      </c>
      <c r="C259" s="149"/>
      <c r="D259" s="150"/>
      <c r="E259" s="150" t="s">
        <v>436</v>
      </c>
      <c r="F259" s="150">
        <v>3</v>
      </c>
      <c r="G259" s="150">
        <v>2</v>
      </c>
      <c r="H259" s="150">
        <v>1</v>
      </c>
      <c r="I259" s="85"/>
    </row>
    <row r="260" spans="1:10" ht="15.95" customHeight="1" x14ac:dyDescent="0.3">
      <c r="A260" s="131">
        <f t="shared" si="13"/>
        <v>20816</v>
      </c>
      <c r="B260" s="149" t="s">
        <v>987</v>
      </c>
      <c r="C260" s="149" t="s">
        <v>988</v>
      </c>
      <c r="D260" s="150"/>
      <c r="E260" s="150" t="s">
        <v>436</v>
      </c>
      <c r="F260" s="150">
        <v>3</v>
      </c>
      <c r="G260" s="150">
        <v>2</v>
      </c>
      <c r="H260" s="150">
        <v>1</v>
      </c>
      <c r="I260" s="85"/>
      <c r="J260" s="139" t="s">
        <v>144</v>
      </c>
    </row>
    <row r="261" spans="1:10" ht="15.95" customHeight="1" x14ac:dyDescent="0.3">
      <c r="A261" s="131">
        <f t="shared" si="13"/>
        <v>20818</v>
      </c>
      <c r="B261" s="149" t="s">
        <v>989</v>
      </c>
      <c r="C261" s="149"/>
      <c r="D261" s="150"/>
      <c r="E261" s="150" t="s">
        <v>436</v>
      </c>
      <c r="F261" s="150">
        <v>3</v>
      </c>
      <c r="G261" s="150">
        <v>2</v>
      </c>
      <c r="H261" s="150">
        <v>1</v>
      </c>
      <c r="I261" s="85"/>
    </row>
    <row r="262" spans="1:10" ht="15.95" customHeight="1" x14ac:dyDescent="0.3">
      <c r="A262" s="131">
        <f t="shared" si="13"/>
        <v>20820</v>
      </c>
      <c r="B262" s="149" t="s">
        <v>990</v>
      </c>
      <c r="C262" s="149"/>
      <c r="D262" s="150"/>
      <c r="E262" s="150" t="s">
        <v>436</v>
      </c>
      <c r="F262" s="150">
        <v>3</v>
      </c>
      <c r="G262" s="150">
        <v>2</v>
      </c>
      <c r="H262" s="150">
        <v>1</v>
      </c>
      <c r="I262" s="85"/>
    </row>
    <row r="263" spans="1:10" ht="27" x14ac:dyDescent="0.3">
      <c r="A263" s="131">
        <f t="shared" si="13"/>
        <v>20822</v>
      </c>
      <c r="B263" s="149" t="s">
        <v>991</v>
      </c>
      <c r="C263" s="149" t="s">
        <v>992</v>
      </c>
      <c r="D263" s="150"/>
      <c r="E263" s="150" t="s">
        <v>436</v>
      </c>
      <c r="F263" s="150">
        <v>3</v>
      </c>
      <c r="G263" s="150">
        <v>2</v>
      </c>
      <c r="H263" s="150">
        <v>1</v>
      </c>
      <c r="I263" s="85"/>
    </row>
    <row r="264" spans="1:10" ht="15.95" customHeight="1" x14ac:dyDescent="0.3">
      <c r="A264" s="131">
        <f t="shared" si="13"/>
        <v>20824</v>
      </c>
      <c r="B264" s="149" t="s">
        <v>993</v>
      </c>
      <c r="C264" s="149"/>
      <c r="D264" s="150"/>
      <c r="E264" s="150" t="s">
        <v>436</v>
      </c>
      <c r="F264" s="150">
        <v>3</v>
      </c>
      <c r="G264" s="150">
        <v>2</v>
      </c>
      <c r="H264" s="150">
        <v>1</v>
      </c>
      <c r="I264" s="85"/>
    </row>
    <row r="265" spans="1:10" ht="15.95" customHeight="1" x14ac:dyDescent="0.3">
      <c r="A265" s="131">
        <f t="shared" si="13"/>
        <v>20826</v>
      </c>
      <c r="B265" s="149" t="s">
        <v>994</v>
      </c>
      <c r="C265" s="149"/>
      <c r="D265" s="150"/>
      <c r="E265" s="150" t="s">
        <v>436</v>
      </c>
      <c r="F265" s="150">
        <v>3</v>
      </c>
      <c r="G265" s="150">
        <v>2</v>
      </c>
      <c r="H265" s="150">
        <v>1</v>
      </c>
      <c r="I265" s="85"/>
    </row>
    <row r="266" spans="1:10" ht="40.5" x14ac:dyDescent="0.3">
      <c r="A266" s="131">
        <f t="shared" si="13"/>
        <v>20828</v>
      </c>
      <c r="B266" s="149" t="s">
        <v>995</v>
      </c>
      <c r="C266" s="149" t="s">
        <v>996</v>
      </c>
      <c r="D266" s="150"/>
      <c r="E266" s="150" t="s">
        <v>436</v>
      </c>
      <c r="F266" s="150">
        <v>3</v>
      </c>
      <c r="G266" s="150">
        <v>2</v>
      </c>
      <c r="H266" s="150">
        <v>1</v>
      </c>
      <c r="I266" s="85"/>
    </row>
    <row r="267" spans="1:10" ht="15.95" customHeight="1" x14ac:dyDescent="0.3">
      <c r="A267" s="131">
        <f t="shared" si="13"/>
        <v>20830</v>
      </c>
      <c r="B267" s="149" t="s">
        <v>997</v>
      </c>
      <c r="C267" s="149"/>
      <c r="D267" s="150"/>
      <c r="E267" s="150" t="s">
        <v>436</v>
      </c>
      <c r="F267" s="150">
        <v>3</v>
      </c>
      <c r="G267" s="150">
        <v>2</v>
      </c>
      <c r="H267" s="150">
        <v>1</v>
      </c>
      <c r="I267" s="85"/>
    </row>
    <row r="268" spans="1:10" ht="15.95" customHeight="1" x14ac:dyDescent="0.3">
      <c r="A268" s="131">
        <f t="shared" si="13"/>
        <v>20832</v>
      </c>
      <c r="B268" s="149" t="s">
        <v>998</v>
      </c>
      <c r="C268" s="149"/>
      <c r="D268" s="150"/>
      <c r="E268" s="150" t="s">
        <v>436</v>
      </c>
      <c r="F268" s="150">
        <v>3</v>
      </c>
      <c r="G268" s="150">
        <v>2</v>
      </c>
      <c r="H268" s="150">
        <v>1</v>
      </c>
      <c r="I268" s="85"/>
    </row>
    <row r="269" spans="1:10" ht="15.95" customHeight="1" x14ac:dyDescent="0.3">
      <c r="A269" s="131">
        <f t="shared" si="13"/>
        <v>20834</v>
      </c>
      <c r="B269" s="138"/>
      <c r="C269" s="138"/>
      <c r="D269" s="131"/>
      <c r="E269" s="15" t="s">
        <v>436</v>
      </c>
      <c r="F269" s="15">
        <v>3</v>
      </c>
      <c r="G269" s="15">
        <v>2</v>
      </c>
      <c r="H269" s="131">
        <v>23</v>
      </c>
      <c r="I269" s="85"/>
    </row>
    <row r="270" spans="1:10" ht="15.95" customHeight="1" x14ac:dyDescent="0.3">
      <c r="A270" s="162" t="s">
        <v>685</v>
      </c>
      <c r="B270" s="162"/>
      <c r="C270" s="162"/>
      <c r="D270" s="162"/>
      <c r="E270" s="162"/>
      <c r="F270" s="162"/>
      <c r="G270" s="162"/>
      <c r="H270" s="162"/>
      <c r="I270" s="88"/>
    </row>
    <row r="271" spans="1:10" ht="15.95" customHeight="1" x14ac:dyDescent="0.3">
      <c r="A271" s="131">
        <f>A269+(G269*H269)</f>
        <v>20880</v>
      </c>
      <c r="B271" s="138" t="s">
        <v>746</v>
      </c>
      <c r="C271" s="138"/>
      <c r="D271" s="131"/>
      <c r="E271" s="15" t="s">
        <v>91</v>
      </c>
      <c r="F271" s="15">
        <v>3</v>
      </c>
      <c r="G271" s="15">
        <f>IF(OR(D271="U16", D271="S16"),1,IF(D271="TS",6,2))</f>
        <v>2</v>
      </c>
      <c r="H271" s="131">
        <v>1</v>
      </c>
      <c r="I271" s="85"/>
    </row>
    <row r="272" spans="1:10" ht="15.95" customHeight="1" x14ac:dyDescent="0.3">
      <c r="A272" s="131">
        <f t="shared" ref="A272:A289" si="14">A271+(G271*H271)</f>
        <v>20882</v>
      </c>
      <c r="B272" s="138" t="s">
        <v>747</v>
      </c>
      <c r="C272" s="138"/>
      <c r="D272" s="131"/>
      <c r="E272" s="15" t="s">
        <v>91</v>
      </c>
      <c r="F272" s="15">
        <v>3</v>
      </c>
      <c r="G272" s="15">
        <f>IF(OR(D272="U16", D272="S16"),1,IF(D272="TS",6,2))</f>
        <v>2</v>
      </c>
      <c r="H272" s="131">
        <v>1</v>
      </c>
      <c r="I272" s="85"/>
    </row>
    <row r="273" spans="1:10" ht="405" x14ac:dyDescent="0.3">
      <c r="A273" s="131">
        <f t="shared" si="14"/>
        <v>20884</v>
      </c>
      <c r="B273" s="138" t="s">
        <v>748</v>
      </c>
      <c r="C273" s="138" t="s">
        <v>1089</v>
      </c>
      <c r="D273" s="33"/>
      <c r="E273" s="15" t="s">
        <v>145</v>
      </c>
      <c r="F273" s="15">
        <v>3</v>
      </c>
      <c r="G273" s="15">
        <f>IF(OR(D273="U16", D273="S16"),1,IF(D273="TS",6,2))</f>
        <v>2</v>
      </c>
      <c r="H273" s="131">
        <v>1</v>
      </c>
      <c r="I273" s="85"/>
    </row>
    <row r="274" spans="1:10" ht="15.95" customHeight="1" x14ac:dyDescent="0.3">
      <c r="A274" s="131">
        <f t="shared" si="14"/>
        <v>20886</v>
      </c>
      <c r="B274" s="138" t="s">
        <v>749</v>
      </c>
      <c r="C274" s="138">
        <v>0</v>
      </c>
      <c r="D274" s="131"/>
      <c r="E274" s="15" t="s">
        <v>123</v>
      </c>
      <c r="F274" s="15">
        <v>3</v>
      </c>
      <c r="G274" s="15">
        <v>1</v>
      </c>
      <c r="H274" s="131">
        <v>1</v>
      </c>
      <c r="I274" s="85"/>
      <c r="J274" s="139" t="s">
        <v>125</v>
      </c>
    </row>
    <row r="275" spans="1:10" ht="15.95" customHeight="1" x14ac:dyDescent="0.3">
      <c r="A275" s="131">
        <f t="shared" si="14"/>
        <v>20887</v>
      </c>
      <c r="B275" s="138" t="s">
        <v>750</v>
      </c>
      <c r="C275" s="138">
        <v>1</v>
      </c>
      <c r="D275" s="131"/>
      <c r="E275" s="15" t="s">
        <v>123</v>
      </c>
      <c r="F275" s="15">
        <v>3</v>
      </c>
      <c r="G275" s="15">
        <v>1</v>
      </c>
      <c r="H275" s="131">
        <v>1</v>
      </c>
      <c r="I275" s="85"/>
      <c r="J275" s="139" t="s">
        <v>126</v>
      </c>
    </row>
    <row r="276" spans="1:10" ht="15.95" customHeight="1" x14ac:dyDescent="0.3">
      <c r="A276" s="131">
        <f t="shared" si="14"/>
        <v>20888</v>
      </c>
      <c r="B276" s="138" t="s">
        <v>751</v>
      </c>
      <c r="C276" s="173">
        <v>2</v>
      </c>
      <c r="D276" s="131"/>
      <c r="E276" s="15" t="s">
        <v>123</v>
      </c>
      <c r="F276" s="15">
        <v>3</v>
      </c>
      <c r="G276" s="15">
        <v>1</v>
      </c>
      <c r="H276" s="131">
        <v>1</v>
      </c>
      <c r="I276" s="85"/>
    </row>
    <row r="277" spans="1:10" ht="15.95" customHeight="1" x14ac:dyDescent="0.3">
      <c r="A277" s="131">
        <f t="shared" si="14"/>
        <v>20889</v>
      </c>
      <c r="B277" s="138" t="s">
        <v>752</v>
      </c>
      <c r="C277" s="173"/>
      <c r="D277" s="131"/>
      <c r="E277" s="15" t="s">
        <v>123</v>
      </c>
      <c r="F277" s="15">
        <v>3</v>
      </c>
      <c r="G277" s="15">
        <v>1</v>
      </c>
      <c r="H277" s="131">
        <v>1</v>
      </c>
      <c r="I277" s="85"/>
    </row>
    <row r="278" spans="1:10" ht="15.95" customHeight="1" x14ac:dyDescent="0.3">
      <c r="A278" s="131">
        <f t="shared" si="14"/>
        <v>20890</v>
      </c>
      <c r="B278" s="138" t="s">
        <v>753</v>
      </c>
      <c r="C278" s="173"/>
      <c r="D278" s="131"/>
      <c r="E278" s="15" t="s">
        <v>123</v>
      </c>
      <c r="F278" s="15">
        <v>3</v>
      </c>
      <c r="G278" s="15">
        <v>1</v>
      </c>
      <c r="H278" s="131">
        <v>1</v>
      </c>
      <c r="I278" s="85"/>
      <c r="J278" s="139" t="s">
        <v>125</v>
      </c>
    </row>
    <row r="279" spans="1:10" ht="15.95" customHeight="1" x14ac:dyDescent="0.3">
      <c r="A279" s="131">
        <f t="shared" si="14"/>
        <v>20891</v>
      </c>
      <c r="B279" s="138" t="s">
        <v>754</v>
      </c>
      <c r="C279" s="173">
        <v>3</v>
      </c>
      <c r="D279" s="131"/>
      <c r="E279" s="15" t="s">
        <v>123</v>
      </c>
      <c r="F279" s="15">
        <v>3</v>
      </c>
      <c r="G279" s="15">
        <v>1</v>
      </c>
      <c r="H279" s="131">
        <v>1</v>
      </c>
      <c r="I279" s="85"/>
    </row>
    <row r="280" spans="1:10" ht="15.95" customHeight="1" x14ac:dyDescent="0.3">
      <c r="A280" s="131">
        <f t="shared" si="14"/>
        <v>20892</v>
      </c>
      <c r="B280" s="138" t="s">
        <v>755</v>
      </c>
      <c r="C280" s="173"/>
      <c r="D280" s="131"/>
      <c r="E280" s="15" t="s">
        <v>123</v>
      </c>
      <c r="F280" s="15">
        <v>3</v>
      </c>
      <c r="G280" s="15">
        <v>1</v>
      </c>
      <c r="H280" s="131">
        <v>1</v>
      </c>
      <c r="I280" s="85"/>
    </row>
    <row r="281" spans="1:10" ht="15.95" customHeight="1" x14ac:dyDescent="0.3">
      <c r="A281" s="131">
        <f t="shared" si="14"/>
        <v>20893</v>
      </c>
      <c r="B281" s="138" t="s">
        <v>756</v>
      </c>
      <c r="C281" s="173"/>
      <c r="D281" s="131"/>
      <c r="E281" s="15" t="s">
        <v>123</v>
      </c>
      <c r="F281" s="15">
        <v>3</v>
      </c>
      <c r="G281" s="15">
        <v>1</v>
      </c>
      <c r="H281" s="131">
        <v>1</v>
      </c>
      <c r="I281" s="85"/>
      <c r="J281" s="139" t="s">
        <v>126</v>
      </c>
    </row>
    <row r="282" spans="1:10" ht="15.95" customHeight="1" x14ac:dyDescent="0.3">
      <c r="A282" s="131">
        <f t="shared" si="14"/>
        <v>20894</v>
      </c>
      <c r="B282" s="138" t="s">
        <v>757</v>
      </c>
      <c r="C282" s="138">
        <v>4</v>
      </c>
      <c r="D282" s="131"/>
      <c r="E282" s="15" t="s">
        <v>123</v>
      </c>
      <c r="F282" s="15">
        <v>3</v>
      </c>
      <c r="G282" s="15">
        <v>1</v>
      </c>
      <c r="H282" s="131">
        <v>1</v>
      </c>
      <c r="I282" s="85"/>
    </row>
    <row r="283" spans="1:10" ht="15.95" customHeight="1" x14ac:dyDescent="0.3">
      <c r="A283" s="15">
        <f t="shared" si="14"/>
        <v>20895</v>
      </c>
      <c r="B283" s="138" t="s">
        <v>758</v>
      </c>
      <c r="C283" s="173">
        <v>5</v>
      </c>
      <c r="D283" s="131"/>
      <c r="E283" s="15" t="s">
        <v>123</v>
      </c>
      <c r="F283" s="15">
        <v>3</v>
      </c>
      <c r="G283" s="15">
        <v>1</v>
      </c>
      <c r="H283" s="131">
        <v>1</v>
      </c>
      <c r="I283" s="85"/>
    </row>
    <row r="284" spans="1:10" ht="15.95" customHeight="1" x14ac:dyDescent="0.3">
      <c r="A284" s="15">
        <f t="shared" si="14"/>
        <v>20896</v>
      </c>
      <c r="B284" s="138" t="s">
        <v>759</v>
      </c>
      <c r="C284" s="173"/>
      <c r="D284" s="131"/>
      <c r="E284" s="15" t="s">
        <v>123</v>
      </c>
      <c r="F284" s="15">
        <v>3</v>
      </c>
      <c r="G284" s="15">
        <v>1</v>
      </c>
      <c r="H284" s="131">
        <v>1</v>
      </c>
      <c r="I284" s="85"/>
      <c r="J284" s="139" t="s">
        <v>126</v>
      </c>
    </row>
    <row r="285" spans="1:10" ht="15.95" customHeight="1" x14ac:dyDescent="0.3">
      <c r="A285" s="15">
        <f t="shared" si="14"/>
        <v>20897</v>
      </c>
      <c r="B285" s="138" t="s">
        <v>760</v>
      </c>
      <c r="C285" s="173"/>
      <c r="D285" s="131"/>
      <c r="E285" s="15" t="s">
        <v>123</v>
      </c>
      <c r="F285" s="15">
        <v>3</v>
      </c>
      <c r="G285" s="15">
        <v>1</v>
      </c>
      <c r="H285" s="131">
        <v>1</v>
      </c>
      <c r="I285" s="85"/>
    </row>
    <row r="286" spans="1:10" ht="15.95" customHeight="1" x14ac:dyDescent="0.3">
      <c r="A286" s="15">
        <f t="shared" si="14"/>
        <v>20898</v>
      </c>
      <c r="B286" s="138" t="s">
        <v>761</v>
      </c>
      <c r="C286" s="173">
        <v>6</v>
      </c>
      <c r="D286" s="131"/>
      <c r="E286" s="15" t="s">
        <v>123</v>
      </c>
      <c r="F286" s="15">
        <v>3</v>
      </c>
      <c r="G286" s="15">
        <v>1</v>
      </c>
      <c r="H286" s="131">
        <v>1</v>
      </c>
      <c r="I286" s="85"/>
    </row>
    <row r="287" spans="1:10" ht="15.95" customHeight="1" x14ac:dyDescent="0.3">
      <c r="A287" s="15">
        <f t="shared" si="14"/>
        <v>20899</v>
      </c>
      <c r="B287" s="138" t="s">
        <v>762</v>
      </c>
      <c r="C287" s="173"/>
      <c r="D287" s="131"/>
      <c r="E287" s="15" t="s">
        <v>123</v>
      </c>
      <c r="F287" s="15">
        <v>3</v>
      </c>
      <c r="G287" s="15">
        <v>1</v>
      </c>
      <c r="H287" s="131">
        <v>1</v>
      </c>
      <c r="I287" s="85"/>
      <c r="J287" s="139" t="s">
        <v>126</v>
      </c>
    </row>
    <row r="288" spans="1:10" ht="15.95" customHeight="1" x14ac:dyDescent="0.3">
      <c r="A288" s="15">
        <f t="shared" si="14"/>
        <v>20900</v>
      </c>
      <c r="B288" s="138" t="s">
        <v>763</v>
      </c>
      <c r="C288" s="173"/>
      <c r="D288" s="131"/>
      <c r="E288" s="15" t="s">
        <v>123</v>
      </c>
      <c r="F288" s="15">
        <v>3</v>
      </c>
      <c r="G288" s="15">
        <v>1</v>
      </c>
      <c r="H288" s="131">
        <v>1</v>
      </c>
      <c r="I288" s="85"/>
    </row>
    <row r="289" spans="1:10" ht="15.95" customHeight="1" x14ac:dyDescent="0.3">
      <c r="A289" s="131">
        <f t="shared" si="14"/>
        <v>20901</v>
      </c>
      <c r="B289" s="149" t="s">
        <v>764</v>
      </c>
      <c r="C289" s="184">
        <v>7</v>
      </c>
      <c r="D289" s="150"/>
      <c r="E289" s="150" t="s">
        <v>123</v>
      </c>
      <c r="F289" s="150">
        <v>3</v>
      </c>
      <c r="G289" s="150">
        <v>1</v>
      </c>
      <c r="H289" s="150">
        <v>1</v>
      </c>
      <c r="I289" s="91"/>
    </row>
    <row r="290" spans="1:10" ht="15.95" customHeight="1" x14ac:dyDescent="0.3">
      <c r="A290" s="131">
        <f>A289+(G289*H289)</f>
        <v>20902</v>
      </c>
      <c r="B290" s="149" t="s">
        <v>765</v>
      </c>
      <c r="C290" s="184"/>
      <c r="D290" s="150"/>
      <c r="E290" s="150" t="s">
        <v>123</v>
      </c>
      <c r="F290" s="150">
        <v>3</v>
      </c>
      <c r="G290" s="150">
        <v>1</v>
      </c>
      <c r="H290" s="150">
        <v>1</v>
      </c>
      <c r="I290" s="91"/>
      <c r="J290" s="139" t="s">
        <v>126</v>
      </c>
    </row>
    <row r="291" spans="1:10" ht="15.95" customHeight="1" x14ac:dyDescent="0.3">
      <c r="A291" s="131">
        <f>A290+(G290*H290)</f>
        <v>20903</v>
      </c>
      <c r="B291" s="149" t="s">
        <v>766</v>
      </c>
      <c r="C291" s="184"/>
      <c r="D291" s="150"/>
      <c r="E291" s="150" t="s">
        <v>123</v>
      </c>
      <c r="F291" s="150">
        <v>3</v>
      </c>
      <c r="G291" s="150">
        <v>1</v>
      </c>
      <c r="H291" s="150">
        <v>1</v>
      </c>
      <c r="I291" s="91"/>
    </row>
    <row r="292" spans="1:10" ht="15.95" customHeight="1" x14ac:dyDescent="0.3">
      <c r="A292" s="131">
        <f>A291+(G291*H291)</f>
        <v>20904</v>
      </c>
      <c r="B292" s="149" t="s">
        <v>767</v>
      </c>
      <c r="C292" s="184">
        <v>8</v>
      </c>
      <c r="D292" s="150"/>
      <c r="E292" s="150" t="s">
        <v>123</v>
      </c>
      <c r="F292" s="150">
        <v>3</v>
      </c>
      <c r="G292" s="150">
        <v>1</v>
      </c>
      <c r="H292" s="150">
        <v>1</v>
      </c>
      <c r="I292" s="91"/>
    </row>
    <row r="293" spans="1:10" ht="15.95" customHeight="1" x14ac:dyDescent="0.3">
      <c r="A293" s="131">
        <f>A292+(G292*H292)</f>
        <v>20905</v>
      </c>
      <c r="B293" s="149" t="s">
        <v>768</v>
      </c>
      <c r="C293" s="184"/>
      <c r="D293" s="150"/>
      <c r="E293" s="150" t="s">
        <v>123</v>
      </c>
      <c r="F293" s="150">
        <v>3</v>
      </c>
      <c r="G293" s="150">
        <v>1</v>
      </c>
      <c r="H293" s="150">
        <v>1</v>
      </c>
      <c r="I293" s="91"/>
      <c r="J293" s="139" t="s">
        <v>125</v>
      </c>
    </row>
    <row r="294" spans="1:10" ht="15.95" customHeight="1" x14ac:dyDescent="0.3">
      <c r="A294" s="131">
        <f>A293+(G293*H293)</f>
        <v>20906</v>
      </c>
      <c r="B294" s="149" t="s">
        <v>769</v>
      </c>
      <c r="C294" s="184"/>
      <c r="D294" s="150"/>
      <c r="E294" s="150" t="s">
        <v>123</v>
      </c>
      <c r="F294" s="150">
        <v>3</v>
      </c>
      <c r="G294" s="150">
        <v>1</v>
      </c>
      <c r="H294" s="150">
        <v>1</v>
      </c>
      <c r="I294" s="91"/>
    </row>
    <row r="295" spans="1:10" ht="15.95" customHeight="1" x14ac:dyDescent="0.3">
      <c r="A295" s="131">
        <f t="shared" ref="A295:A317" si="15">A294+(G294*H294)</f>
        <v>20907</v>
      </c>
      <c r="B295" s="149" t="s">
        <v>770</v>
      </c>
      <c r="C295" s="184">
        <v>9</v>
      </c>
      <c r="D295" s="150"/>
      <c r="E295" s="150" t="s">
        <v>123</v>
      </c>
      <c r="F295" s="150">
        <v>3</v>
      </c>
      <c r="G295" s="150">
        <v>1</v>
      </c>
      <c r="H295" s="150">
        <v>1</v>
      </c>
      <c r="I295" s="91"/>
    </row>
    <row r="296" spans="1:10" ht="15.95" customHeight="1" x14ac:dyDescent="0.3">
      <c r="A296" s="131">
        <f t="shared" si="15"/>
        <v>20908</v>
      </c>
      <c r="B296" s="149" t="s">
        <v>771</v>
      </c>
      <c r="C296" s="184"/>
      <c r="D296" s="150"/>
      <c r="E296" s="150" t="s">
        <v>123</v>
      </c>
      <c r="F296" s="150">
        <v>3</v>
      </c>
      <c r="G296" s="150">
        <v>1</v>
      </c>
      <c r="H296" s="150">
        <v>1</v>
      </c>
      <c r="I296" s="91"/>
      <c r="J296" s="139" t="s">
        <v>125</v>
      </c>
    </row>
    <row r="297" spans="1:10" ht="15.95" customHeight="1" x14ac:dyDescent="0.3">
      <c r="A297" s="131">
        <f t="shared" si="15"/>
        <v>20909</v>
      </c>
      <c r="B297" s="149" t="s">
        <v>772</v>
      </c>
      <c r="C297" s="184"/>
      <c r="D297" s="150"/>
      <c r="E297" s="150" t="s">
        <v>123</v>
      </c>
      <c r="F297" s="150">
        <v>3</v>
      </c>
      <c r="G297" s="150">
        <v>1</v>
      </c>
      <c r="H297" s="150">
        <v>1</v>
      </c>
      <c r="I297" s="91"/>
    </row>
    <row r="298" spans="1:10" ht="15.95" customHeight="1" x14ac:dyDescent="0.3">
      <c r="A298" s="131">
        <f t="shared" si="15"/>
        <v>20910</v>
      </c>
      <c r="B298" s="138" t="s">
        <v>773</v>
      </c>
      <c r="C298" s="173"/>
      <c r="D298" s="131"/>
      <c r="E298" s="15" t="s">
        <v>123</v>
      </c>
      <c r="F298" s="15">
        <v>3</v>
      </c>
      <c r="G298" s="15">
        <v>1</v>
      </c>
      <c r="H298" s="131">
        <v>1</v>
      </c>
      <c r="I298" s="85"/>
    </row>
    <row r="299" spans="1:10" ht="15.95" customHeight="1" x14ac:dyDescent="0.3">
      <c r="A299" s="131">
        <f t="shared" si="15"/>
        <v>20911</v>
      </c>
      <c r="B299" s="138" t="s">
        <v>774</v>
      </c>
      <c r="C299" s="173"/>
      <c r="D299" s="131"/>
      <c r="E299" s="15" t="s">
        <v>123</v>
      </c>
      <c r="F299" s="15">
        <v>3</v>
      </c>
      <c r="G299" s="15">
        <v>1</v>
      </c>
      <c r="H299" s="131">
        <v>1</v>
      </c>
      <c r="I299" s="85"/>
      <c r="J299" s="139" t="s">
        <v>127</v>
      </c>
    </row>
    <row r="300" spans="1:10" ht="15.95" customHeight="1" x14ac:dyDescent="0.3">
      <c r="A300" s="131">
        <f t="shared" si="15"/>
        <v>20912</v>
      </c>
      <c r="B300" s="138" t="s">
        <v>775</v>
      </c>
      <c r="C300" s="173"/>
      <c r="D300" s="131"/>
      <c r="E300" s="15" t="s">
        <v>123</v>
      </c>
      <c r="F300" s="15">
        <v>3</v>
      </c>
      <c r="G300" s="15">
        <v>1</v>
      </c>
      <c r="H300" s="131">
        <v>1</v>
      </c>
      <c r="I300" s="85"/>
    </row>
    <row r="301" spans="1:10" ht="15.95" customHeight="1" x14ac:dyDescent="0.3">
      <c r="A301" s="131">
        <f t="shared" si="15"/>
        <v>20913</v>
      </c>
      <c r="B301" s="138" t="s">
        <v>776</v>
      </c>
      <c r="C301" s="173"/>
      <c r="D301" s="131"/>
      <c r="E301" s="15" t="s">
        <v>123</v>
      </c>
      <c r="F301" s="15">
        <v>3</v>
      </c>
      <c r="G301" s="15">
        <v>1</v>
      </c>
      <c r="H301" s="131">
        <v>1</v>
      </c>
      <c r="I301" s="85"/>
    </row>
    <row r="302" spans="1:10" ht="15.95" customHeight="1" x14ac:dyDescent="0.3">
      <c r="A302" s="131">
        <f t="shared" si="15"/>
        <v>20914</v>
      </c>
      <c r="B302" s="138" t="s">
        <v>777</v>
      </c>
      <c r="C302" s="173"/>
      <c r="D302" s="131"/>
      <c r="E302" s="15" t="s">
        <v>123</v>
      </c>
      <c r="F302" s="15">
        <v>3</v>
      </c>
      <c r="G302" s="15">
        <v>1</v>
      </c>
      <c r="H302" s="131">
        <v>1</v>
      </c>
      <c r="I302" s="85"/>
    </row>
    <row r="303" spans="1:10" ht="15.95" customHeight="1" x14ac:dyDescent="0.3">
      <c r="A303" s="131">
        <f t="shared" si="15"/>
        <v>20915</v>
      </c>
      <c r="B303" s="138" t="s">
        <v>778</v>
      </c>
      <c r="C303" s="173"/>
      <c r="D303" s="131"/>
      <c r="E303" s="15" t="s">
        <v>123</v>
      </c>
      <c r="F303" s="15">
        <v>3</v>
      </c>
      <c r="G303" s="15">
        <v>1</v>
      </c>
      <c r="H303" s="131">
        <v>1</v>
      </c>
      <c r="I303" s="85"/>
    </row>
    <row r="304" spans="1:10" ht="15.95" customHeight="1" x14ac:dyDescent="0.3">
      <c r="A304" s="131">
        <f t="shared" si="15"/>
        <v>20916</v>
      </c>
      <c r="B304" s="138" t="s">
        <v>779</v>
      </c>
      <c r="C304" s="173"/>
      <c r="D304" s="131"/>
      <c r="E304" s="15" t="s">
        <v>123</v>
      </c>
      <c r="F304" s="15">
        <v>3</v>
      </c>
      <c r="G304" s="15">
        <v>1</v>
      </c>
      <c r="H304" s="131">
        <v>1</v>
      </c>
      <c r="I304" s="85"/>
    </row>
    <row r="305" spans="1:9" ht="15.95" customHeight="1" x14ac:dyDescent="0.3">
      <c r="A305" s="131">
        <f t="shared" si="15"/>
        <v>20917</v>
      </c>
      <c r="B305" s="138" t="s">
        <v>780</v>
      </c>
      <c r="C305" s="173"/>
      <c r="D305" s="131"/>
      <c r="E305" s="15" t="s">
        <v>123</v>
      </c>
      <c r="F305" s="15">
        <v>3</v>
      </c>
      <c r="G305" s="15">
        <v>1</v>
      </c>
      <c r="H305" s="131">
        <v>1</v>
      </c>
      <c r="I305" s="85"/>
    </row>
    <row r="306" spans="1:9" ht="15.95" customHeight="1" x14ac:dyDescent="0.3">
      <c r="A306" s="131">
        <f t="shared" si="15"/>
        <v>20918</v>
      </c>
      <c r="B306" s="138" t="s">
        <v>781</v>
      </c>
      <c r="C306" s="173"/>
      <c r="D306" s="131"/>
      <c r="E306" s="15" t="s">
        <v>123</v>
      </c>
      <c r="F306" s="15">
        <v>3</v>
      </c>
      <c r="G306" s="15">
        <v>1</v>
      </c>
      <c r="H306" s="131">
        <v>1</v>
      </c>
      <c r="I306" s="85"/>
    </row>
    <row r="307" spans="1:9" ht="15.95" customHeight="1" x14ac:dyDescent="0.3">
      <c r="A307" s="131">
        <f t="shared" si="15"/>
        <v>20919</v>
      </c>
      <c r="B307" s="138" t="s">
        <v>782</v>
      </c>
      <c r="C307" s="173"/>
      <c r="D307" s="131"/>
      <c r="E307" s="15" t="s">
        <v>123</v>
      </c>
      <c r="F307" s="15">
        <v>3</v>
      </c>
      <c r="G307" s="15">
        <v>1</v>
      </c>
      <c r="H307" s="131">
        <v>1</v>
      </c>
      <c r="I307" s="85"/>
    </row>
    <row r="308" spans="1:9" ht="15.95" customHeight="1" x14ac:dyDescent="0.3">
      <c r="A308" s="131">
        <f t="shared" si="15"/>
        <v>20920</v>
      </c>
      <c r="B308" s="138" t="s">
        <v>783</v>
      </c>
      <c r="C308" s="173"/>
      <c r="D308" s="131"/>
      <c r="E308" s="15" t="s">
        <v>123</v>
      </c>
      <c r="F308" s="15">
        <v>3</v>
      </c>
      <c r="G308" s="15">
        <v>1</v>
      </c>
      <c r="H308" s="131">
        <v>1</v>
      </c>
      <c r="I308" s="85"/>
    </row>
    <row r="309" spans="1:9" ht="15.95" customHeight="1" x14ac:dyDescent="0.3">
      <c r="A309" s="131">
        <f t="shared" si="15"/>
        <v>20921</v>
      </c>
      <c r="B309" s="138" t="s">
        <v>784</v>
      </c>
      <c r="C309" s="173"/>
      <c r="D309" s="131"/>
      <c r="E309" s="15" t="s">
        <v>123</v>
      </c>
      <c r="F309" s="15">
        <v>3</v>
      </c>
      <c r="G309" s="15">
        <v>1</v>
      </c>
      <c r="H309" s="131">
        <v>1</v>
      </c>
      <c r="I309" s="85"/>
    </row>
    <row r="310" spans="1:9" ht="15.95" customHeight="1" x14ac:dyDescent="0.3">
      <c r="A310" s="131">
        <f t="shared" si="15"/>
        <v>20922</v>
      </c>
      <c r="B310" s="138" t="s">
        <v>785</v>
      </c>
      <c r="C310" s="173"/>
      <c r="D310" s="131"/>
      <c r="E310" s="15" t="s">
        <v>123</v>
      </c>
      <c r="F310" s="15">
        <v>3</v>
      </c>
      <c r="G310" s="15">
        <v>1</v>
      </c>
      <c r="H310" s="131">
        <v>1</v>
      </c>
      <c r="I310" s="85"/>
    </row>
    <row r="311" spans="1:9" ht="15.95" customHeight="1" x14ac:dyDescent="0.3">
      <c r="A311" s="131">
        <f t="shared" si="15"/>
        <v>20923</v>
      </c>
      <c r="B311" s="138" t="s">
        <v>786</v>
      </c>
      <c r="C311" s="173"/>
      <c r="D311" s="131"/>
      <c r="E311" s="15" t="s">
        <v>123</v>
      </c>
      <c r="F311" s="15">
        <v>3</v>
      </c>
      <c r="G311" s="15">
        <v>1</v>
      </c>
      <c r="H311" s="131">
        <v>1</v>
      </c>
      <c r="I311" s="85"/>
    </row>
    <row r="312" spans="1:9" ht="15.95" customHeight="1" x14ac:dyDescent="0.3">
      <c r="A312" s="131">
        <f t="shared" si="15"/>
        <v>20924</v>
      </c>
      <c r="B312" s="138" t="s">
        <v>787</v>
      </c>
      <c r="C312" s="173"/>
      <c r="D312" s="131"/>
      <c r="E312" s="15" t="s">
        <v>123</v>
      </c>
      <c r="F312" s="15">
        <v>3</v>
      </c>
      <c r="G312" s="15">
        <v>1</v>
      </c>
      <c r="H312" s="131">
        <v>1</v>
      </c>
      <c r="I312" s="85"/>
    </row>
    <row r="313" spans="1:9" ht="15.95" customHeight="1" x14ac:dyDescent="0.3">
      <c r="A313" s="131">
        <f t="shared" si="15"/>
        <v>20925</v>
      </c>
      <c r="B313" s="138" t="s">
        <v>788</v>
      </c>
      <c r="C313" s="173"/>
      <c r="D313" s="131"/>
      <c r="E313" s="15" t="s">
        <v>123</v>
      </c>
      <c r="F313" s="15">
        <v>3</v>
      </c>
      <c r="G313" s="15">
        <v>1</v>
      </c>
      <c r="H313" s="131">
        <v>1</v>
      </c>
      <c r="I313" s="85"/>
    </row>
    <row r="314" spans="1:9" ht="15.95" customHeight="1" x14ac:dyDescent="0.3">
      <c r="A314" s="131">
        <f t="shared" si="15"/>
        <v>20926</v>
      </c>
      <c r="B314" s="149" t="s">
        <v>789</v>
      </c>
      <c r="C314" s="184"/>
      <c r="D314" s="150"/>
      <c r="E314" s="150" t="s">
        <v>123</v>
      </c>
      <c r="F314" s="150">
        <v>3</v>
      </c>
      <c r="G314" s="150">
        <v>1</v>
      </c>
      <c r="H314" s="150">
        <v>1</v>
      </c>
      <c r="I314" s="91"/>
    </row>
    <row r="315" spans="1:9" ht="15.95" customHeight="1" x14ac:dyDescent="0.3">
      <c r="A315" s="131">
        <f t="shared" si="15"/>
        <v>20927</v>
      </c>
      <c r="B315" s="149" t="s">
        <v>790</v>
      </c>
      <c r="C315" s="184"/>
      <c r="D315" s="150"/>
      <c r="E315" s="150" t="s">
        <v>123</v>
      </c>
      <c r="F315" s="150">
        <v>3</v>
      </c>
      <c r="G315" s="150">
        <v>1</v>
      </c>
      <c r="H315" s="150">
        <v>1</v>
      </c>
      <c r="I315" s="91"/>
    </row>
    <row r="316" spans="1:9" ht="15.95" customHeight="1" x14ac:dyDescent="0.3">
      <c r="A316" s="131">
        <f t="shared" si="15"/>
        <v>20928</v>
      </c>
      <c r="B316" s="149" t="s">
        <v>791</v>
      </c>
      <c r="C316" s="184"/>
      <c r="D316" s="150"/>
      <c r="E316" s="150" t="s">
        <v>123</v>
      </c>
      <c r="F316" s="150">
        <v>3</v>
      </c>
      <c r="G316" s="150">
        <v>1</v>
      </c>
      <c r="H316" s="150">
        <v>1</v>
      </c>
      <c r="I316" s="91"/>
    </row>
    <row r="317" spans="1:9" ht="15.95" customHeight="1" x14ac:dyDescent="0.3">
      <c r="A317" s="131">
        <f t="shared" si="15"/>
        <v>20929</v>
      </c>
      <c r="B317" s="149" t="s">
        <v>792</v>
      </c>
      <c r="C317" s="184"/>
      <c r="D317" s="150"/>
      <c r="E317" s="150" t="s">
        <v>123</v>
      </c>
      <c r="F317" s="150">
        <v>3</v>
      </c>
      <c r="G317" s="150">
        <v>1</v>
      </c>
      <c r="H317" s="150">
        <v>1</v>
      </c>
      <c r="I317" s="91"/>
    </row>
    <row r="318" spans="1:9" ht="15.95" customHeight="1" x14ac:dyDescent="0.3">
      <c r="A318" s="162" t="s">
        <v>143</v>
      </c>
      <c r="B318" s="162"/>
      <c r="C318" s="162"/>
      <c r="D318" s="162"/>
      <c r="E318" s="162"/>
      <c r="F318" s="162"/>
      <c r="G318" s="162"/>
      <c r="H318" s="162"/>
      <c r="I318" s="88"/>
    </row>
    <row r="319" spans="1:9" ht="15.95" customHeight="1" x14ac:dyDescent="0.3">
      <c r="A319" s="131">
        <f>A317+G317*H317</f>
        <v>20930</v>
      </c>
      <c r="B319" s="138" t="s">
        <v>746</v>
      </c>
      <c r="C319" s="138"/>
      <c r="D319" s="131"/>
      <c r="E319" s="15" t="s">
        <v>91</v>
      </c>
      <c r="F319" s="15">
        <v>3</v>
      </c>
      <c r="G319" s="15">
        <f t="shared" ref="G319:G366" si="16">IF(OR(E319="U16", E319="S16"),1,IF(E319="TS",6,2))</f>
        <v>2</v>
      </c>
      <c r="H319" s="131">
        <v>1</v>
      </c>
      <c r="I319" s="85"/>
    </row>
    <row r="320" spans="1:9" ht="15.95" customHeight="1" x14ac:dyDescent="0.3">
      <c r="A320" s="131">
        <f t="shared" ref="A320:A366" si="17">A319+(G319*H319)</f>
        <v>20932</v>
      </c>
      <c r="B320" s="138" t="s">
        <v>747</v>
      </c>
      <c r="C320" s="138"/>
      <c r="D320" s="131"/>
      <c r="E320" s="15" t="s">
        <v>91</v>
      </c>
      <c r="F320" s="15">
        <v>3</v>
      </c>
      <c r="G320" s="15">
        <f t="shared" si="16"/>
        <v>2</v>
      </c>
      <c r="H320" s="131">
        <v>1</v>
      </c>
      <c r="I320" s="85"/>
    </row>
    <row r="321" spans="1:9" ht="15.95" customHeight="1" x14ac:dyDescent="0.3">
      <c r="A321" s="131">
        <f t="shared" si="17"/>
        <v>20934</v>
      </c>
      <c r="B321" s="138" t="s">
        <v>793</v>
      </c>
      <c r="C321" s="138"/>
      <c r="D321" s="131"/>
      <c r="E321" s="15" t="s">
        <v>123</v>
      </c>
      <c r="F321" s="15">
        <v>3</v>
      </c>
      <c r="G321" s="15">
        <f t="shared" si="16"/>
        <v>1</v>
      </c>
      <c r="H321" s="131">
        <v>1</v>
      </c>
      <c r="I321" s="85"/>
    </row>
    <row r="322" spans="1:9" ht="15.95" customHeight="1" x14ac:dyDescent="0.3">
      <c r="A322" s="131">
        <f t="shared" si="17"/>
        <v>20935</v>
      </c>
      <c r="B322" s="138" t="s">
        <v>794</v>
      </c>
      <c r="C322" s="138"/>
      <c r="D322" s="131"/>
      <c r="E322" s="15" t="s">
        <v>123</v>
      </c>
      <c r="F322" s="15">
        <v>3</v>
      </c>
      <c r="G322" s="15">
        <f t="shared" si="16"/>
        <v>1</v>
      </c>
      <c r="H322" s="131">
        <v>1</v>
      </c>
      <c r="I322" s="85"/>
    </row>
    <row r="323" spans="1:9" ht="15.95" customHeight="1" x14ac:dyDescent="0.3">
      <c r="A323" s="131">
        <f t="shared" si="17"/>
        <v>20936</v>
      </c>
      <c r="B323" s="138" t="s">
        <v>749</v>
      </c>
      <c r="C323" s="138">
        <v>0</v>
      </c>
      <c r="D323" s="131"/>
      <c r="E323" s="15" t="s">
        <v>123</v>
      </c>
      <c r="F323" s="15">
        <v>3</v>
      </c>
      <c r="G323" s="15">
        <f t="shared" si="16"/>
        <v>1</v>
      </c>
      <c r="H323" s="131">
        <v>1</v>
      </c>
      <c r="I323" s="85"/>
    </row>
    <row r="324" spans="1:9" ht="15.95" customHeight="1" x14ac:dyDescent="0.3">
      <c r="A324" s="131">
        <f t="shared" si="17"/>
        <v>20937</v>
      </c>
      <c r="B324" s="138" t="s">
        <v>750</v>
      </c>
      <c r="C324" s="138">
        <v>1</v>
      </c>
      <c r="D324" s="131"/>
      <c r="E324" s="15" t="s">
        <v>123</v>
      </c>
      <c r="F324" s="15">
        <v>3</v>
      </c>
      <c r="G324" s="15">
        <f t="shared" si="16"/>
        <v>1</v>
      </c>
      <c r="H324" s="131">
        <v>1</v>
      </c>
      <c r="I324" s="85"/>
    </row>
    <row r="325" spans="1:9" ht="15.95" customHeight="1" x14ac:dyDescent="0.3">
      <c r="A325" s="131">
        <f t="shared" si="17"/>
        <v>20938</v>
      </c>
      <c r="B325" s="138" t="s">
        <v>751</v>
      </c>
      <c r="C325" s="173">
        <v>2</v>
      </c>
      <c r="D325" s="131"/>
      <c r="E325" s="15" t="s">
        <v>123</v>
      </c>
      <c r="F325" s="15">
        <v>3</v>
      </c>
      <c r="G325" s="15">
        <f t="shared" si="16"/>
        <v>1</v>
      </c>
      <c r="H325" s="131">
        <v>1</v>
      </c>
      <c r="I325" s="85"/>
    </row>
    <row r="326" spans="1:9" ht="15.95" customHeight="1" x14ac:dyDescent="0.3">
      <c r="A326" s="131">
        <f t="shared" si="17"/>
        <v>20939</v>
      </c>
      <c r="B326" s="138" t="s">
        <v>752</v>
      </c>
      <c r="C326" s="173"/>
      <c r="D326" s="131"/>
      <c r="E326" s="15" t="s">
        <v>123</v>
      </c>
      <c r="F326" s="15">
        <v>3</v>
      </c>
      <c r="G326" s="15">
        <f t="shared" si="16"/>
        <v>1</v>
      </c>
      <c r="H326" s="131">
        <v>1</v>
      </c>
      <c r="I326" s="85"/>
    </row>
    <row r="327" spans="1:9" ht="15.95" customHeight="1" x14ac:dyDescent="0.3">
      <c r="A327" s="131">
        <f t="shared" si="17"/>
        <v>20940</v>
      </c>
      <c r="B327" s="138" t="s">
        <v>753</v>
      </c>
      <c r="C327" s="173"/>
      <c r="D327" s="131"/>
      <c r="E327" s="15" t="s">
        <v>123</v>
      </c>
      <c r="F327" s="15">
        <v>3</v>
      </c>
      <c r="G327" s="15">
        <f t="shared" si="16"/>
        <v>1</v>
      </c>
      <c r="H327" s="131">
        <v>1</v>
      </c>
      <c r="I327" s="85"/>
    </row>
    <row r="328" spans="1:9" ht="15.95" customHeight="1" x14ac:dyDescent="0.3">
      <c r="A328" s="131">
        <f t="shared" si="17"/>
        <v>20941</v>
      </c>
      <c r="B328" s="138" t="s">
        <v>754</v>
      </c>
      <c r="C328" s="173">
        <v>3</v>
      </c>
      <c r="D328" s="131"/>
      <c r="E328" s="15" t="s">
        <v>123</v>
      </c>
      <c r="F328" s="15">
        <v>3</v>
      </c>
      <c r="G328" s="15">
        <f t="shared" si="16"/>
        <v>1</v>
      </c>
      <c r="H328" s="131">
        <v>1</v>
      </c>
      <c r="I328" s="85"/>
    </row>
    <row r="329" spans="1:9" ht="15.95" customHeight="1" x14ac:dyDescent="0.3">
      <c r="A329" s="131">
        <f t="shared" si="17"/>
        <v>20942</v>
      </c>
      <c r="B329" s="138" t="s">
        <v>755</v>
      </c>
      <c r="C329" s="173"/>
      <c r="D329" s="131"/>
      <c r="E329" s="15" t="s">
        <v>123</v>
      </c>
      <c r="F329" s="15">
        <v>3</v>
      </c>
      <c r="G329" s="15">
        <f t="shared" si="16"/>
        <v>1</v>
      </c>
      <c r="H329" s="131">
        <v>1</v>
      </c>
      <c r="I329" s="85"/>
    </row>
    <row r="330" spans="1:9" ht="15.95" customHeight="1" x14ac:dyDescent="0.3">
      <c r="A330" s="131">
        <f t="shared" si="17"/>
        <v>20943</v>
      </c>
      <c r="B330" s="138" t="s">
        <v>756</v>
      </c>
      <c r="C330" s="173"/>
      <c r="D330" s="131"/>
      <c r="E330" s="15" t="s">
        <v>123</v>
      </c>
      <c r="F330" s="15">
        <v>3</v>
      </c>
      <c r="G330" s="15">
        <f t="shared" si="16"/>
        <v>1</v>
      </c>
      <c r="H330" s="131">
        <v>1</v>
      </c>
      <c r="I330" s="85"/>
    </row>
    <row r="331" spans="1:9" ht="15.95" customHeight="1" x14ac:dyDescent="0.3">
      <c r="A331" s="131">
        <f t="shared" si="17"/>
        <v>20944</v>
      </c>
      <c r="B331" s="138" t="s">
        <v>757</v>
      </c>
      <c r="C331" s="138">
        <v>4</v>
      </c>
      <c r="D331" s="131"/>
      <c r="E331" s="15" t="s">
        <v>123</v>
      </c>
      <c r="F331" s="15">
        <v>3</v>
      </c>
      <c r="G331" s="15">
        <f t="shared" si="16"/>
        <v>1</v>
      </c>
      <c r="H331" s="131">
        <v>1</v>
      </c>
      <c r="I331" s="85"/>
    </row>
    <row r="332" spans="1:9" ht="15.95" customHeight="1" x14ac:dyDescent="0.3">
      <c r="A332" s="131">
        <f t="shared" si="17"/>
        <v>20945</v>
      </c>
      <c r="B332" s="138" t="s">
        <v>758</v>
      </c>
      <c r="C332" s="173">
        <v>5</v>
      </c>
      <c r="D332" s="131"/>
      <c r="E332" s="15" t="s">
        <v>123</v>
      </c>
      <c r="F332" s="15">
        <v>3</v>
      </c>
      <c r="G332" s="15">
        <f t="shared" si="16"/>
        <v>1</v>
      </c>
      <c r="H332" s="131">
        <v>1</v>
      </c>
      <c r="I332" s="85"/>
    </row>
    <row r="333" spans="1:9" ht="15.95" customHeight="1" x14ac:dyDescent="0.3">
      <c r="A333" s="131">
        <f t="shared" si="17"/>
        <v>20946</v>
      </c>
      <c r="B333" s="138" t="s">
        <v>759</v>
      </c>
      <c r="C333" s="173"/>
      <c r="D333" s="131"/>
      <c r="E333" s="15" t="s">
        <v>123</v>
      </c>
      <c r="F333" s="15">
        <v>3</v>
      </c>
      <c r="G333" s="15">
        <f t="shared" si="16"/>
        <v>1</v>
      </c>
      <c r="H333" s="131">
        <v>1</v>
      </c>
      <c r="I333" s="85"/>
    </row>
    <row r="334" spans="1:9" ht="15.95" customHeight="1" x14ac:dyDescent="0.3">
      <c r="A334" s="131">
        <f t="shared" si="17"/>
        <v>20947</v>
      </c>
      <c r="B334" s="138" t="s">
        <v>760</v>
      </c>
      <c r="C334" s="173"/>
      <c r="D334" s="131"/>
      <c r="E334" s="15" t="s">
        <v>123</v>
      </c>
      <c r="F334" s="15">
        <v>3</v>
      </c>
      <c r="G334" s="15">
        <f t="shared" si="16"/>
        <v>1</v>
      </c>
      <c r="H334" s="131">
        <v>1</v>
      </c>
      <c r="I334" s="85"/>
    </row>
    <row r="335" spans="1:9" ht="15.95" customHeight="1" x14ac:dyDescent="0.3">
      <c r="A335" s="131">
        <f t="shared" si="17"/>
        <v>20948</v>
      </c>
      <c r="B335" s="138" t="s">
        <v>761</v>
      </c>
      <c r="C335" s="173">
        <v>6</v>
      </c>
      <c r="D335" s="131"/>
      <c r="E335" s="15" t="s">
        <v>123</v>
      </c>
      <c r="F335" s="15">
        <v>3</v>
      </c>
      <c r="G335" s="15">
        <f t="shared" si="16"/>
        <v>1</v>
      </c>
      <c r="H335" s="131">
        <v>1</v>
      </c>
      <c r="I335" s="85"/>
    </row>
    <row r="336" spans="1:9" ht="15.95" customHeight="1" x14ac:dyDescent="0.3">
      <c r="A336" s="131">
        <f t="shared" si="17"/>
        <v>20949</v>
      </c>
      <c r="B336" s="138" t="s">
        <v>762</v>
      </c>
      <c r="C336" s="173"/>
      <c r="D336" s="131"/>
      <c r="E336" s="15" t="s">
        <v>123</v>
      </c>
      <c r="F336" s="15">
        <v>3</v>
      </c>
      <c r="G336" s="15">
        <f t="shared" si="16"/>
        <v>1</v>
      </c>
      <c r="H336" s="131">
        <v>1</v>
      </c>
      <c r="I336" s="85"/>
    </row>
    <row r="337" spans="1:9" ht="15.95" customHeight="1" x14ac:dyDescent="0.3">
      <c r="A337" s="131">
        <f t="shared" si="17"/>
        <v>20950</v>
      </c>
      <c r="B337" s="138" t="s">
        <v>763</v>
      </c>
      <c r="C337" s="173"/>
      <c r="D337" s="131"/>
      <c r="E337" s="15" t="s">
        <v>123</v>
      </c>
      <c r="F337" s="15">
        <v>3</v>
      </c>
      <c r="G337" s="15">
        <f t="shared" si="16"/>
        <v>1</v>
      </c>
      <c r="H337" s="131">
        <v>1</v>
      </c>
      <c r="I337" s="85"/>
    </row>
    <row r="338" spans="1:9" ht="15.95" customHeight="1" x14ac:dyDescent="0.3">
      <c r="A338" s="131">
        <f t="shared" si="17"/>
        <v>20951</v>
      </c>
      <c r="B338" s="149" t="s">
        <v>764</v>
      </c>
      <c r="C338" s="184">
        <v>7</v>
      </c>
      <c r="D338" s="150"/>
      <c r="E338" s="150" t="s">
        <v>123</v>
      </c>
      <c r="F338" s="150">
        <v>3</v>
      </c>
      <c r="G338" s="150">
        <f t="shared" si="16"/>
        <v>1</v>
      </c>
      <c r="H338" s="150">
        <v>1</v>
      </c>
      <c r="I338" s="91"/>
    </row>
    <row r="339" spans="1:9" ht="15.95" customHeight="1" x14ac:dyDescent="0.3">
      <c r="A339" s="131">
        <f t="shared" si="17"/>
        <v>20952</v>
      </c>
      <c r="B339" s="149" t="s">
        <v>765</v>
      </c>
      <c r="C339" s="184"/>
      <c r="D339" s="150"/>
      <c r="E339" s="150" t="s">
        <v>123</v>
      </c>
      <c r="F339" s="150">
        <v>3</v>
      </c>
      <c r="G339" s="150">
        <f t="shared" si="16"/>
        <v>1</v>
      </c>
      <c r="H339" s="150">
        <v>1</v>
      </c>
      <c r="I339" s="91"/>
    </row>
    <row r="340" spans="1:9" ht="15.95" customHeight="1" x14ac:dyDescent="0.3">
      <c r="A340" s="131">
        <f t="shared" si="17"/>
        <v>20953</v>
      </c>
      <c r="B340" s="149" t="s">
        <v>766</v>
      </c>
      <c r="C340" s="184"/>
      <c r="D340" s="150"/>
      <c r="E340" s="150" t="s">
        <v>123</v>
      </c>
      <c r="F340" s="150">
        <v>3</v>
      </c>
      <c r="G340" s="150">
        <f t="shared" si="16"/>
        <v>1</v>
      </c>
      <c r="H340" s="150">
        <v>1</v>
      </c>
      <c r="I340" s="91"/>
    </row>
    <row r="341" spans="1:9" ht="15.95" customHeight="1" x14ac:dyDescent="0.3">
      <c r="A341" s="131">
        <f t="shared" si="17"/>
        <v>20954</v>
      </c>
      <c r="B341" s="149" t="s">
        <v>767</v>
      </c>
      <c r="C341" s="184">
        <v>8</v>
      </c>
      <c r="D341" s="150"/>
      <c r="E341" s="150" t="s">
        <v>123</v>
      </c>
      <c r="F341" s="150">
        <v>3</v>
      </c>
      <c r="G341" s="150">
        <f t="shared" si="16"/>
        <v>1</v>
      </c>
      <c r="H341" s="150">
        <v>1</v>
      </c>
      <c r="I341" s="91"/>
    </row>
    <row r="342" spans="1:9" ht="15.95" customHeight="1" x14ac:dyDescent="0.3">
      <c r="A342" s="131">
        <f t="shared" si="17"/>
        <v>20955</v>
      </c>
      <c r="B342" s="149" t="s">
        <v>768</v>
      </c>
      <c r="C342" s="184"/>
      <c r="D342" s="150"/>
      <c r="E342" s="150" t="s">
        <v>123</v>
      </c>
      <c r="F342" s="150">
        <v>3</v>
      </c>
      <c r="G342" s="150">
        <f t="shared" si="16"/>
        <v>1</v>
      </c>
      <c r="H342" s="150">
        <v>1</v>
      </c>
      <c r="I342" s="91"/>
    </row>
    <row r="343" spans="1:9" ht="15.95" customHeight="1" x14ac:dyDescent="0.3">
      <c r="A343" s="131">
        <f t="shared" si="17"/>
        <v>20956</v>
      </c>
      <c r="B343" s="149" t="s">
        <v>769</v>
      </c>
      <c r="C343" s="184"/>
      <c r="D343" s="150"/>
      <c r="E343" s="150" t="s">
        <v>123</v>
      </c>
      <c r="F343" s="150">
        <v>3</v>
      </c>
      <c r="G343" s="150">
        <f t="shared" si="16"/>
        <v>1</v>
      </c>
      <c r="H343" s="150">
        <v>1</v>
      </c>
      <c r="I343" s="91"/>
    </row>
    <row r="344" spans="1:9" ht="15.95" customHeight="1" x14ac:dyDescent="0.3">
      <c r="A344" s="131">
        <f t="shared" si="17"/>
        <v>20957</v>
      </c>
      <c r="B344" s="149" t="s">
        <v>770</v>
      </c>
      <c r="C344" s="184">
        <v>9</v>
      </c>
      <c r="D344" s="150"/>
      <c r="E344" s="150" t="s">
        <v>123</v>
      </c>
      <c r="F344" s="150">
        <v>3</v>
      </c>
      <c r="G344" s="150">
        <f t="shared" si="16"/>
        <v>1</v>
      </c>
      <c r="H344" s="150">
        <v>1</v>
      </c>
      <c r="I344" s="91"/>
    </row>
    <row r="345" spans="1:9" ht="15.95" customHeight="1" x14ac:dyDescent="0.3">
      <c r="A345" s="131">
        <f t="shared" si="17"/>
        <v>20958</v>
      </c>
      <c r="B345" s="149" t="s">
        <v>771</v>
      </c>
      <c r="C345" s="184"/>
      <c r="D345" s="150"/>
      <c r="E345" s="150" t="s">
        <v>123</v>
      </c>
      <c r="F345" s="150">
        <v>3</v>
      </c>
      <c r="G345" s="150">
        <f t="shared" si="16"/>
        <v>1</v>
      </c>
      <c r="H345" s="150">
        <v>1</v>
      </c>
      <c r="I345" s="91"/>
    </row>
    <row r="346" spans="1:9" ht="15.95" customHeight="1" x14ac:dyDescent="0.3">
      <c r="A346" s="131">
        <f t="shared" si="17"/>
        <v>20959</v>
      </c>
      <c r="B346" s="149" t="s">
        <v>772</v>
      </c>
      <c r="C346" s="184"/>
      <c r="D346" s="150"/>
      <c r="E346" s="150" t="s">
        <v>123</v>
      </c>
      <c r="F346" s="150">
        <v>3</v>
      </c>
      <c r="G346" s="150">
        <f t="shared" si="16"/>
        <v>1</v>
      </c>
      <c r="H346" s="150">
        <v>1</v>
      </c>
      <c r="I346" s="91"/>
    </row>
    <row r="347" spans="1:9" ht="15.95" customHeight="1" x14ac:dyDescent="0.3">
      <c r="A347" s="131">
        <f t="shared" si="17"/>
        <v>20960</v>
      </c>
      <c r="B347" s="138" t="s">
        <v>773</v>
      </c>
      <c r="C347" s="173"/>
      <c r="D347" s="131"/>
      <c r="E347" s="15" t="s">
        <v>123</v>
      </c>
      <c r="F347" s="15">
        <v>3</v>
      </c>
      <c r="G347" s="15">
        <f t="shared" si="16"/>
        <v>1</v>
      </c>
      <c r="H347" s="131">
        <v>1</v>
      </c>
      <c r="I347" s="85"/>
    </row>
    <row r="348" spans="1:9" ht="15.95" customHeight="1" x14ac:dyDescent="0.3">
      <c r="A348" s="131">
        <f t="shared" si="17"/>
        <v>20961</v>
      </c>
      <c r="B348" s="138" t="s">
        <v>774</v>
      </c>
      <c r="C348" s="173"/>
      <c r="D348" s="131"/>
      <c r="E348" s="15" t="s">
        <v>123</v>
      </c>
      <c r="F348" s="15">
        <v>3</v>
      </c>
      <c r="G348" s="15">
        <f t="shared" si="16"/>
        <v>1</v>
      </c>
      <c r="H348" s="131">
        <v>1</v>
      </c>
      <c r="I348" s="85"/>
    </row>
    <row r="349" spans="1:9" ht="15.95" customHeight="1" x14ac:dyDescent="0.3">
      <c r="A349" s="131">
        <f t="shared" si="17"/>
        <v>20962</v>
      </c>
      <c r="B349" s="138" t="s">
        <v>775</v>
      </c>
      <c r="C349" s="173"/>
      <c r="D349" s="131"/>
      <c r="E349" s="15" t="s">
        <v>123</v>
      </c>
      <c r="F349" s="15">
        <v>3</v>
      </c>
      <c r="G349" s="15">
        <f t="shared" si="16"/>
        <v>1</v>
      </c>
      <c r="H349" s="131">
        <v>1</v>
      </c>
      <c r="I349" s="85"/>
    </row>
    <row r="350" spans="1:9" ht="15.95" customHeight="1" x14ac:dyDescent="0.3">
      <c r="A350" s="131">
        <f t="shared" si="17"/>
        <v>20963</v>
      </c>
      <c r="B350" s="138" t="s">
        <v>776</v>
      </c>
      <c r="C350" s="173"/>
      <c r="D350" s="131"/>
      <c r="E350" s="15" t="s">
        <v>123</v>
      </c>
      <c r="F350" s="15">
        <v>3</v>
      </c>
      <c r="G350" s="15">
        <f t="shared" si="16"/>
        <v>1</v>
      </c>
      <c r="H350" s="131">
        <v>1</v>
      </c>
      <c r="I350" s="85"/>
    </row>
    <row r="351" spans="1:9" ht="15.95" customHeight="1" x14ac:dyDescent="0.3">
      <c r="A351" s="131">
        <f t="shared" si="17"/>
        <v>20964</v>
      </c>
      <c r="B351" s="138" t="s">
        <v>777</v>
      </c>
      <c r="C351" s="173"/>
      <c r="D351" s="131"/>
      <c r="E351" s="15" t="s">
        <v>123</v>
      </c>
      <c r="F351" s="15">
        <v>3</v>
      </c>
      <c r="G351" s="15">
        <f t="shared" si="16"/>
        <v>1</v>
      </c>
      <c r="H351" s="131">
        <v>1</v>
      </c>
      <c r="I351" s="85"/>
    </row>
    <row r="352" spans="1:9" ht="15.95" customHeight="1" x14ac:dyDescent="0.3">
      <c r="A352" s="131">
        <f t="shared" si="17"/>
        <v>20965</v>
      </c>
      <c r="B352" s="138" t="s">
        <v>778</v>
      </c>
      <c r="C352" s="173"/>
      <c r="D352" s="131"/>
      <c r="E352" s="15" t="s">
        <v>123</v>
      </c>
      <c r="F352" s="15">
        <v>3</v>
      </c>
      <c r="G352" s="15">
        <f t="shared" si="16"/>
        <v>1</v>
      </c>
      <c r="H352" s="131">
        <v>1</v>
      </c>
      <c r="I352" s="85"/>
    </row>
    <row r="353" spans="1:9" ht="15.95" customHeight="1" x14ac:dyDescent="0.3">
      <c r="A353" s="131">
        <f t="shared" si="17"/>
        <v>20966</v>
      </c>
      <c r="B353" s="138" t="s">
        <v>779</v>
      </c>
      <c r="C353" s="173"/>
      <c r="D353" s="131"/>
      <c r="E353" s="15" t="s">
        <v>123</v>
      </c>
      <c r="F353" s="15">
        <v>3</v>
      </c>
      <c r="G353" s="15">
        <f t="shared" si="16"/>
        <v>1</v>
      </c>
      <c r="H353" s="131">
        <v>1</v>
      </c>
      <c r="I353" s="85"/>
    </row>
    <row r="354" spans="1:9" ht="15.95" customHeight="1" x14ac:dyDescent="0.3">
      <c r="A354" s="131">
        <f t="shared" si="17"/>
        <v>20967</v>
      </c>
      <c r="B354" s="138" t="s">
        <v>780</v>
      </c>
      <c r="C354" s="173"/>
      <c r="D354" s="131"/>
      <c r="E354" s="15" t="s">
        <v>123</v>
      </c>
      <c r="F354" s="15">
        <v>3</v>
      </c>
      <c r="G354" s="15">
        <f t="shared" si="16"/>
        <v>1</v>
      </c>
      <c r="H354" s="131">
        <v>1</v>
      </c>
      <c r="I354" s="85"/>
    </row>
    <row r="355" spans="1:9" ht="15.95" customHeight="1" x14ac:dyDescent="0.3">
      <c r="A355" s="131">
        <f t="shared" si="17"/>
        <v>20968</v>
      </c>
      <c r="B355" s="138" t="s">
        <v>781</v>
      </c>
      <c r="C355" s="173"/>
      <c r="D355" s="131"/>
      <c r="E355" s="15" t="s">
        <v>123</v>
      </c>
      <c r="F355" s="15">
        <v>3</v>
      </c>
      <c r="G355" s="15">
        <f t="shared" si="16"/>
        <v>1</v>
      </c>
      <c r="H355" s="131">
        <v>1</v>
      </c>
      <c r="I355" s="85"/>
    </row>
    <row r="356" spans="1:9" ht="15.95" customHeight="1" x14ac:dyDescent="0.3">
      <c r="A356" s="131">
        <f t="shared" si="17"/>
        <v>20969</v>
      </c>
      <c r="B356" s="138" t="s">
        <v>782</v>
      </c>
      <c r="C356" s="173"/>
      <c r="D356" s="131"/>
      <c r="E356" s="15" t="s">
        <v>123</v>
      </c>
      <c r="F356" s="15">
        <v>3</v>
      </c>
      <c r="G356" s="15">
        <f t="shared" si="16"/>
        <v>1</v>
      </c>
      <c r="H356" s="131">
        <v>1</v>
      </c>
      <c r="I356" s="85"/>
    </row>
    <row r="357" spans="1:9" ht="15.95" customHeight="1" x14ac:dyDescent="0.3">
      <c r="A357" s="131">
        <f t="shared" si="17"/>
        <v>20970</v>
      </c>
      <c r="B357" s="138" t="s">
        <v>783</v>
      </c>
      <c r="C357" s="173"/>
      <c r="D357" s="131"/>
      <c r="E357" s="15" t="s">
        <v>123</v>
      </c>
      <c r="F357" s="15">
        <v>3</v>
      </c>
      <c r="G357" s="15">
        <f t="shared" si="16"/>
        <v>1</v>
      </c>
      <c r="H357" s="131">
        <v>1</v>
      </c>
      <c r="I357" s="85"/>
    </row>
    <row r="358" spans="1:9" ht="15.95" customHeight="1" x14ac:dyDescent="0.3">
      <c r="A358" s="131">
        <f t="shared" si="17"/>
        <v>20971</v>
      </c>
      <c r="B358" s="138" t="s">
        <v>784</v>
      </c>
      <c r="C358" s="173"/>
      <c r="D358" s="131"/>
      <c r="E358" s="15" t="s">
        <v>123</v>
      </c>
      <c r="F358" s="15">
        <v>3</v>
      </c>
      <c r="G358" s="15">
        <f t="shared" si="16"/>
        <v>1</v>
      </c>
      <c r="H358" s="131">
        <v>1</v>
      </c>
      <c r="I358" s="85"/>
    </row>
    <row r="359" spans="1:9" ht="15.95" customHeight="1" x14ac:dyDescent="0.3">
      <c r="A359" s="131">
        <f t="shared" si="17"/>
        <v>20972</v>
      </c>
      <c r="B359" s="138" t="s">
        <v>785</v>
      </c>
      <c r="C359" s="173"/>
      <c r="D359" s="131"/>
      <c r="E359" s="15" t="s">
        <v>123</v>
      </c>
      <c r="F359" s="15">
        <v>3</v>
      </c>
      <c r="G359" s="15">
        <f t="shared" si="16"/>
        <v>1</v>
      </c>
      <c r="H359" s="131">
        <v>1</v>
      </c>
      <c r="I359" s="85"/>
    </row>
    <row r="360" spans="1:9" ht="15.95" customHeight="1" x14ac:dyDescent="0.3">
      <c r="A360" s="131">
        <f t="shared" si="17"/>
        <v>20973</v>
      </c>
      <c r="B360" s="138" t="s">
        <v>786</v>
      </c>
      <c r="C360" s="173"/>
      <c r="D360" s="131"/>
      <c r="E360" s="15" t="s">
        <v>123</v>
      </c>
      <c r="F360" s="15">
        <v>3</v>
      </c>
      <c r="G360" s="15">
        <f t="shared" si="16"/>
        <v>1</v>
      </c>
      <c r="H360" s="131">
        <v>1</v>
      </c>
      <c r="I360" s="85"/>
    </row>
    <row r="361" spans="1:9" ht="15.95" customHeight="1" x14ac:dyDescent="0.3">
      <c r="A361" s="131">
        <f t="shared" si="17"/>
        <v>20974</v>
      </c>
      <c r="B361" s="138" t="s">
        <v>787</v>
      </c>
      <c r="C361" s="173"/>
      <c r="D361" s="131"/>
      <c r="E361" s="15" t="s">
        <v>123</v>
      </c>
      <c r="F361" s="15">
        <v>3</v>
      </c>
      <c r="G361" s="15">
        <f t="shared" si="16"/>
        <v>1</v>
      </c>
      <c r="H361" s="131">
        <v>1</v>
      </c>
      <c r="I361" s="85"/>
    </row>
    <row r="362" spans="1:9" ht="15.95" customHeight="1" x14ac:dyDescent="0.3">
      <c r="A362" s="131">
        <f t="shared" si="17"/>
        <v>20975</v>
      </c>
      <c r="B362" s="138" t="s">
        <v>788</v>
      </c>
      <c r="C362" s="173"/>
      <c r="D362" s="131"/>
      <c r="E362" s="15" t="s">
        <v>123</v>
      </c>
      <c r="F362" s="15">
        <v>3</v>
      </c>
      <c r="G362" s="15">
        <f t="shared" si="16"/>
        <v>1</v>
      </c>
      <c r="H362" s="131">
        <v>1</v>
      </c>
      <c r="I362" s="85"/>
    </row>
    <row r="363" spans="1:9" ht="15.95" customHeight="1" x14ac:dyDescent="0.3">
      <c r="A363" s="131">
        <f t="shared" si="17"/>
        <v>20976</v>
      </c>
      <c r="B363" s="149" t="s">
        <v>789</v>
      </c>
      <c r="C363" s="184"/>
      <c r="D363" s="150"/>
      <c r="E363" s="150" t="s">
        <v>123</v>
      </c>
      <c r="F363" s="150">
        <v>3</v>
      </c>
      <c r="G363" s="150">
        <f t="shared" si="16"/>
        <v>1</v>
      </c>
      <c r="H363" s="150">
        <v>1</v>
      </c>
      <c r="I363" s="91"/>
    </row>
    <row r="364" spans="1:9" ht="15.95" customHeight="1" x14ac:dyDescent="0.3">
      <c r="A364" s="131">
        <f t="shared" si="17"/>
        <v>20977</v>
      </c>
      <c r="B364" s="149" t="s">
        <v>790</v>
      </c>
      <c r="C364" s="184"/>
      <c r="D364" s="150"/>
      <c r="E364" s="150" t="s">
        <v>123</v>
      </c>
      <c r="F364" s="150">
        <v>3</v>
      </c>
      <c r="G364" s="150">
        <f t="shared" si="16"/>
        <v>1</v>
      </c>
      <c r="H364" s="150">
        <v>1</v>
      </c>
      <c r="I364" s="91"/>
    </row>
    <row r="365" spans="1:9" ht="15.95" customHeight="1" x14ac:dyDescent="0.3">
      <c r="A365" s="131">
        <f t="shared" si="17"/>
        <v>20978</v>
      </c>
      <c r="B365" s="149" t="s">
        <v>791</v>
      </c>
      <c r="C365" s="184"/>
      <c r="D365" s="150"/>
      <c r="E365" s="150" t="s">
        <v>123</v>
      </c>
      <c r="F365" s="150">
        <v>3</v>
      </c>
      <c r="G365" s="150">
        <f t="shared" si="16"/>
        <v>1</v>
      </c>
      <c r="H365" s="150">
        <v>1</v>
      </c>
      <c r="I365" s="91"/>
    </row>
    <row r="366" spans="1:9" ht="15.95" customHeight="1" x14ac:dyDescent="0.3">
      <c r="A366" s="131">
        <f t="shared" si="17"/>
        <v>20979</v>
      </c>
      <c r="B366" s="149" t="s">
        <v>792</v>
      </c>
      <c r="C366" s="184"/>
      <c r="D366" s="150"/>
      <c r="E366" s="150" t="s">
        <v>123</v>
      </c>
      <c r="F366" s="150">
        <v>3</v>
      </c>
      <c r="G366" s="150">
        <f t="shared" si="16"/>
        <v>1</v>
      </c>
      <c r="H366" s="150">
        <v>1</v>
      </c>
      <c r="I366" s="91"/>
    </row>
    <row r="367" spans="1:9" ht="15.95" customHeight="1" x14ac:dyDescent="0.3">
      <c r="A367" s="162" t="s">
        <v>103</v>
      </c>
      <c r="B367" s="162"/>
      <c r="C367" s="162"/>
      <c r="D367" s="162"/>
      <c r="E367" s="162"/>
      <c r="F367" s="162"/>
      <c r="G367" s="162"/>
      <c r="H367" s="162"/>
      <c r="I367" s="88"/>
    </row>
    <row r="368" spans="1:9" ht="15.95" customHeight="1" x14ac:dyDescent="0.3">
      <c r="A368" s="131">
        <f>A366+G366*H366</f>
        <v>20980</v>
      </c>
      <c r="B368" s="138" t="s">
        <v>94</v>
      </c>
      <c r="C368" s="138"/>
      <c r="D368" s="131"/>
      <c r="E368" s="15" t="s">
        <v>114</v>
      </c>
      <c r="F368" s="15">
        <v>3</v>
      </c>
      <c r="G368" s="15">
        <f t="shared" ref="G368:G377" si="18">IF(OR(E368="U16", E368="S16"),1,IF(E368="TS",6,2))</f>
        <v>1</v>
      </c>
      <c r="H368" s="131">
        <v>64</v>
      </c>
      <c r="I368" s="85"/>
    </row>
    <row r="369" spans="1:10" ht="15.95" customHeight="1" x14ac:dyDescent="0.3">
      <c r="A369" s="131">
        <f t="shared" ref="A369:A377" si="19">A368+(G368*H368)</f>
        <v>21044</v>
      </c>
      <c r="B369" s="138" t="s">
        <v>95</v>
      </c>
      <c r="C369" s="138"/>
      <c r="D369" s="131"/>
      <c r="E369" s="15" t="s">
        <v>114</v>
      </c>
      <c r="F369" s="15">
        <v>3</v>
      </c>
      <c r="G369" s="15">
        <f t="shared" si="18"/>
        <v>1</v>
      </c>
      <c r="H369" s="131">
        <v>64</v>
      </c>
      <c r="I369" s="85"/>
    </row>
    <row r="370" spans="1:10" ht="15.95" customHeight="1" x14ac:dyDescent="0.3">
      <c r="A370" s="131">
        <f t="shared" si="19"/>
        <v>21108</v>
      </c>
      <c r="B370" s="138" t="s">
        <v>96</v>
      </c>
      <c r="C370" s="138"/>
      <c r="D370" s="131"/>
      <c r="E370" s="15" t="s">
        <v>114</v>
      </c>
      <c r="F370" s="15">
        <v>3</v>
      </c>
      <c r="G370" s="15">
        <f t="shared" si="18"/>
        <v>1</v>
      </c>
      <c r="H370" s="131">
        <v>64</v>
      </c>
      <c r="I370" s="85"/>
    </row>
    <row r="371" spans="1:10" ht="15.95" customHeight="1" x14ac:dyDescent="0.3">
      <c r="A371" s="131">
        <f t="shared" si="19"/>
        <v>21172</v>
      </c>
      <c r="B371" s="138" t="s">
        <v>97</v>
      </c>
      <c r="C371" s="138"/>
      <c r="D371" s="131"/>
      <c r="E371" s="15" t="s">
        <v>114</v>
      </c>
      <c r="F371" s="15">
        <v>3</v>
      </c>
      <c r="G371" s="15">
        <f t="shared" si="18"/>
        <v>1</v>
      </c>
      <c r="H371" s="131">
        <v>64</v>
      </c>
      <c r="I371" s="85"/>
    </row>
    <row r="372" spans="1:10" ht="15.95" customHeight="1" x14ac:dyDescent="0.3">
      <c r="A372" s="131">
        <f t="shared" si="19"/>
        <v>21236</v>
      </c>
      <c r="B372" s="138" t="s">
        <v>98</v>
      </c>
      <c r="C372" s="138"/>
      <c r="D372" s="131"/>
      <c r="E372" s="15" t="s">
        <v>114</v>
      </c>
      <c r="F372" s="15">
        <v>3</v>
      </c>
      <c r="G372" s="15">
        <f t="shared" si="18"/>
        <v>1</v>
      </c>
      <c r="H372" s="131">
        <v>64</v>
      </c>
      <c r="I372" s="85"/>
    </row>
    <row r="373" spans="1:10" ht="15.95" customHeight="1" x14ac:dyDescent="0.3">
      <c r="A373" s="131">
        <f t="shared" si="19"/>
        <v>21300</v>
      </c>
      <c r="B373" s="138" t="s">
        <v>99</v>
      </c>
      <c r="C373" s="138"/>
      <c r="D373" s="131"/>
      <c r="E373" s="15" t="s">
        <v>114</v>
      </c>
      <c r="F373" s="15">
        <v>3</v>
      </c>
      <c r="G373" s="15">
        <f t="shared" si="18"/>
        <v>1</v>
      </c>
      <c r="H373" s="131">
        <v>64</v>
      </c>
      <c r="I373" s="85"/>
    </row>
    <row r="374" spans="1:10" ht="15.95" customHeight="1" x14ac:dyDescent="0.3">
      <c r="A374" s="131">
        <f t="shared" si="19"/>
        <v>21364</v>
      </c>
      <c r="B374" s="138" t="s">
        <v>100</v>
      </c>
      <c r="C374" s="138"/>
      <c r="D374" s="131"/>
      <c r="E374" s="15" t="s">
        <v>114</v>
      </c>
      <c r="F374" s="15">
        <v>3</v>
      </c>
      <c r="G374" s="15">
        <f t="shared" si="18"/>
        <v>1</v>
      </c>
      <c r="H374" s="131">
        <v>64</v>
      </c>
      <c r="I374" s="85"/>
    </row>
    <row r="375" spans="1:10" ht="15.95" customHeight="1" x14ac:dyDescent="0.3">
      <c r="A375" s="131">
        <f t="shared" si="19"/>
        <v>21428</v>
      </c>
      <c r="B375" s="138" t="s">
        <v>101</v>
      </c>
      <c r="C375" s="138"/>
      <c r="D375" s="131"/>
      <c r="E375" s="15" t="s">
        <v>114</v>
      </c>
      <c r="F375" s="15">
        <v>3</v>
      </c>
      <c r="G375" s="15">
        <f t="shared" si="18"/>
        <v>1</v>
      </c>
      <c r="H375" s="131">
        <v>64</v>
      </c>
      <c r="I375" s="85"/>
    </row>
    <row r="376" spans="1:10" ht="15.95" customHeight="1" x14ac:dyDescent="0.3">
      <c r="A376" s="131">
        <f t="shared" si="19"/>
        <v>21492</v>
      </c>
      <c r="B376" s="138" t="s">
        <v>102</v>
      </c>
      <c r="C376" s="138"/>
      <c r="D376" s="131"/>
      <c r="E376" s="15" t="s">
        <v>114</v>
      </c>
      <c r="F376" s="15">
        <v>3</v>
      </c>
      <c r="G376" s="15">
        <f t="shared" si="18"/>
        <v>1</v>
      </c>
      <c r="H376" s="131">
        <v>64</v>
      </c>
      <c r="I376" s="85"/>
    </row>
    <row r="377" spans="1:10" ht="15.95" customHeight="1" x14ac:dyDescent="0.3">
      <c r="A377" s="131">
        <f t="shared" si="19"/>
        <v>21556</v>
      </c>
      <c r="B377" s="138" t="s">
        <v>41</v>
      </c>
      <c r="C377" s="138"/>
      <c r="D377" s="131"/>
      <c r="E377" s="15" t="s">
        <v>114</v>
      </c>
      <c r="F377" s="15">
        <v>3</v>
      </c>
      <c r="G377" s="15">
        <f t="shared" si="18"/>
        <v>1</v>
      </c>
      <c r="H377" s="131">
        <v>24</v>
      </c>
      <c r="I377" s="85"/>
    </row>
    <row r="378" spans="1:10" ht="15.95" customHeight="1" x14ac:dyDescent="0.3">
      <c r="A378" s="162" t="s">
        <v>128</v>
      </c>
      <c r="B378" s="162"/>
      <c r="C378" s="162"/>
      <c r="D378" s="162"/>
      <c r="E378" s="162"/>
      <c r="F378" s="162"/>
      <c r="G378" s="162"/>
      <c r="H378" s="162"/>
      <c r="I378" s="88"/>
      <c r="J378" s="139" t="s">
        <v>1185</v>
      </c>
    </row>
    <row r="379" spans="1:10" ht="15.95" customHeight="1" x14ac:dyDescent="0.3">
      <c r="A379" s="128">
        <f>A377+(G377*H377)</f>
        <v>21580</v>
      </c>
      <c r="B379" s="149" t="s">
        <v>94</v>
      </c>
      <c r="C379" s="149"/>
      <c r="D379" s="150"/>
      <c r="E379" s="150" t="s">
        <v>114</v>
      </c>
      <c r="F379" s="150">
        <v>3</v>
      </c>
      <c r="G379" s="150">
        <f t="shared" ref="G379:G388" si="20">IF(OR(E379="U16", E379="S16"),1,IF(E379="TS",6,2))</f>
        <v>1</v>
      </c>
      <c r="H379" s="150">
        <v>64</v>
      </c>
      <c r="I379" s="85"/>
    </row>
    <row r="380" spans="1:10" ht="15.95" customHeight="1" x14ac:dyDescent="0.3">
      <c r="A380" s="128">
        <f t="shared" ref="A380:A388" si="21">A379+(G379*H379)</f>
        <v>21644</v>
      </c>
      <c r="B380" s="149" t="s">
        <v>95</v>
      </c>
      <c r="C380" s="149"/>
      <c r="D380" s="150"/>
      <c r="E380" s="150" t="s">
        <v>114</v>
      </c>
      <c r="F380" s="150">
        <v>3</v>
      </c>
      <c r="G380" s="150">
        <f t="shared" si="20"/>
        <v>1</v>
      </c>
      <c r="H380" s="150">
        <v>64</v>
      </c>
      <c r="I380" s="85"/>
    </row>
    <row r="381" spans="1:10" ht="15.95" customHeight="1" x14ac:dyDescent="0.3">
      <c r="A381" s="128">
        <f t="shared" si="21"/>
        <v>21708</v>
      </c>
      <c r="B381" s="149" t="s">
        <v>96</v>
      </c>
      <c r="C381" s="149"/>
      <c r="D381" s="150"/>
      <c r="E381" s="150" t="s">
        <v>114</v>
      </c>
      <c r="F381" s="150">
        <v>3</v>
      </c>
      <c r="G381" s="150">
        <f t="shared" si="20"/>
        <v>1</v>
      </c>
      <c r="H381" s="150">
        <v>64</v>
      </c>
      <c r="I381" s="85"/>
    </row>
    <row r="382" spans="1:10" ht="15.95" customHeight="1" x14ac:dyDescent="0.3">
      <c r="A382" s="128">
        <f t="shared" si="21"/>
        <v>21772</v>
      </c>
      <c r="B382" s="149" t="s">
        <v>97</v>
      </c>
      <c r="C382" s="149"/>
      <c r="D382" s="150"/>
      <c r="E382" s="150" t="s">
        <v>114</v>
      </c>
      <c r="F382" s="150">
        <v>3</v>
      </c>
      <c r="G382" s="150">
        <f t="shared" si="20"/>
        <v>1</v>
      </c>
      <c r="H382" s="150">
        <v>64</v>
      </c>
      <c r="I382" s="85"/>
    </row>
    <row r="383" spans="1:10" ht="15.95" customHeight="1" x14ac:dyDescent="0.3">
      <c r="A383" s="128">
        <f t="shared" si="21"/>
        <v>21836</v>
      </c>
      <c r="B383" s="149" t="s">
        <v>98</v>
      </c>
      <c r="C383" s="149"/>
      <c r="D383" s="150"/>
      <c r="E383" s="150" t="s">
        <v>114</v>
      </c>
      <c r="F383" s="150">
        <v>3</v>
      </c>
      <c r="G383" s="150">
        <f t="shared" si="20"/>
        <v>1</v>
      </c>
      <c r="H383" s="150">
        <v>64</v>
      </c>
      <c r="I383" s="85"/>
    </row>
    <row r="384" spans="1:10" ht="15.95" customHeight="1" x14ac:dyDescent="0.3">
      <c r="A384" s="128">
        <f t="shared" si="21"/>
        <v>21900</v>
      </c>
      <c r="B384" s="149" t="s">
        <v>99</v>
      </c>
      <c r="C384" s="149"/>
      <c r="D384" s="150"/>
      <c r="E384" s="150" t="s">
        <v>114</v>
      </c>
      <c r="F384" s="150">
        <v>3</v>
      </c>
      <c r="G384" s="150">
        <f t="shared" si="20"/>
        <v>1</v>
      </c>
      <c r="H384" s="150">
        <v>64</v>
      </c>
      <c r="I384" s="85"/>
    </row>
    <row r="385" spans="1:10" ht="15.95" customHeight="1" x14ac:dyDescent="0.3">
      <c r="A385" s="128">
        <f t="shared" si="21"/>
        <v>21964</v>
      </c>
      <c r="B385" s="149" t="s">
        <v>100</v>
      </c>
      <c r="C385" s="149"/>
      <c r="D385" s="150"/>
      <c r="E385" s="150" t="s">
        <v>114</v>
      </c>
      <c r="F385" s="150">
        <v>3</v>
      </c>
      <c r="G385" s="150">
        <f t="shared" si="20"/>
        <v>1</v>
      </c>
      <c r="H385" s="150">
        <v>64</v>
      </c>
      <c r="I385" s="85"/>
    </row>
    <row r="386" spans="1:10" ht="15.95" customHeight="1" x14ac:dyDescent="0.3">
      <c r="A386" s="128">
        <f t="shared" si="21"/>
        <v>22028</v>
      </c>
      <c r="B386" s="149" t="s">
        <v>101</v>
      </c>
      <c r="C386" s="149"/>
      <c r="D386" s="150"/>
      <c r="E386" s="150" t="s">
        <v>114</v>
      </c>
      <c r="F386" s="150">
        <v>3</v>
      </c>
      <c r="G386" s="150">
        <f t="shared" si="20"/>
        <v>1</v>
      </c>
      <c r="H386" s="150">
        <v>64</v>
      </c>
      <c r="I386" s="85"/>
    </row>
    <row r="387" spans="1:10" ht="15.95" customHeight="1" x14ac:dyDescent="0.3">
      <c r="A387" s="128">
        <f t="shared" si="21"/>
        <v>22092</v>
      </c>
      <c r="B387" s="149" t="s">
        <v>102</v>
      </c>
      <c r="C387" s="149"/>
      <c r="D387" s="150"/>
      <c r="E387" s="150" t="s">
        <v>114</v>
      </c>
      <c r="F387" s="150">
        <v>3</v>
      </c>
      <c r="G387" s="150">
        <f t="shared" si="20"/>
        <v>1</v>
      </c>
      <c r="H387" s="150">
        <v>64</v>
      </c>
      <c r="I387" s="85"/>
    </row>
    <row r="388" spans="1:10" ht="15.95" customHeight="1" x14ac:dyDescent="0.3">
      <c r="A388" s="128">
        <f t="shared" si="21"/>
        <v>22156</v>
      </c>
      <c r="B388" s="149"/>
      <c r="C388" s="149"/>
      <c r="D388" s="150"/>
      <c r="E388" s="150" t="s">
        <v>114</v>
      </c>
      <c r="F388" s="150">
        <v>3</v>
      </c>
      <c r="G388" s="150">
        <f t="shared" si="20"/>
        <v>1</v>
      </c>
      <c r="H388" s="150">
        <v>24</v>
      </c>
      <c r="I388" s="85"/>
    </row>
    <row r="389" spans="1:10" ht="15.95" customHeight="1" x14ac:dyDescent="0.3">
      <c r="A389" s="162" t="s">
        <v>116</v>
      </c>
      <c r="B389" s="162"/>
      <c r="C389" s="162"/>
      <c r="D389" s="162"/>
      <c r="E389" s="162"/>
      <c r="F389" s="162"/>
      <c r="G389" s="162"/>
      <c r="H389" s="162"/>
      <c r="I389" s="88"/>
    </row>
    <row r="390" spans="1:10" ht="15.95" customHeight="1" x14ac:dyDescent="0.3">
      <c r="A390" s="131">
        <f>A388+(G388*H388)</f>
        <v>22180</v>
      </c>
      <c r="B390" s="138" t="s">
        <v>399</v>
      </c>
      <c r="C390" s="138"/>
      <c r="D390" s="131"/>
      <c r="E390" s="15" t="s">
        <v>123</v>
      </c>
      <c r="F390" s="15">
        <v>3</v>
      </c>
      <c r="G390" s="15">
        <f t="shared" ref="G390:G439" si="22">IF(OR(E390="U16", E390="S16"),1,IF(E390="TS",6,2))</f>
        <v>1</v>
      </c>
      <c r="H390" s="131">
        <v>1</v>
      </c>
      <c r="I390" s="85"/>
    </row>
    <row r="391" spans="1:10" ht="15.95" customHeight="1" x14ac:dyDescent="0.3">
      <c r="A391" s="131">
        <f t="shared" ref="A391:A441" si="23">A390+(G390*H390)</f>
        <v>22181</v>
      </c>
      <c r="B391" s="138" t="s">
        <v>400</v>
      </c>
      <c r="C391" s="138"/>
      <c r="D391" s="131"/>
      <c r="E391" s="15" t="s">
        <v>123</v>
      </c>
      <c r="F391" s="15">
        <v>3</v>
      </c>
      <c r="G391" s="15">
        <f t="shared" si="22"/>
        <v>1</v>
      </c>
      <c r="H391" s="131">
        <v>1</v>
      </c>
      <c r="I391" s="85"/>
    </row>
    <row r="392" spans="1:10" ht="15.95" customHeight="1" x14ac:dyDescent="0.3">
      <c r="A392" s="131">
        <f t="shared" si="23"/>
        <v>22182</v>
      </c>
      <c r="B392" s="138" t="s">
        <v>117</v>
      </c>
      <c r="C392" s="138"/>
      <c r="D392" s="131"/>
      <c r="E392" s="15" t="s">
        <v>91</v>
      </c>
      <c r="F392" s="15">
        <v>3</v>
      </c>
      <c r="G392" s="15">
        <f t="shared" si="22"/>
        <v>2</v>
      </c>
      <c r="H392" s="131">
        <v>1</v>
      </c>
      <c r="I392" s="85"/>
    </row>
    <row r="393" spans="1:10" ht="15.95" customHeight="1" x14ac:dyDescent="0.3">
      <c r="A393" s="131">
        <f t="shared" si="23"/>
        <v>22184</v>
      </c>
      <c r="B393" s="185" t="s">
        <v>30</v>
      </c>
      <c r="C393" s="144" t="s">
        <v>1117</v>
      </c>
      <c r="D393" s="143"/>
      <c r="E393" s="143" t="s">
        <v>436</v>
      </c>
      <c r="F393" s="143">
        <v>3</v>
      </c>
      <c r="G393" s="143">
        <v>2</v>
      </c>
      <c r="H393" s="143">
        <v>1</v>
      </c>
      <c r="I393" s="85"/>
    </row>
    <row r="394" spans="1:10" ht="15.95" customHeight="1" x14ac:dyDescent="0.3">
      <c r="A394" s="131">
        <f t="shared" si="23"/>
        <v>22186</v>
      </c>
      <c r="B394" s="186"/>
      <c r="C394" s="144" t="s">
        <v>1116</v>
      </c>
      <c r="D394" s="143"/>
      <c r="E394" s="143" t="s">
        <v>258</v>
      </c>
      <c r="F394" s="143">
        <v>3</v>
      </c>
      <c r="G394" s="143">
        <v>2</v>
      </c>
      <c r="H394" s="143">
        <v>1</v>
      </c>
      <c r="I394" s="85"/>
    </row>
    <row r="395" spans="1:10" ht="15.95" customHeight="1" x14ac:dyDescent="0.3">
      <c r="A395" s="131">
        <f t="shared" si="23"/>
        <v>22188</v>
      </c>
      <c r="B395" s="186"/>
      <c r="C395" s="144" t="s">
        <v>1118</v>
      </c>
      <c r="D395" s="143"/>
      <c r="E395" s="143" t="s">
        <v>436</v>
      </c>
      <c r="F395" s="143">
        <v>3</v>
      </c>
      <c r="G395" s="143">
        <v>2</v>
      </c>
      <c r="H395" s="143">
        <v>1</v>
      </c>
      <c r="I395" s="85"/>
    </row>
    <row r="396" spans="1:10" ht="15.95" customHeight="1" x14ac:dyDescent="0.3">
      <c r="A396" s="131">
        <f t="shared" si="23"/>
        <v>22190</v>
      </c>
      <c r="B396" s="187"/>
      <c r="C396" s="144" t="s">
        <v>1119</v>
      </c>
      <c r="D396" s="143"/>
      <c r="E396" s="143" t="s">
        <v>258</v>
      </c>
      <c r="F396" s="143">
        <v>3</v>
      </c>
      <c r="G396" s="143">
        <v>2</v>
      </c>
      <c r="H396" s="143">
        <v>1</v>
      </c>
      <c r="I396" s="85"/>
    </row>
    <row r="397" spans="1:10" ht="15.95" customHeight="1" x14ac:dyDescent="0.3">
      <c r="A397" s="131">
        <f t="shared" si="23"/>
        <v>22192</v>
      </c>
      <c r="B397" s="138" t="s">
        <v>197</v>
      </c>
      <c r="C397" s="138"/>
      <c r="D397" s="131"/>
      <c r="E397" s="15" t="s">
        <v>58</v>
      </c>
      <c r="F397" s="15">
        <v>3</v>
      </c>
      <c r="G397" s="15">
        <f t="shared" si="22"/>
        <v>2</v>
      </c>
      <c r="H397" s="131">
        <v>4</v>
      </c>
      <c r="I397" s="85"/>
    </row>
    <row r="398" spans="1:10" ht="15.95" customHeight="1" x14ac:dyDescent="0.3">
      <c r="A398" s="131">
        <f t="shared" si="23"/>
        <v>22200</v>
      </c>
      <c r="B398" s="138" t="s">
        <v>154</v>
      </c>
      <c r="C398" s="138"/>
      <c r="D398" s="131"/>
      <c r="E398" s="15" t="s">
        <v>58</v>
      </c>
      <c r="F398" s="15">
        <v>3</v>
      </c>
      <c r="G398" s="15">
        <f t="shared" si="22"/>
        <v>2</v>
      </c>
      <c r="H398" s="131">
        <v>4</v>
      </c>
      <c r="I398" s="85"/>
    </row>
    <row r="399" spans="1:10" ht="15.95" customHeight="1" x14ac:dyDescent="0.3">
      <c r="A399" s="131">
        <f t="shared" si="23"/>
        <v>22208</v>
      </c>
      <c r="B399" s="138" t="s">
        <v>155</v>
      </c>
      <c r="C399" s="138"/>
      <c r="D399" s="131"/>
      <c r="E399" s="15" t="s">
        <v>58</v>
      </c>
      <c r="F399" s="15">
        <v>3</v>
      </c>
      <c r="G399" s="15">
        <f t="shared" si="22"/>
        <v>2</v>
      </c>
      <c r="H399" s="131">
        <v>4</v>
      </c>
      <c r="I399" s="85"/>
    </row>
    <row r="400" spans="1:10" ht="15.95" customHeight="1" x14ac:dyDescent="0.3">
      <c r="A400" s="131">
        <f t="shared" si="23"/>
        <v>22216</v>
      </c>
      <c r="B400" s="138" t="s">
        <v>156</v>
      </c>
      <c r="C400" s="138"/>
      <c r="D400" s="131"/>
      <c r="E400" s="15" t="s">
        <v>58</v>
      </c>
      <c r="F400" s="15">
        <v>3</v>
      </c>
      <c r="G400" s="15">
        <f t="shared" si="22"/>
        <v>2</v>
      </c>
      <c r="H400" s="131">
        <v>4</v>
      </c>
      <c r="I400" s="85"/>
      <c r="J400" s="139" t="s">
        <v>124</v>
      </c>
    </row>
    <row r="401" spans="1:9" ht="15.95" customHeight="1" x14ac:dyDescent="0.3">
      <c r="A401" s="131">
        <f t="shared" si="23"/>
        <v>22224</v>
      </c>
      <c r="B401" s="138" t="s">
        <v>157</v>
      </c>
      <c r="C401" s="138"/>
      <c r="D401" s="131"/>
      <c r="E401" s="15" t="s">
        <v>58</v>
      </c>
      <c r="F401" s="15">
        <v>3</v>
      </c>
      <c r="G401" s="15">
        <f t="shared" si="22"/>
        <v>2</v>
      </c>
      <c r="H401" s="131">
        <v>4</v>
      </c>
      <c r="I401" s="85"/>
    </row>
    <row r="402" spans="1:9" ht="15.95" customHeight="1" x14ac:dyDescent="0.3">
      <c r="A402" s="131">
        <f t="shared" si="23"/>
        <v>22232</v>
      </c>
      <c r="B402" s="138" t="s">
        <v>158</v>
      </c>
      <c r="C402" s="138"/>
      <c r="D402" s="131"/>
      <c r="E402" s="15" t="s">
        <v>58</v>
      </c>
      <c r="F402" s="15">
        <v>3</v>
      </c>
      <c r="G402" s="15">
        <f t="shared" si="22"/>
        <v>2</v>
      </c>
      <c r="H402" s="131">
        <v>4</v>
      </c>
      <c r="I402" s="85"/>
    </row>
    <row r="403" spans="1:9" ht="15.95" customHeight="1" x14ac:dyDescent="0.3">
      <c r="A403" s="131">
        <f t="shared" si="23"/>
        <v>22240</v>
      </c>
      <c r="B403" s="138" t="s">
        <v>159</v>
      </c>
      <c r="C403" s="138"/>
      <c r="D403" s="131"/>
      <c r="E403" s="15" t="s">
        <v>58</v>
      </c>
      <c r="F403" s="15">
        <v>3</v>
      </c>
      <c r="G403" s="15">
        <f t="shared" si="22"/>
        <v>2</v>
      </c>
      <c r="H403" s="131">
        <v>4</v>
      </c>
      <c r="I403" s="85"/>
    </row>
    <row r="404" spans="1:9" ht="15.95" customHeight="1" x14ac:dyDescent="0.3">
      <c r="A404" s="131">
        <f t="shared" si="23"/>
        <v>22248</v>
      </c>
      <c r="B404" s="138" t="s">
        <v>160</v>
      </c>
      <c r="C404" s="138"/>
      <c r="D404" s="131"/>
      <c r="E404" s="15" t="s">
        <v>58</v>
      </c>
      <c r="F404" s="15">
        <v>3</v>
      </c>
      <c r="G404" s="15">
        <f t="shared" si="22"/>
        <v>2</v>
      </c>
      <c r="H404" s="131">
        <v>4</v>
      </c>
      <c r="I404" s="85"/>
    </row>
    <row r="405" spans="1:9" ht="15.95" customHeight="1" x14ac:dyDescent="0.3">
      <c r="A405" s="131">
        <f t="shared" si="23"/>
        <v>22256</v>
      </c>
      <c r="B405" s="138" t="s">
        <v>161</v>
      </c>
      <c r="C405" s="138"/>
      <c r="D405" s="131"/>
      <c r="E405" s="15" t="s">
        <v>58</v>
      </c>
      <c r="F405" s="15">
        <v>3</v>
      </c>
      <c r="G405" s="15">
        <f t="shared" si="22"/>
        <v>2</v>
      </c>
      <c r="H405" s="131">
        <v>4</v>
      </c>
      <c r="I405" s="85"/>
    </row>
    <row r="406" spans="1:9" ht="15.95" customHeight="1" x14ac:dyDescent="0.3">
      <c r="A406" s="131">
        <f t="shared" si="23"/>
        <v>22264</v>
      </c>
      <c r="B406" s="138" t="s">
        <v>0</v>
      </c>
      <c r="C406" s="138"/>
      <c r="D406" s="131"/>
      <c r="E406" s="15" t="s">
        <v>58</v>
      </c>
      <c r="F406" s="15">
        <v>3</v>
      </c>
      <c r="G406" s="15">
        <f t="shared" si="22"/>
        <v>2</v>
      </c>
      <c r="H406" s="131">
        <v>4</v>
      </c>
      <c r="I406" s="85"/>
    </row>
    <row r="407" spans="1:9" ht="15.95" customHeight="1" x14ac:dyDescent="0.3">
      <c r="A407" s="131">
        <f t="shared" si="23"/>
        <v>22272</v>
      </c>
      <c r="B407" s="138" t="s">
        <v>119</v>
      </c>
      <c r="C407" s="138"/>
      <c r="D407" s="131"/>
      <c r="E407" s="15" t="s">
        <v>58</v>
      </c>
      <c r="F407" s="15">
        <v>3</v>
      </c>
      <c r="G407" s="15">
        <f t="shared" si="22"/>
        <v>2</v>
      </c>
      <c r="H407" s="131">
        <v>4</v>
      </c>
      <c r="I407" s="85"/>
    </row>
    <row r="408" spans="1:9" ht="15.95" customHeight="1" x14ac:dyDescent="0.3">
      <c r="A408" s="131">
        <f t="shared" si="23"/>
        <v>22280</v>
      </c>
      <c r="B408" s="138" t="s">
        <v>120</v>
      </c>
      <c r="C408" s="138"/>
      <c r="D408" s="131"/>
      <c r="E408" s="15" t="s">
        <v>58</v>
      </c>
      <c r="F408" s="15">
        <v>3</v>
      </c>
      <c r="G408" s="15">
        <f t="shared" si="22"/>
        <v>2</v>
      </c>
      <c r="H408" s="131">
        <v>4</v>
      </c>
      <c r="I408" s="85"/>
    </row>
    <row r="409" spans="1:9" ht="15.95" customHeight="1" x14ac:dyDescent="0.3">
      <c r="A409" s="131">
        <f t="shared" si="23"/>
        <v>22288</v>
      </c>
      <c r="B409" s="138" t="s">
        <v>129</v>
      </c>
      <c r="C409" s="138"/>
      <c r="D409" s="131"/>
      <c r="E409" s="15" t="s">
        <v>58</v>
      </c>
      <c r="F409" s="15">
        <v>3</v>
      </c>
      <c r="G409" s="15">
        <f t="shared" si="22"/>
        <v>2</v>
      </c>
      <c r="H409" s="131">
        <v>4</v>
      </c>
      <c r="I409" s="85"/>
    </row>
    <row r="410" spans="1:9" ht="15.95" customHeight="1" x14ac:dyDescent="0.3">
      <c r="A410" s="131">
        <f t="shared" si="23"/>
        <v>22296</v>
      </c>
      <c r="B410" s="138" t="s">
        <v>131</v>
      </c>
      <c r="C410" s="138"/>
      <c r="D410" s="131"/>
      <c r="E410" s="15" t="s">
        <v>58</v>
      </c>
      <c r="F410" s="15">
        <v>3</v>
      </c>
      <c r="G410" s="15">
        <f t="shared" si="22"/>
        <v>2</v>
      </c>
      <c r="H410" s="131">
        <v>4</v>
      </c>
      <c r="I410" s="85"/>
    </row>
    <row r="411" spans="1:9" ht="15.95" customHeight="1" x14ac:dyDescent="0.3">
      <c r="A411" s="131">
        <f t="shared" si="23"/>
        <v>22304</v>
      </c>
      <c r="B411" s="138" t="s">
        <v>122</v>
      </c>
      <c r="C411" s="138"/>
      <c r="D411" s="131"/>
      <c r="E411" s="15" t="s">
        <v>58</v>
      </c>
      <c r="F411" s="15">
        <v>3</v>
      </c>
      <c r="G411" s="15">
        <f t="shared" si="22"/>
        <v>2</v>
      </c>
      <c r="H411" s="131">
        <v>4</v>
      </c>
      <c r="I411" s="85"/>
    </row>
    <row r="412" spans="1:9" ht="15.95" customHeight="1" x14ac:dyDescent="0.3">
      <c r="A412" s="131">
        <f t="shared" si="23"/>
        <v>22312</v>
      </c>
      <c r="B412" s="138" t="s">
        <v>130</v>
      </c>
      <c r="C412" s="138"/>
      <c r="D412" s="131"/>
      <c r="E412" s="15" t="s">
        <v>58</v>
      </c>
      <c r="F412" s="15">
        <v>3</v>
      </c>
      <c r="G412" s="15">
        <f t="shared" si="22"/>
        <v>2</v>
      </c>
      <c r="H412" s="131">
        <v>4</v>
      </c>
      <c r="I412" s="85"/>
    </row>
    <row r="413" spans="1:9" ht="15.95" customHeight="1" x14ac:dyDescent="0.3">
      <c r="A413" s="131">
        <f t="shared" si="23"/>
        <v>22320</v>
      </c>
      <c r="B413" s="138" t="s">
        <v>60</v>
      </c>
      <c r="C413" s="138"/>
      <c r="D413" s="131"/>
      <c r="E413" s="15" t="s">
        <v>58</v>
      </c>
      <c r="F413" s="15">
        <v>3</v>
      </c>
      <c r="G413" s="15">
        <f t="shared" si="22"/>
        <v>2</v>
      </c>
      <c r="H413" s="131">
        <v>4</v>
      </c>
      <c r="I413" s="85"/>
    </row>
    <row r="414" spans="1:9" ht="15.95" customHeight="1" x14ac:dyDescent="0.3">
      <c r="A414" s="131">
        <f t="shared" si="23"/>
        <v>22328</v>
      </c>
      <c r="B414" s="138" t="s">
        <v>3</v>
      </c>
      <c r="C414" s="138"/>
      <c r="D414" s="131"/>
      <c r="E414" s="15" t="s">
        <v>58</v>
      </c>
      <c r="F414" s="15">
        <v>3</v>
      </c>
      <c r="G414" s="15">
        <f t="shared" si="22"/>
        <v>2</v>
      </c>
      <c r="H414" s="131">
        <v>4</v>
      </c>
      <c r="I414" s="85"/>
    </row>
    <row r="415" spans="1:9" ht="15.95" customHeight="1" x14ac:dyDescent="0.3">
      <c r="A415" s="131">
        <f t="shared" si="23"/>
        <v>22336</v>
      </c>
      <c r="B415" s="138" t="s">
        <v>4</v>
      </c>
      <c r="C415" s="138"/>
      <c r="D415" s="131"/>
      <c r="E415" s="15" t="s">
        <v>58</v>
      </c>
      <c r="F415" s="15">
        <v>3</v>
      </c>
      <c r="G415" s="15">
        <f>IF(OR(E415="U16", E415="S16"),1,IF(E415="TS",6,2))</f>
        <v>2</v>
      </c>
      <c r="H415" s="131">
        <v>4</v>
      </c>
      <c r="I415" s="85"/>
    </row>
    <row r="416" spans="1:9" ht="15.95" customHeight="1" x14ac:dyDescent="0.3">
      <c r="A416" s="131">
        <f t="shared" si="23"/>
        <v>22344</v>
      </c>
      <c r="B416" s="138" t="s">
        <v>61</v>
      </c>
      <c r="C416" s="138"/>
      <c r="D416" s="131"/>
      <c r="E416" s="15" t="s">
        <v>58</v>
      </c>
      <c r="F416" s="15">
        <v>3</v>
      </c>
      <c r="G416" s="15">
        <f>IF(OR(E416="U16", E416="S16"),1,IF(E416="TS",6,2))</f>
        <v>2</v>
      </c>
      <c r="H416" s="131">
        <v>4</v>
      </c>
      <c r="I416" s="85"/>
    </row>
    <row r="417" spans="1:9" ht="15.95" customHeight="1" x14ac:dyDescent="0.3">
      <c r="A417" s="131">
        <f t="shared" si="23"/>
        <v>22352</v>
      </c>
      <c r="B417" s="138" t="s">
        <v>62</v>
      </c>
      <c r="C417" s="138"/>
      <c r="D417" s="131"/>
      <c r="E417" s="15" t="s">
        <v>58</v>
      </c>
      <c r="F417" s="15">
        <v>3</v>
      </c>
      <c r="G417" s="15">
        <f>IF(OR(E417="U16", E417="S16"),1,IF(E417="TS",6,2))</f>
        <v>2</v>
      </c>
      <c r="H417" s="131">
        <v>4</v>
      </c>
      <c r="I417" s="85"/>
    </row>
    <row r="418" spans="1:9" ht="15.95" customHeight="1" x14ac:dyDescent="0.3">
      <c r="A418" s="131">
        <f t="shared" si="23"/>
        <v>22360</v>
      </c>
      <c r="B418" s="138" t="s">
        <v>63</v>
      </c>
      <c r="C418" s="138"/>
      <c r="D418" s="131"/>
      <c r="E418" s="15" t="s">
        <v>58</v>
      </c>
      <c r="F418" s="15">
        <v>3</v>
      </c>
      <c r="G418" s="15">
        <f>IF(OR(E418="U16", E418="S16"),1,IF(E418="TS",6,2))</f>
        <v>2</v>
      </c>
      <c r="H418" s="131">
        <v>4</v>
      </c>
      <c r="I418" s="85"/>
    </row>
    <row r="419" spans="1:9" ht="15.95" customHeight="1" x14ac:dyDescent="0.3">
      <c r="A419" s="131">
        <f t="shared" si="23"/>
        <v>22368</v>
      </c>
      <c r="B419" s="138" t="s">
        <v>64</v>
      </c>
      <c r="C419" s="138"/>
      <c r="D419" s="131"/>
      <c r="E419" s="15" t="s">
        <v>58</v>
      </c>
      <c r="F419" s="15">
        <v>3</v>
      </c>
      <c r="G419" s="15">
        <f t="shared" si="22"/>
        <v>2</v>
      </c>
      <c r="H419" s="131">
        <v>4</v>
      </c>
      <c r="I419" s="85"/>
    </row>
    <row r="420" spans="1:9" ht="15.95" customHeight="1" x14ac:dyDescent="0.3">
      <c r="A420" s="131">
        <f t="shared" si="23"/>
        <v>22376</v>
      </c>
      <c r="B420" s="138" t="s">
        <v>65</v>
      </c>
      <c r="C420" s="138"/>
      <c r="D420" s="131"/>
      <c r="E420" s="15" t="s">
        <v>58</v>
      </c>
      <c r="F420" s="15">
        <v>3</v>
      </c>
      <c r="G420" s="15">
        <f t="shared" si="22"/>
        <v>2</v>
      </c>
      <c r="H420" s="131">
        <v>4</v>
      </c>
      <c r="I420" s="85"/>
    </row>
    <row r="421" spans="1:9" ht="15.95" customHeight="1" x14ac:dyDescent="0.3">
      <c r="A421" s="131">
        <f t="shared" si="23"/>
        <v>22384</v>
      </c>
      <c r="B421" s="138" t="s">
        <v>66</v>
      </c>
      <c r="C421" s="138"/>
      <c r="D421" s="131"/>
      <c r="E421" s="15" t="s">
        <v>58</v>
      </c>
      <c r="F421" s="15">
        <v>3</v>
      </c>
      <c r="G421" s="15">
        <f t="shared" si="22"/>
        <v>2</v>
      </c>
      <c r="H421" s="131">
        <v>4</v>
      </c>
      <c r="I421" s="85"/>
    </row>
    <row r="422" spans="1:9" ht="15.95" customHeight="1" x14ac:dyDescent="0.3">
      <c r="A422" s="131">
        <f t="shared" si="23"/>
        <v>22392</v>
      </c>
      <c r="B422" s="138" t="s">
        <v>6</v>
      </c>
      <c r="C422" s="138"/>
      <c r="D422" s="131"/>
      <c r="E422" s="15" t="s">
        <v>58</v>
      </c>
      <c r="F422" s="15">
        <v>3</v>
      </c>
      <c r="G422" s="15">
        <f t="shared" si="22"/>
        <v>2</v>
      </c>
      <c r="H422" s="131">
        <v>4</v>
      </c>
      <c r="I422" s="85"/>
    </row>
    <row r="423" spans="1:9" ht="15.95" customHeight="1" x14ac:dyDescent="0.3">
      <c r="A423" s="131">
        <f t="shared" si="23"/>
        <v>22400</v>
      </c>
      <c r="B423" s="138" t="s">
        <v>7</v>
      </c>
      <c r="C423" s="138"/>
      <c r="D423" s="131"/>
      <c r="E423" s="15" t="s">
        <v>58</v>
      </c>
      <c r="F423" s="15">
        <v>3</v>
      </c>
      <c r="G423" s="15">
        <f t="shared" si="22"/>
        <v>2</v>
      </c>
      <c r="H423" s="131">
        <v>4</v>
      </c>
      <c r="I423" s="85"/>
    </row>
    <row r="424" spans="1:9" ht="15.95" customHeight="1" x14ac:dyDescent="0.3">
      <c r="A424" s="131">
        <f t="shared" si="23"/>
        <v>22408</v>
      </c>
      <c r="B424" s="138" t="s">
        <v>67</v>
      </c>
      <c r="C424" s="138"/>
      <c r="D424" s="131"/>
      <c r="E424" s="15" t="s">
        <v>58</v>
      </c>
      <c r="F424" s="15">
        <v>3</v>
      </c>
      <c r="G424" s="15">
        <f t="shared" si="22"/>
        <v>2</v>
      </c>
      <c r="H424" s="131">
        <v>4</v>
      </c>
      <c r="I424" s="85"/>
    </row>
    <row r="425" spans="1:9" ht="15.95" customHeight="1" x14ac:dyDescent="0.3">
      <c r="A425" s="131">
        <f t="shared" si="23"/>
        <v>22416</v>
      </c>
      <c r="B425" s="138" t="s">
        <v>135</v>
      </c>
      <c r="C425" s="138"/>
      <c r="D425" s="131"/>
      <c r="E425" s="15" t="s">
        <v>58</v>
      </c>
      <c r="F425" s="15">
        <v>3</v>
      </c>
      <c r="G425" s="15">
        <f t="shared" si="22"/>
        <v>2</v>
      </c>
      <c r="H425" s="131">
        <v>4</v>
      </c>
      <c r="I425" s="85"/>
    </row>
    <row r="426" spans="1:9" ht="15.95" customHeight="1" x14ac:dyDescent="0.3">
      <c r="A426" s="131">
        <f t="shared" si="23"/>
        <v>22424</v>
      </c>
      <c r="B426" s="138" t="s">
        <v>136</v>
      </c>
      <c r="C426" s="138"/>
      <c r="D426" s="131"/>
      <c r="E426" s="15" t="s">
        <v>58</v>
      </c>
      <c r="F426" s="15">
        <v>3</v>
      </c>
      <c r="G426" s="15">
        <f t="shared" si="22"/>
        <v>2</v>
      </c>
      <c r="H426" s="131">
        <v>4</v>
      </c>
      <c r="I426" s="85"/>
    </row>
    <row r="427" spans="1:9" ht="15.95" customHeight="1" x14ac:dyDescent="0.3">
      <c r="A427" s="131">
        <f t="shared" si="23"/>
        <v>22432</v>
      </c>
      <c r="B427" s="138" t="s">
        <v>137</v>
      </c>
      <c r="C427" s="138"/>
      <c r="D427" s="131"/>
      <c r="E427" s="15" t="s">
        <v>58</v>
      </c>
      <c r="F427" s="15">
        <v>3</v>
      </c>
      <c r="G427" s="15">
        <f t="shared" si="22"/>
        <v>2</v>
      </c>
      <c r="H427" s="131">
        <v>4</v>
      </c>
      <c r="I427" s="85"/>
    </row>
    <row r="428" spans="1:9" ht="15.95" customHeight="1" x14ac:dyDescent="0.3">
      <c r="A428" s="131">
        <f t="shared" si="23"/>
        <v>22440</v>
      </c>
      <c r="B428" s="138" t="s">
        <v>81</v>
      </c>
      <c r="C428" s="138"/>
      <c r="D428" s="131"/>
      <c r="E428" s="15" t="s">
        <v>58</v>
      </c>
      <c r="F428" s="15">
        <v>3</v>
      </c>
      <c r="G428" s="15">
        <f t="shared" si="22"/>
        <v>2</v>
      </c>
      <c r="H428" s="131">
        <v>4</v>
      </c>
      <c r="I428" s="85"/>
    </row>
    <row r="429" spans="1:9" ht="15.95" customHeight="1" x14ac:dyDescent="0.3">
      <c r="A429" s="131">
        <f t="shared" si="23"/>
        <v>22448</v>
      </c>
      <c r="B429" s="138" t="s">
        <v>236</v>
      </c>
      <c r="C429" s="138"/>
      <c r="D429" s="131"/>
      <c r="E429" s="15" t="s">
        <v>58</v>
      </c>
      <c r="F429" s="15">
        <v>3</v>
      </c>
      <c r="G429" s="15">
        <f t="shared" si="22"/>
        <v>2</v>
      </c>
      <c r="H429" s="131">
        <v>4</v>
      </c>
      <c r="I429" s="85"/>
    </row>
    <row r="430" spans="1:9" ht="15.95" customHeight="1" x14ac:dyDescent="0.3">
      <c r="A430" s="131">
        <f t="shared" si="23"/>
        <v>22456</v>
      </c>
      <c r="B430" s="138" t="s">
        <v>237</v>
      </c>
      <c r="C430" s="138"/>
      <c r="D430" s="131"/>
      <c r="E430" s="15" t="s">
        <v>58</v>
      </c>
      <c r="F430" s="15">
        <v>3</v>
      </c>
      <c r="G430" s="15">
        <f t="shared" si="22"/>
        <v>2</v>
      </c>
      <c r="H430" s="131">
        <v>4</v>
      </c>
      <c r="I430" s="85"/>
    </row>
    <row r="431" spans="1:9" ht="15.95" customHeight="1" x14ac:dyDescent="0.3">
      <c r="A431" s="131">
        <f t="shared" si="23"/>
        <v>22464</v>
      </c>
      <c r="B431" s="138" t="s">
        <v>238</v>
      </c>
      <c r="C431" s="138"/>
      <c r="D431" s="131"/>
      <c r="E431" s="15" t="s">
        <v>58</v>
      </c>
      <c r="F431" s="15">
        <v>3</v>
      </c>
      <c r="G431" s="15">
        <f t="shared" si="22"/>
        <v>2</v>
      </c>
      <c r="H431" s="131">
        <v>4</v>
      </c>
      <c r="I431" s="85"/>
    </row>
    <row r="432" spans="1:9" ht="15.95" customHeight="1" x14ac:dyDescent="0.3">
      <c r="A432" s="131">
        <f t="shared" si="23"/>
        <v>22472</v>
      </c>
      <c r="B432" s="138" t="s">
        <v>239</v>
      </c>
      <c r="C432" s="138"/>
      <c r="D432" s="131"/>
      <c r="E432" s="15" t="s">
        <v>58</v>
      </c>
      <c r="F432" s="15">
        <v>3</v>
      </c>
      <c r="G432" s="15">
        <f t="shared" si="22"/>
        <v>2</v>
      </c>
      <c r="H432" s="131">
        <v>4</v>
      </c>
      <c r="I432" s="85"/>
    </row>
    <row r="433" spans="1:9" ht="15.95" customHeight="1" x14ac:dyDescent="0.3">
      <c r="A433" s="131">
        <f t="shared" si="23"/>
        <v>22480</v>
      </c>
      <c r="B433" s="138" t="s">
        <v>240</v>
      </c>
      <c r="C433" s="138"/>
      <c r="D433" s="131"/>
      <c r="E433" s="15" t="s">
        <v>58</v>
      </c>
      <c r="F433" s="15">
        <v>3</v>
      </c>
      <c r="G433" s="15">
        <f t="shared" si="22"/>
        <v>2</v>
      </c>
      <c r="H433" s="131">
        <v>4</v>
      </c>
      <c r="I433" s="85"/>
    </row>
    <row r="434" spans="1:9" ht="15.95" customHeight="1" x14ac:dyDescent="0.3">
      <c r="A434" s="131">
        <f t="shared" si="23"/>
        <v>22488</v>
      </c>
      <c r="B434" s="138" t="s">
        <v>241</v>
      </c>
      <c r="C434" s="138"/>
      <c r="D434" s="131"/>
      <c r="E434" s="15" t="s">
        <v>58</v>
      </c>
      <c r="F434" s="15">
        <v>3</v>
      </c>
      <c r="G434" s="15">
        <f t="shared" si="22"/>
        <v>2</v>
      </c>
      <c r="H434" s="131">
        <v>4</v>
      </c>
      <c r="I434" s="85"/>
    </row>
    <row r="435" spans="1:9" ht="15.95" customHeight="1" x14ac:dyDescent="0.3">
      <c r="A435" s="131">
        <f t="shared" si="23"/>
        <v>22496</v>
      </c>
      <c r="B435" s="138" t="s">
        <v>242</v>
      </c>
      <c r="C435" s="138"/>
      <c r="D435" s="131"/>
      <c r="E435" s="15" t="s">
        <v>58</v>
      </c>
      <c r="F435" s="15">
        <v>3</v>
      </c>
      <c r="G435" s="15">
        <f t="shared" si="22"/>
        <v>2</v>
      </c>
      <c r="H435" s="131">
        <v>4</v>
      </c>
      <c r="I435" s="85"/>
    </row>
    <row r="436" spans="1:9" ht="15.95" customHeight="1" x14ac:dyDescent="0.3">
      <c r="A436" s="131">
        <f t="shared" si="23"/>
        <v>22504</v>
      </c>
      <c r="B436" s="138" t="s">
        <v>25</v>
      </c>
      <c r="C436" s="138"/>
      <c r="D436" s="131"/>
      <c r="E436" s="15" t="s">
        <v>58</v>
      </c>
      <c r="F436" s="15">
        <v>3</v>
      </c>
      <c r="G436" s="15">
        <f t="shared" si="22"/>
        <v>2</v>
      </c>
      <c r="H436" s="131">
        <v>4</v>
      </c>
      <c r="I436" s="85"/>
    </row>
    <row r="437" spans="1:9" ht="15.95" customHeight="1" x14ac:dyDescent="0.3">
      <c r="A437" s="131">
        <f t="shared" si="23"/>
        <v>22512</v>
      </c>
      <c r="B437" s="138" t="s">
        <v>26</v>
      </c>
      <c r="C437" s="138"/>
      <c r="D437" s="131"/>
      <c r="E437" s="15" t="s">
        <v>58</v>
      </c>
      <c r="F437" s="15">
        <v>3</v>
      </c>
      <c r="G437" s="15">
        <f>IF(OR(E437="U16", E437="S16"),1,IF(E437="TS",6,2))</f>
        <v>2</v>
      </c>
      <c r="H437" s="131">
        <v>4</v>
      </c>
      <c r="I437" s="85"/>
    </row>
    <row r="438" spans="1:9" ht="15.95" customHeight="1" x14ac:dyDescent="0.3">
      <c r="A438" s="131">
        <f t="shared" si="23"/>
        <v>22520</v>
      </c>
      <c r="B438" s="138" t="s">
        <v>401</v>
      </c>
      <c r="C438" s="138"/>
      <c r="D438" s="131"/>
      <c r="E438" s="15" t="s">
        <v>258</v>
      </c>
      <c r="F438" s="15">
        <v>3</v>
      </c>
      <c r="G438" s="15">
        <f>IF(OR(E438="U16", E438="S16"),1,IF(E438="TS",6,2))</f>
        <v>2</v>
      </c>
      <c r="H438" s="131">
        <v>1</v>
      </c>
      <c r="I438" s="85"/>
    </row>
    <row r="439" spans="1:9" ht="15.95" customHeight="1" x14ac:dyDescent="0.3">
      <c r="A439" s="131">
        <f t="shared" si="23"/>
        <v>22522</v>
      </c>
      <c r="B439" s="138" t="s">
        <v>195</v>
      </c>
      <c r="C439" s="138"/>
      <c r="D439" s="131"/>
      <c r="E439" s="15" t="s">
        <v>123</v>
      </c>
      <c r="F439" s="15">
        <v>3</v>
      </c>
      <c r="G439" s="15">
        <f t="shared" si="22"/>
        <v>1</v>
      </c>
      <c r="H439" s="131">
        <v>1</v>
      </c>
      <c r="I439" s="85"/>
    </row>
    <row r="440" spans="1:9" ht="15.95" customHeight="1" x14ac:dyDescent="0.3">
      <c r="A440" s="131">
        <f t="shared" si="23"/>
        <v>22523</v>
      </c>
      <c r="B440" s="138" t="s">
        <v>397</v>
      </c>
      <c r="C440" s="138"/>
      <c r="D440" s="131"/>
      <c r="E440" s="15" t="s">
        <v>123</v>
      </c>
      <c r="F440" s="15">
        <v>3</v>
      </c>
      <c r="G440" s="15">
        <f>IF(OR(E440="U16", E440="S16"),1,IF(E440="TS",6,2))</f>
        <v>1</v>
      </c>
      <c r="H440" s="131">
        <v>1</v>
      </c>
      <c r="I440" s="85"/>
    </row>
    <row r="441" spans="1:9" ht="15.95" customHeight="1" x14ac:dyDescent="0.3">
      <c r="A441" s="131">
        <f t="shared" si="23"/>
        <v>22524</v>
      </c>
      <c r="B441" s="138"/>
      <c r="C441" s="138"/>
      <c r="D441" s="131"/>
      <c r="E441" s="15" t="s">
        <v>123</v>
      </c>
      <c r="F441" s="15">
        <v>3</v>
      </c>
      <c r="G441" s="15">
        <f>IF(OR(E441="U16", E441="S16"),1,IF(E441="TS",6,2))</f>
        <v>1</v>
      </c>
      <c r="H441" s="131">
        <v>6</v>
      </c>
      <c r="I441" s="85"/>
    </row>
    <row r="442" spans="1:9" ht="15.95" customHeight="1" x14ac:dyDescent="0.3">
      <c r="A442" s="162" t="s">
        <v>437</v>
      </c>
      <c r="B442" s="162"/>
      <c r="C442" s="162"/>
      <c r="D442" s="162"/>
      <c r="E442" s="162"/>
      <c r="F442" s="162"/>
      <c r="G442" s="162"/>
      <c r="H442" s="162"/>
      <c r="I442" s="88"/>
    </row>
    <row r="443" spans="1:9" ht="15.95" customHeight="1" x14ac:dyDescent="0.3">
      <c r="A443" s="131">
        <f>A441+(G441*H441)</f>
        <v>22530</v>
      </c>
      <c r="B443" s="138" t="s">
        <v>399</v>
      </c>
      <c r="C443" s="138"/>
      <c r="D443" s="131"/>
      <c r="E443" s="15" t="s">
        <v>123</v>
      </c>
      <c r="F443" s="15">
        <v>3</v>
      </c>
      <c r="G443" s="15">
        <f t="shared" ref="G443:G482" si="24">IF(OR(E443="U16", E443="S16"),1,IF(E443="TS",6,2))</f>
        <v>1</v>
      </c>
      <c r="H443" s="131">
        <v>1</v>
      </c>
      <c r="I443" s="85"/>
    </row>
    <row r="444" spans="1:9" ht="15.95" customHeight="1" x14ac:dyDescent="0.3">
      <c r="A444" s="131">
        <f t="shared" ref="A444:A484" si="25">A443+(G443*H443)</f>
        <v>22531</v>
      </c>
      <c r="B444" s="138" t="s">
        <v>400</v>
      </c>
      <c r="C444" s="138"/>
      <c r="D444" s="131"/>
      <c r="E444" s="15" t="s">
        <v>123</v>
      </c>
      <c r="F444" s="15">
        <v>3</v>
      </c>
      <c r="G444" s="15">
        <f t="shared" si="24"/>
        <v>1</v>
      </c>
      <c r="H444" s="131">
        <v>1</v>
      </c>
      <c r="I444" s="85"/>
    </row>
    <row r="445" spans="1:9" ht="15.95" customHeight="1" thickBot="1" x14ac:dyDescent="0.35">
      <c r="A445" s="132">
        <f t="shared" si="25"/>
        <v>22532</v>
      </c>
      <c r="B445" s="110" t="s">
        <v>795</v>
      </c>
      <c r="C445" s="110"/>
      <c r="D445" s="132"/>
      <c r="E445" s="17" t="s">
        <v>258</v>
      </c>
      <c r="F445" s="17">
        <v>3</v>
      </c>
      <c r="G445" s="17">
        <f t="shared" si="24"/>
        <v>2</v>
      </c>
      <c r="H445" s="132">
        <v>1</v>
      </c>
      <c r="I445" s="85"/>
    </row>
    <row r="446" spans="1:9" ht="15.95" customHeight="1" x14ac:dyDescent="0.3">
      <c r="A446" s="34">
        <f t="shared" si="25"/>
        <v>22534</v>
      </c>
      <c r="B446" s="188" t="s">
        <v>796</v>
      </c>
      <c r="C446" s="134" t="s">
        <v>797</v>
      </c>
      <c r="D446" s="35"/>
      <c r="E446" s="35" t="s">
        <v>123</v>
      </c>
      <c r="F446" s="35">
        <v>3</v>
      </c>
      <c r="G446" s="35">
        <f t="shared" si="24"/>
        <v>1</v>
      </c>
      <c r="H446" s="36">
        <v>1</v>
      </c>
      <c r="I446" s="92"/>
    </row>
    <row r="447" spans="1:9" ht="15.95" customHeight="1" x14ac:dyDescent="0.3">
      <c r="A447" s="63">
        <f t="shared" si="25"/>
        <v>22535</v>
      </c>
      <c r="B447" s="189"/>
      <c r="C447" s="135" t="s">
        <v>798</v>
      </c>
      <c r="D447" s="137"/>
      <c r="E447" s="137" t="s">
        <v>123</v>
      </c>
      <c r="F447" s="137">
        <v>3</v>
      </c>
      <c r="G447" s="137">
        <f t="shared" si="24"/>
        <v>1</v>
      </c>
      <c r="H447" s="65">
        <v>1</v>
      </c>
      <c r="I447" s="92"/>
    </row>
    <row r="448" spans="1:9" ht="15.95" customHeight="1" x14ac:dyDescent="0.3">
      <c r="A448" s="63">
        <f t="shared" si="25"/>
        <v>22536</v>
      </c>
      <c r="B448" s="189"/>
      <c r="C448" s="135" t="s">
        <v>799</v>
      </c>
      <c r="D448" s="137"/>
      <c r="E448" s="137" t="s">
        <v>58</v>
      </c>
      <c r="F448" s="137">
        <v>3</v>
      </c>
      <c r="G448" s="137">
        <f t="shared" si="24"/>
        <v>2</v>
      </c>
      <c r="H448" s="65">
        <v>1</v>
      </c>
      <c r="I448" s="92"/>
    </row>
    <row r="449" spans="1:9" ht="15.95" customHeight="1" x14ac:dyDescent="0.3">
      <c r="A449" s="63">
        <f t="shared" si="25"/>
        <v>22538</v>
      </c>
      <c r="B449" s="189"/>
      <c r="C449" s="135" t="s">
        <v>800</v>
      </c>
      <c r="D449" s="137"/>
      <c r="E449" s="137" t="s">
        <v>123</v>
      </c>
      <c r="F449" s="137">
        <v>3</v>
      </c>
      <c r="G449" s="137">
        <f t="shared" si="24"/>
        <v>1</v>
      </c>
      <c r="H449" s="65">
        <v>1</v>
      </c>
      <c r="I449" s="92"/>
    </row>
    <row r="450" spans="1:9" ht="15.95" customHeight="1" thickBot="1" x14ac:dyDescent="0.35">
      <c r="A450" s="37">
        <f t="shared" si="25"/>
        <v>22539</v>
      </c>
      <c r="B450" s="190"/>
      <c r="C450" s="136" t="s">
        <v>801</v>
      </c>
      <c r="D450" s="38"/>
      <c r="E450" s="38" t="s">
        <v>123</v>
      </c>
      <c r="F450" s="38">
        <v>3</v>
      </c>
      <c r="G450" s="38">
        <f t="shared" si="24"/>
        <v>1</v>
      </c>
      <c r="H450" s="39">
        <v>1</v>
      </c>
      <c r="I450" s="92"/>
    </row>
    <row r="451" spans="1:9" ht="15.95" customHeight="1" x14ac:dyDescent="0.3">
      <c r="A451" s="133">
        <f t="shared" si="25"/>
        <v>22540</v>
      </c>
      <c r="B451" s="111" t="s">
        <v>802</v>
      </c>
      <c r="C451" s="111"/>
      <c r="D451" s="133"/>
      <c r="E451" s="32" t="s">
        <v>123</v>
      </c>
      <c r="F451" s="32">
        <v>3</v>
      </c>
      <c r="G451" s="32">
        <f t="shared" si="24"/>
        <v>1</v>
      </c>
      <c r="H451" s="133">
        <v>6</v>
      </c>
      <c r="I451" s="85"/>
    </row>
    <row r="452" spans="1:9" ht="15.95" customHeight="1" x14ac:dyDescent="0.3">
      <c r="A452" s="131">
        <f t="shared" si="25"/>
        <v>22546</v>
      </c>
      <c r="B452" s="138" t="s">
        <v>803</v>
      </c>
      <c r="C452" s="138"/>
      <c r="D452" s="131"/>
      <c r="E452" s="15" t="s">
        <v>123</v>
      </c>
      <c r="F452" s="15">
        <v>3</v>
      </c>
      <c r="G452" s="15">
        <f t="shared" si="24"/>
        <v>1</v>
      </c>
      <c r="H452" s="131">
        <v>6</v>
      </c>
      <c r="I452" s="85"/>
    </row>
    <row r="453" spans="1:9" ht="15.95" customHeight="1" x14ac:dyDescent="0.3">
      <c r="A453" s="131">
        <f t="shared" si="25"/>
        <v>22552</v>
      </c>
      <c r="B453" s="138" t="s">
        <v>804</v>
      </c>
      <c r="C453" s="138"/>
      <c r="D453" s="131"/>
      <c r="E453" s="15" t="s">
        <v>123</v>
      </c>
      <c r="F453" s="15">
        <v>3</v>
      </c>
      <c r="G453" s="15">
        <f t="shared" si="24"/>
        <v>1</v>
      </c>
      <c r="H453" s="131">
        <v>6</v>
      </c>
      <c r="I453" s="85"/>
    </row>
    <row r="454" spans="1:9" ht="15.95" customHeight="1" x14ac:dyDescent="0.3">
      <c r="A454" s="131">
        <f t="shared" si="25"/>
        <v>22558</v>
      </c>
      <c r="B454" s="138" t="s">
        <v>805</v>
      </c>
      <c r="C454" s="138"/>
      <c r="D454" s="131"/>
      <c r="E454" s="15" t="s">
        <v>123</v>
      </c>
      <c r="F454" s="15">
        <v>3</v>
      </c>
      <c r="G454" s="15">
        <f t="shared" si="24"/>
        <v>1</v>
      </c>
      <c r="H454" s="131">
        <v>6</v>
      </c>
      <c r="I454" s="85"/>
    </row>
    <row r="455" spans="1:9" ht="15.95" customHeight="1" x14ac:dyDescent="0.3">
      <c r="A455" s="131">
        <f t="shared" si="25"/>
        <v>22564</v>
      </c>
      <c r="B455" s="138" t="s">
        <v>806</v>
      </c>
      <c r="C455" s="138"/>
      <c r="D455" s="131"/>
      <c r="E455" s="15" t="s">
        <v>123</v>
      </c>
      <c r="F455" s="15">
        <v>3</v>
      </c>
      <c r="G455" s="15">
        <f t="shared" si="24"/>
        <v>1</v>
      </c>
      <c r="H455" s="131">
        <v>6</v>
      </c>
      <c r="I455" s="85"/>
    </row>
    <row r="456" spans="1:9" ht="15.95" customHeight="1" x14ac:dyDescent="0.3">
      <c r="A456" s="131">
        <f t="shared" si="25"/>
        <v>22570</v>
      </c>
      <c r="B456" s="138" t="s">
        <v>807</v>
      </c>
      <c r="C456" s="138"/>
      <c r="D456" s="131"/>
      <c r="E456" s="15" t="s">
        <v>123</v>
      </c>
      <c r="F456" s="15">
        <v>3</v>
      </c>
      <c r="G456" s="15">
        <f t="shared" si="24"/>
        <v>1</v>
      </c>
      <c r="H456" s="131">
        <v>6</v>
      </c>
      <c r="I456" s="85"/>
    </row>
    <row r="457" spans="1:9" ht="15.95" customHeight="1" x14ac:dyDescent="0.3">
      <c r="A457" s="131">
        <f t="shared" si="25"/>
        <v>22576</v>
      </c>
      <c r="B457" s="138" t="s">
        <v>808</v>
      </c>
      <c r="C457" s="138"/>
      <c r="D457" s="131"/>
      <c r="E457" s="15" t="s">
        <v>123</v>
      </c>
      <c r="F457" s="15">
        <v>3</v>
      </c>
      <c r="G457" s="15">
        <f t="shared" si="24"/>
        <v>1</v>
      </c>
      <c r="H457" s="131">
        <v>6</v>
      </c>
      <c r="I457" s="85"/>
    </row>
    <row r="458" spans="1:9" ht="15.95" customHeight="1" x14ac:dyDescent="0.3">
      <c r="A458" s="131">
        <f t="shared" si="25"/>
        <v>22582</v>
      </c>
      <c r="B458" s="138" t="s">
        <v>809</v>
      </c>
      <c r="C458" s="138"/>
      <c r="D458" s="131"/>
      <c r="E458" s="15" t="s">
        <v>123</v>
      </c>
      <c r="F458" s="15">
        <v>3</v>
      </c>
      <c r="G458" s="15">
        <f t="shared" si="24"/>
        <v>1</v>
      </c>
      <c r="H458" s="131">
        <v>6</v>
      </c>
      <c r="I458" s="85"/>
    </row>
    <row r="459" spans="1:9" ht="15.95" customHeight="1" x14ac:dyDescent="0.3">
      <c r="A459" s="131">
        <f t="shared" si="25"/>
        <v>22588</v>
      </c>
      <c r="B459" s="138" t="s">
        <v>810</v>
      </c>
      <c r="C459" s="138"/>
      <c r="D459" s="131"/>
      <c r="E459" s="15" t="s">
        <v>123</v>
      </c>
      <c r="F459" s="15">
        <v>3</v>
      </c>
      <c r="G459" s="15">
        <f t="shared" si="24"/>
        <v>1</v>
      </c>
      <c r="H459" s="131">
        <v>6</v>
      </c>
      <c r="I459" s="85"/>
    </row>
    <row r="460" spans="1:9" ht="15.95" customHeight="1" x14ac:dyDescent="0.3">
      <c r="A460" s="131">
        <f t="shared" si="25"/>
        <v>22594</v>
      </c>
      <c r="B460" s="138" t="s">
        <v>811</v>
      </c>
      <c r="C460" s="138"/>
      <c r="D460" s="131"/>
      <c r="E460" s="15" t="s">
        <v>123</v>
      </c>
      <c r="F460" s="15">
        <v>3</v>
      </c>
      <c r="G460" s="15">
        <f t="shared" si="24"/>
        <v>1</v>
      </c>
      <c r="H460" s="131">
        <v>6</v>
      </c>
      <c r="I460" s="85"/>
    </row>
    <row r="461" spans="1:9" ht="15.95" customHeight="1" x14ac:dyDescent="0.3">
      <c r="A461" s="131">
        <f t="shared" si="25"/>
        <v>22600</v>
      </c>
      <c r="B461" s="138" t="s">
        <v>812</v>
      </c>
      <c r="C461" s="138"/>
      <c r="D461" s="131"/>
      <c r="E461" s="15" t="s">
        <v>123</v>
      </c>
      <c r="F461" s="15">
        <v>3</v>
      </c>
      <c r="G461" s="15">
        <f t="shared" si="24"/>
        <v>1</v>
      </c>
      <c r="H461" s="131">
        <v>6</v>
      </c>
      <c r="I461" s="85"/>
    </row>
    <row r="462" spans="1:9" ht="15.95" customHeight="1" x14ac:dyDescent="0.3">
      <c r="A462" s="131">
        <f t="shared" si="25"/>
        <v>22606</v>
      </c>
      <c r="B462" s="138" t="s">
        <v>813</v>
      </c>
      <c r="C462" s="138"/>
      <c r="D462" s="131"/>
      <c r="E462" s="15" t="s">
        <v>123</v>
      </c>
      <c r="F462" s="15">
        <v>3</v>
      </c>
      <c r="G462" s="15">
        <f t="shared" si="24"/>
        <v>1</v>
      </c>
      <c r="H462" s="131">
        <v>6</v>
      </c>
      <c r="I462" s="85"/>
    </row>
    <row r="463" spans="1:9" ht="15.95" customHeight="1" x14ac:dyDescent="0.3">
      <c r="A463" s="131">
        <f t="shared" si="25"/>
        <v>22612</v>
      </c>
      <c r="B463" s="138" t="s">
        <v>814</v>
      </c>
      <c r="C463" s="138"/>
      <c r="D463" s="131"/>
      <c r="E463" s="15" t="s">
        <v>123</v>
      </c>
      <c r="F463" s="15">
        <v>3</v>
      </c>
      <c r="G463" s="15">
        <f t="shared" si="24"/>
        <v>1</v>
      </c>
      <c r="H463" s="131">
        <v>6</v>
      </c>
      <c r="I463" s="85"/>
    </row>
    <row r="464" spans="1:9" ht="15.95" customHeight="1" x14ac:dyDescent="0.3">
      <c r="A464" s="131">
        <f t="shared" si="25"/>
        <v>22618</v>
      </c>
      <c r="B464" s="138" t="s">
        <v>815</v>
      </c>
      <c r="C464" s="138"/>
      <c r="D464" s="131"/>
      <c r="E464" s="15" t="s">
        <v>123</v>
      </c>
      <c r="F464" s="15">
        <v>3</v>
      </c>
      <c r="G464" s="15">
        <f t="shared" si="24"/>
        <v>1</v>
      </c>
      <c r="H464" s="131">
        <v>6</v>
      </c>
      <c r="I464" s="85"/>
    </row>
    <row r="465" spans="1:9" ht="15.95" customHeight="1" x14ac:dyDescent="0.3">
      <c r="A465" s="131">
        <f t="shared" si="25"/>
        <v>22624</v>
      </c>
      <c r="B465" s="138" t="s">
        <v>816</v>
      </c>
      <c r="C465" s="138"/>
      <c r="D465" s="131"/>
      <c r="E465" s="15" t="s">
        <v>123</v>
      </c>
      <c r="F465" s="15">
        <v>3</v>
      </c>
      <c r="G465" s="15">
        <f t="shared" si="24"/>
        <v>1</v>
      </c>
      <c r="H465" s="131">
        <v>6</v>
      </c>
      <c r="I465" s="85"/>
    </row>
    <row r="466" spans="1:9" ht="15.95" customHeight="1" x14ac:dyDescent="0.3">
      <c r="A466" s="131">
        <f t="shared" si="25"/>
        <v>22630</v>
      </c>
      <c r="B466" s="138" t="s">
        <v>817</v>
      </c>
      <c r="C466" s="138"/>
      <c r="D466" s="131"/>
      <c r="E466" s="15" t="s">
        <v>123</v>
      </c>
      <c r="F466" s="15">
        <v>3</v>
      </c>
      <c r="G466" s="15">
        <f t="shared" si="24"/>
        <v>1</v>
      </c>
      <c r="H466" s="131">
        <v>6</v>
      </c>
      <c r="I466" s="85"/>
    </row>
    <row r="467" spans="1:9" ht="15.95" customHeight="1" x14ac:dyDescent="0.3">
      <c r="A467" s="131">
        <f t="shared" si="25"/>
        <v>22636</v>
      </c>
      <c r="B467" s="138" t="s">
        <v>818</v>
      </c>
      <c r="C467" s="138"/>
      <c r="D467" s="131"/>
      <c r="E467" s="15" t="s">
        <v>123</v>
      </c>
      <c r="F467" s="15">
        <v>3</v>
      </c>
      <c r="G467" s="15">
        <f t="shared" si="24"/>
        <v>1</v>
      </c>
      <c r="H467" s="131">
        <v>6</v>
      </c>
      <c r="I467" s="85"/>
    </row>
    <row r="468" spans="1:9" ht="15.95" customHeight="1" x14ac:dyDescent="0.3">
      <c r="A468" s="131">
        <f t="shared" si="25"/>
        <v>22642</v>
      </c>
      <c r="B468" s="138" t="s">
        <v>819</v>
      </c>
      <c r="C468" s="138"/>
      <c r="D468" s="131"/>
      <c r="E468" s="15" t="s">
        <v>123</v>
      </c>
      <c r="F468" s="15">
        <v>3</v>
      </c>
      <c r="G468" s="15">
        <f t="shared" si="24"/>
        <v>1</v>
      </c>
      <c r="H468" s="131">
        <v>6</v>
      </c>
      <c r="I468" s="85"/>
    </row>
    <row r="469" spans="1:9" ht="15.95" customHeight="1" x14ac:dyDescent="0.3">
      <c r="A469" s="131">
        <f t="shared" si="25"/>
        <v>22648</v>
      </c>
      <c r="B469" s="138" t="s">
        <v>820</v>
      </c>
      <c r="C469" s="138"/>
      <c r="D469" s="131"/>
      <c r="E469" s="15" t="s">
        <v>123</v>
      </c>
      <c r="F469" s="15">
        <v>3</v>
      </c>
      <c r="G469" s="15">
        <f t="shared" si="24"/>
        <v>1</v>
      </c>
      <c r="H469" s="131">
        <v>6</v>
      </c>
      <c r="I469" s="85"/>
    </row>
    <row r="470" spans="1:9" ht="15.95" customHeight="1" x14ac:dyDescent="0.3">
      <c r="A470" s="131">
        <f t="shared" si="25"/>
        <v>22654</v>
      </c>
      <c r="B470" s="138" t="s">
        <v>821</v>
      </c>
      <c r="C470" s="138"/>
      <c r="D470" s="131"/>
      <c r="E470" s="15" t="s">
        <v>123</v>
      </c>
      <c r="F470" s="15">
        <v>3</v>
      </c>
      <c r="G470" s="15">
        <f t="shared" si="24"/>
        <v>1</v>
      </c>
      <c r="H470" s="131">
        <v>6</v>
      </c>
      <c r="I470" s="85"/>
    </row>
    <row r="471" spans="1:9" ht="15.95" customHeight="1" x14ac:dyDescent="0.3">
      <c r="A471" s="131">
        <f t="shared" si="25"/>
        <v>22660</v>
      </c>
      <c r="B471" s="138" t="s">
        <v>822</v>
      </c>
      <c r="C471" s="138"/>
      <c r="D471" s="131"/>
      <c r="E471" s="15" t="s">
        <v>123</v>
      </c>
      <c r="F471" s="15">
        <v>3</v>
      </c>
      <c r="G471" s="15">
        <f t="shared" si="24"/>
        <v>1</v>
      </c>
      <c r="H471" s="131">
        <v>6</v>
      </c>
      <c r="I471" s="85"/>
    </row>
    <row r="472" spans="1:9" ht="15.95" customHeight="1" x14ac:dyDescent="0.3">
      <c r="A472" s="131">
        <f t="shared" si="25"/>
        <v>22666</v>
      </c>
      <c r="B472" s="138" t="s">
        <v>823</v>
      </c>
      <c r="C472" s="138"/>
      <c r="D472" s="131"/>
      <c r="E472" s="15" t="s">
        <v>123</v>
      </c>
      <c r="F472" s="15">
        <v>3</v>
      </c>
      <c r="G472" s="15">
        <f t="shared" si="24"/>
        <v>1</v>
      </c>
      <c r="H472" s="131">
        <v>6</v>
      </c>
      <c r="I472" s="85"/>
    </row>
    <row r="473" spans="1:9" ht="15.95" customHeight="1" x14ac:dyDescent="0.3">
      <c r="A473" s="131">
        <f t="shared" si="25"/>
        <v>22672</v>
      </c>
      <c r="B473" s="138" t="s">
        <v>824</v>
      </c>
      <c r="C473" s="138"/>
      <c r="D473" s="131"/>
      <c r="E473" s="15" t="s">
        <v>123</v>
      </c>
      <c r="F473" s="15">
        <v>3</v>
      </c>
      <c r="G473" s="15">
        <f t="shared" si="24"/>
        <v>1</v>
      </c>
      <c r="H473" s="131">
        <v>6</v>
      </c>
      <c r="I473" s="85"/>
    </row>
    <row r="474" spans="1:9" ht="15.95" customHeight="1" x14ac:dyDescent="0.3">
      <c r="A474" s="131">
        <f t="shared" si="25"/>
        <v>22678</v>
      </c>
      <c r="B474" s="138" t="s">
        <v>825</v>
      </c>
      <c r="C474" s="138"/>
      <c r="D474" s="131"/>
      <c r="E474" s="15" t="s">
        <v>123</v>
      </c>
      <c r="F474" s="15">
        <v>3</v>
      </c>
      <c r="G474" s="15">
        <f t="shared" si="24"/>
        <v>1</v>
      </c>
      <c r="H474" s="131">
        <v>6</v>
      </c>
      <c r="I474" s="85"/>
    </row>
    <row r="475" spans="1:9" ht="15.95" customHeight="1" x14ac:dyDescent="0.3">
      <c r="A475" s="131">
        <f t="shared" si="25"/>
        <v>22684</v>
      </c>
      <c r="B475" s="138" t="s">
        <v>826</v>
      </c>
      <c r="C475" s="138"/>
      <c r="D475" s="131"/>
      <c r="E475" s="15" t="s">
        <v>123</v>
      </c>
      <c r="F475" s="15">
        <v>3</v>
      </c>
      <c r="G475" s="15">
        <f t="shared" si="24"/>
        <v>1</v>
      </c>
      <c r="H475" s="131">
        <v>6</v>
      </c>
      <c r="I475" s="85"/>
    </row>
    <row r="476" spans="1:9" ht="15.95" customHeight="1" x14ac:dyDescent="0.3">
      <c r="A476" s="131">
        <f t="shared" si="25"/>
        <v>22690</v>
      </c>
      <c r="B476" s="138" t="s">
        <v>827</v>
      </c>
      <c r="C476" s="138"/>
      <c r="D476" s="131"/>
      <c r="E476" s="15" t="s">
        <v>123</v>
      </c>
      <c r="F476" s="15">
        <v>3</v>
      </c>
      <c r="G476" s="15">
        <f t="shared" si="24"/>
        <v>1</v>
      </c>
      <c r="H476" s="131">
        <v>6</v>
      </c>
      <c r="I476" s="85"/>
    </row>
    <row r="477" spans="1:9" ht="15.95" customHeight="1" x14ac:dyDescent="0.3">
      <c r="A477" s="131">
        <f t="shared" si="25"/>
        <v>22696</v>
      </c>
      <c r="B477" s="138" t="s">
        <v>828</v>
      </c>
      <c r="C477" s="138"/>
      <c r="D477" s="131"/>
      <c r="E477" s="15" t="s">
        <v>123</v>
      </c>
      <c r="F477" s="15">
        <v>3</v>
      </c>
      <c r="G477" s="15">
        <f t="shared" si="24"/>
        <v>1</v>
      </c>
      <c r="H477" s="131">
        <v>6</v>
      </c>
      <c r="I477" s="85"/>
    </row>
    <row r="478" spans="1:9" ht="15.95" customHeight="1" x14ac:dyDescent="0.3">
      <c r="A478" s="131">
        <f t="shared" si="25"/>
        <v>22702</v>
      </c>
      <c r="B478" s="138" t="s">
        <v>829</v>
      </c>
      <c r="C478" s="138"/>
      <c r="D478" s="131"/>
      <c r="E478" s="15" t="s">
        <v>123</v>
      </c>
      <c r="F478" s="15">
        <v>3</v>
      </c>
      <c r="G478" s="15">
        <f t="shared" si="24"/>
        <v>1</v>
      </c>
      <c r="H478" s="131">
        <v>6</v>
      </c>
      <c r="I478" s="85"/>
    </row>
    <row r="479" spans="1:9" ht="15.95" customHeight="1" x14ac:dyDescent="0.3">
      <c r="A479" s="131">
        <f t="shared" si="25"/>
        <v>22708</v>
      </c>
      <c r="B479" s="138" t="s">
        <v>830</v>
      </c>
      <c r="C479" s="138"/>
      <c r="D479" s="131"/>
      <c r="E479" s="15" t="s">
        <v>123</v>
      </c>
      <c r="F479" s="15">
        <v>3</v>
      </c>
      <c r="G479" s="15">
        <f t="shared" si="24"/>
        <v>1</v>
      </c>
      <c r="H479" s="131">
        <v>6</v>
      </c>
      <c r="I479" s="85"/>
    </row>
    <row r="480" spans="1:9" ht="15.95" customHeight="1" x14ac:dyDescent="0.3">
      <c r="A480" s="131">
        <f t="shared" si="25"/>
        <v>22714</v>
      </c>
      <c r="B480" s="138" t="s">
        <v>831</v>
      </c>
      <c r="C480" s="138"/>
      <c r="D480" s="131"/>
      <c r="E480" s="15" t="s">
        <v>123</v>
      </c>
      <c r="F480" s="15">
        <v>3</v>
      </c>
      <c r="G480" s="15">
        <f t="shared" si="24"/>
        <v>1</v>
      </c>
      <c r="H480" s="131">
        <v>6</v>
      </c>
      <c r="I480" s="85"/>
    </row>
    <row r="481" spans="1:10" ht="15.95" customHeight="1" x14ac:dyDescent="0.3">
      <c r="A481" s="131">
        <f t="shared" si="25"/>
        <v>22720</v>
      </c>
      <c r="B481" s="138" t="s">
        <v>832</v>
      </c>
      <c r="C481" s="138"/>
      <c r="D481" s="131"/>
      <c r="E481" s="15" t="s">
        <v>123</v>
      </c>
      <c r="F481" s="15">
        <v>3</v>
      </c>
      <c r="G481" s="15">
        <f t="shared" si="24"/>
        <v>1</v>
      </c>
      <c r="H481" s="131">
        <v>6</v>
      </c>
      <c r="I481" s="85"/>
    </row>
    <row r="482" spans="1:10" ht="15.95" customHeight="1" x14ac:dyDescent="0.3">
      <c r="A482" s="131">
        <f t="shared" si="25"/>
        <v>22726</v>
      </c>
      <c r="B482" s="138" t="s">
        <v>833</v>
      </c>
      <c r="C482" s="138"/>
      <c r="D482" s="131"/>
      <c r="E482" s="15" t="s">
        <v>208</v>
      </c>
      <c r="F482" s="15">
        <v>3</v>
      </c>
      <c r="G482" s="15">
        <f t="shared" si="24"/>
        <v>2</v>
      </c>
      <c r="H482" s="131">
        <v>1</v>
      </c>
      <c r="I482" s="85"/>
    </row>
    <row r="483" spans="1:10" ht="15.95" customHeight="1" x14ac:dyDescent="0.3">
      <c r="A483" s="131">
        <f t="shared" si="25"/>
        <v>22728</v>
      </c>
      <c r="B483" s="138" t="s">
        <v>1042</v>
      </c>
      <c r="C483" s="138" t="s">
        <v>1043</v>
      </c>
      <c r="D483" s="131"/>
      <c r="E483" s="15" t="s">
        <v>123</v>
      </c>
      <c r="F483" s="15">
        <v>3</v>
      </c>
      <c r="G483" s="15">
        <f>IF(OR(E483="U16", E483="S16"),1,IF(E483="TS",6,2))</f>
        <v>1</v>
      </c>
      <c r="H483" s="131">
        <v>1</v>
      </c>
      <c r="I483" s="85"/>
    </row>
    <row r="484" spans="1:10" ht="15.95" customHeight="1" x14ac:dyDescent="0.3">
      <c r="A484" s="131">
        <f t="shared" si="25"/>
        <v>22729</v>
      </c>
      <c r="B484" s="138"/>
      <c r="C484" s="138"/>
      <c r="D484" s="131"/>
      <c r="E484" s="15" t="s">
        <v>123</v>
      </c>
      <c r="F484" s="15">
        <v>3</v>
      </c>
      <c r="G484" s="15">
        <f>IF(OR(E484="U16", E484="S16"),1,IF(E484="TS",6,2))</f>
        <v>1</v>
      </c>
      <c r="H484" s="131">
        <v>1</v>
      </c>
      <c r="I484" s="85"/>
    </row>
    <row r="485" spans="1:10" ht="15.95" customHeight="1" x14ac:dyDescent="0.3">
      <c r="A485" s="162" t="s">
        <v>438</v>
      </c>
      <c r="B485" s="162"/>
      <c r="C485" s="162"/>
      <c r="D485" s="162"/>
      <c r="E485" s="162"/>
      <c r="F485" s="162"/>
      <c r="G485" s="162"/>
      <c r="H485" s="162"/>
      <c r="I485" s="88"/>
    </row>
    <row r="486" spans="1:10" ht="15.95" customHeight="1" x14ac:dyDescent="0.3">
      <c r="A486" s="131">
        <f>A484+(G484*H484)</f>
        <v>22730</v>
      </c>
      <c r="B486" s="138" t="s">
        <v>268</v>
      </c>
      <c r="C486" s="138" t="s">
        <v>834</v>
      </c>
      <c r="D486" s="131"/>
      <c r="E486" s="15" t="s">
        <v>123</v>
      </c>
      <c r="F486" s="15">
        <v>3</v>
      </c>
      <c r="G486" s="15">
        <f t="shared" ref="G486:G525" si="26">IF(OR(E486="U16", E486="S16"),1,IF(E486="TS",6,2))</f>
        <v>1</v>
      </c>
      <c r="H486" s="131">
        <v>1</v>
      </c>
      <c r="I486" s="85"/>
    </row>
    <row r="487" spans="1:10" ht="15.95" customHeight="1" x14ac:dyDescent="0.3">
      <c r="A487" s="131">
        <f t="shared" ref="A487:A526" si="27">A486+(G486*H486)</f>
        <v>22731</v>
      </c>
      <c r="B487" s="138" t="s">
        <v>269</v>
      </c>
      <c r="C487" s="138" t="s">
        <v>834</v>
      </c>
      <c r="D487" s="131"/>
      <c r="E487" s="15" t="s">
        <v>123</v>
      </c>
      <c r="F487" s="15">
        <v>3</v>
      </c>
      <c r="G487" s="15">
        <f t="shared" si="26"/>
        <v>1</v>
      </c>
      <c r="H487" s="131">
        <v>1</v>
      </c>
      <c r="I487" s="85"/>
    </row>
    <row r="488" spans="1:10" ht="15.95" customHeight="1" x14ac:dyDescent="0.3">
      <c r="A488" s="131">
        <f t="shared" si="27"/>
        <v>22732</v>
      </c>
      <c r="B488" s="138" t="s">
        <v>270</v>
      </c>
      <c r="C488" s="138" t="s">
        <v>835</v>
      </c>
      <c r="D488" s="131"/>
      <c r="E488" s="15" t="s">
        <v>123</v>
      </c>
      <c r="F488" s="15">
        <v>3</v>
      </c>
      <c r="G488" s="15">
        <f t="shared" si="26"/>
        <v>1</v>
      </c>
      <c r="H488" s="131">
        <v>1</v>
      </c>
      <c r="I488" s="85"/>
    </row>
    <row r="489" spans="1:10" ht="15.95" customHeight="1" x14ac:dyDescent="0.3">
      <c r="A489" s="131">
        <f t="shared" si="27"/>
        <v>22733</v>
      </c>
      <c r="B489" s="138" t="s">
        <v>1099</v>
      </c>
      <c r="C489" s="138"/>
      <c r="D489" s="131"/>
      <c r="E489" s="15" t="s">
        <v>123</v>
      </c>
      <c r="F489" s="15">
        <v>3</v>
      </c>
      <c r="G489" s="15">
        <f t="shared" si="26"/>
        <v>1</v>
      </c>
      <c r="H489" s="131">
        <v>1</v>
      </c>
      <c r="I489" s="85"/>
    </row>
    <row r="490" spans="1:10" ht="15.95" customHeight="1" x14ac:dyDescent="0.3">
      <c r="A490" s="137">
        <f>A489+(G489*H489)</f>
        <v>22734</v>
      </c>
      <c r="B490" s="191" t="s">
        <v>836</v>
      </c>
      <c r="C490" s="135" t="s">
        <v>837</v>
      </c>
      <c r="D490" s="137"/>
      <c r="E490" s="137" t="s">
        <v>91</v>
      </c>
      <c r="F490" s="137">
        <v>3</v>
      </c>
      <c r="G490" s="137">
        <f t="shared" si="26"/>
        <v>2</v>
      </c>
      <c r="H490" s="137">
        <v>1</v>
      </c>
      <c r="I490" s="92"/>
      <c r="J490" s="139" t="s">
        <v>529</v>
      </c>
    </row>
    <row r="491" spans="1:10" ht="15.95" customHeight="1" x14ac:dyDescent="0.3">
      <c r="A491" s="137">
        <f>A490+(G490*H490)</f>
        <v>22736</v>
      </c>
      <c r="B491" s="191"/>
      <c r="C491" s="135" t="s">
        <v>838</v>
      </c>
      <c r="D491" s="137"/>
      <c r="E491" s="137" t="s">
        <v>123</v>
      </c>
      <c r="F491" s="137">
        <v>3</v>
      </c>
      <c r="G491" s="137">
        <v>1</v>
      </c>
      <c r="H491" s="137">
        <v>1</v>
      </c>
      <c r="I491" s="92"/>
    </row>
    <row r="492" spans="1:10" ht="15.95" customHeight="1" x14ac:dyDescent="0.3">
      <c r="A492" s="137">
        <f>A491+(G491*H491)</f>
        <v>22737</v>
      </c>
      <c r="B492" s="191"/>
      <c r="C492" s="135" t="s">
        <v>839</v>
      </c>
      <c r="D492" s="137"/>
      <c r="E492" s="137" t="s">
        <v>123</v>
      </c>
      <c r="F492" s="137">
        <v>3</v>
      </c>
      <c r="G492" s="137">
        <f t="shared" si="26"/>
        <v>1</v>
      </c>
      <c r="H492" s="137">
        <v>1</v>
      </c>
      <c r="I492" s="92"/>
    </row>
    <row r="493" spans="1:10" ht="15.95" customHeight="1" x14ac:dyDescent="0.3">
      <c r="A493" s="137">
        <f>A492+(G492*H492)</f>
        <v>22738</v>
      </c>
      <c r="B493" s="191"/>
      <c r="C493" s="135" t="s">
        <v>840</v>
      </c>
      <c r="D493" s="137"/>
      <c r="E493" s="137" t="s">
        <v>436</v>
      </c>
      <c r="F493" s="137">
        <v>3</v>
      </c>
      <c r="G493" s="137">
        <f>IF(OR(E493="U16", E493="S16"),1,IF(E493="TS",6,2))</f>
        <v>2</v>
      </c>
      <c r="H493" s="137">
        <v>1</v>
      </c>
      <c r="I493" s="92"/>
    </row>
    <row r="494" spans="1:10" ht="15.95" customHeight="1" x14ac:dyDescent="0.3">
      <c r="A494" s="137">
        <f>A493+(G493*H493)</f>
        <v>22740</v>
      </c>
      <c r="B494" s="191"/>
      <c r="C494" s="135" t="s">
        <v>841</v>
      </c>
      <c r="D494" s="137"/>
      <c r="E494" s="137" t="s">
        <v>436</v>
      </c>
      <c r="F494" s="137">
        <v>3</v>
      </c>
      <c r="G494" s="137">
        <f t="shared" si="26"/>
        <v>2</v>
      </c>
      <c r="H494" s="137">
        <v>1</v>
      </c>
      <c r="I494" s="92"/>
    </row>
    <row r="495" spans="1:10" ht="15.95" customHeight="1" x14ac:dyDescent="0.3">
      <c r="A495" s="131">
        <f t="shared" si="27"/>
        <v>22742</v>
      </c>
      <c r="B495" s="138" t="s">
        <v>842</v>
      </c>
      <c r="C495" s="138"/>
      <c r="D495" s="131"/>
      <c r="E495" s="15" t="s">
        <v>123</v>
      </c>
      <c r="F495" s="15">
        <v>3</v>
      </c>
      <c r="G495" s="15">
        <f t="shared" si="26"/>
        <v>1</v>
      </c>
      <c r="H495" s="131">
        <v>8</v>
      </c>
      <c r="I495" s="85"/>
    </row>
    <row r="496" spans="1:10" ht="15.95" customHeight="1" x14ac:dyDescent="0.3">
      <c r="A496" s="131">
        <f t="shared" si="27"/>
        <v>22750</v>
      </c>
      <c r="B496" s="138" t="s">
        <v>843</v>
      </c>
      <c r="C496" s="138"/>
      <c r="D496" s="131"/>
      <c r="E496" s="15" t="s">
        <v>123</v>
      </c>
      <c r="F496" s="15">
        <v>3</v>
      </c>
      <c r="G496" s="15">
        <f t="shared" si="26"/>
        <v>1</v>
      </c>
      <c r="H496" s="131">
        <v>8</v>
      </c>
      <c r="I496" s="85"/>
    </row>
    <row r="497" spans="1:9" ht="15.95" customHeight="1" x14ac:dyDescent="0.3">
      <c r="A497" s="131">
        <f t="shared" si="27"/>
        <v>22758</v>
      </c>
      <c r="B497" s="138" t="s">
        <v>844</v>
      </c>
      <c r="C497" s="138"/>
      <c r="D497" s="131"/>
      <c r="E497" s="15" t="s">
        <v>123</v>
      </c>
      <c r="F497" s="15">
        <v>3</v>
      </c>
      <c r="G497" s="15">
        <f t="shared" si="26"/>
        <v>1</v>
      </c>
      <c r="H497" s="131">
        <v>8</v>
      </c>
      <c r="I497" s="85"/>
    </row>
    <row r="498" spans="1:9" ht="15.95" customHeight="1" x14ac:dyDescent="0.3">
      <c r="A498" s="131">
        <f t="shared" si="27"/>
        <v>22766</v>
      </c>
      <c r="B498" s="138" t="s">
        <v>845</v>
      </c>
      <c r="C498" s="138"/>
      <c r="D498" s="131"/>
      <c r="E498" s="15" t="s">
        <v>123</v>
      </c>
      <c r="F498" s="15">
        <v>3</v>
      </c>
      <c r="G498" s="15">
        <f t="shared" si="26"/>
        <v>1</v>
      </c>
      <c r="H498" s="131">
        <v>8</v>
      </c>
      <c r="I498" s="85"/>
    </row>
    <row r="499" spans="1:9" ht="15.95" customHeight="1" x14ac:dyDescent="0.3">
      <c r="A499" s="131">
        <f t="shared" si="27"/>
        <v>22774</v>
      </c>
      <c r="B499" s="138" t="s">
        <v>846</v>
      </c>
      <c r="C499" s="138"/>
      <c r="D499" s="131"/>
      <c r="E499" s="15" t="s">
        <v>123</v>
      </c>
      <c r="F499" s="15">
        <v>3</v>
      </c>
      <c r="G499" s="15">
        <f t="shared" si="26"/>
        <v>1</v>
      </c>
      <c r="H499" s="131">
        <v>8</v>
      </c>
      <c r="I499" s="85"/>
    </row>
    <row r="500" spans="1:9" ht="15.95" customHeight="1" x14ac:dyDescent="0.3">
      <c r="A500" s="131">
        <f t="shared" si="27"/>
        <v>22782</v>
      </c>
      <c r="B500" s="138" t="s">
        <v>847</v>
      </c>
      <c r="C500" s="138"/>
      <c r="D500" s="131"/>
      <c r="E500" s="15" t="s">
        <v>123</v>
      </c>
      <c r="F500" s="15">
        <v>3</v>
      </c>
      <c r="G500" s="15">
        <f t="shared" si="26"/>
        <v>1</v>
      </c>
      <c r="H500" s="131">
        <v>8</v>
      </c>
      <c r="I500" s="85"/>
    </row>
    <row r="501" spans="1:9" ht="15.95" customHeight="1" x14ac:dyDescent="0.3">
      <c r="A501" s="131">
        <f t="shared" si="27"/>
        <v>22790</v>
      </c>
      <c r="B501" s="138" t="s">
        <v>848</v>
      </c>
      <c r="C501" s="138"/>
      <c r="D501" s="131"/>
      <c r="E501" s="15" t="s">
        <v>123</v>
      </c>
      <c r="F501" s="15">
        <v>3</v>
      </c>
      <c r="G501" s="15">
        <f t="shared" si="26"/>
        <v>1</v>
      </c>
      <c r="H501" s="131">
        <v>8</v>
      </c>
      <c r="I501" s="85"/>
    </row>
    <row r="502" spans="1:9" ht="15.95" customHeight="1" x14ac:dyDescent="0.3">
      <c r="A502" s="131">
        <f t="shared" si="27"/>
        <v>22798</v>
      </c>
      <c r="B502" s="138" t="s">
        <v>849</v>
      </c>
      <c r="C502" s="138"/>
      <c r="D502" s="131"/>
      <c r="E502" s="15" t="s">
        <v>123</v>
      </c>
      <c r="F502" s="15">
        <v>3</v>
      </c>
      <c r="G502" s="15">
        <f t="shared" si="26"/>
        <v>1</v>
      </c>
      <c r="H502" s="131">
        <v>8</v>
      </c>
      <c r="I502" s="85"/>
    </row>
    <row r="503" spans="1:9" ht="15.95" customHeight="1" x14ac:dyDescent="0.3">
      <c r="A503" s="131">
        <f t="shared" si="27"/>
        <v>22806</v>
      </c>
      <c r="B503" s="138" t="s">
        <v>850</v>
      </c>
      <c r="C503" s="138"/>
      <c r="D503" s="131"/>
      <c r="E503" s="15" t="s">
        <v>123</v>
      </c>
      <c r="F503" s="15">
        <v>3</v>
      </c>
      <c r="G503" s="15">
        <f t="shared" si="26"/>
        <v>1</v>
      </c>
      <c r="H503" s="131">
        <v>8</v>
      </c>
      <c r="I503" s="85"/>
    </row>
    <row r="504" spans="1:9" ht="15.95" customHeight="1" x14ac:dyDescent="0.3">
      <c r="A504" s="131">
        <f t="shared" si="27"/>
        <v>22814</v>
      </c>
      <c r="B504" s="138" t="s">
        <v>851</v>
      </c>
      <c r="C504" s="138"/>
      <c r="D504" s="131"/>
      <c r="E504" s="15" t="s">
        <v>123</v>
      </c>
      <c r="F504" s="15">
        <v>3</v>
      </c>
      <c r="G504" s="15">
        <f t="shared" si="26"/>
        <v>1</v>
      </c>
      <c r="H504" s="131">
        <v>8</v>
      </c>
      <c r="I504" s="85"/>
    </row>
    <row r="505" spans="1:9" ht="15.95" customHeight="1" x14ac:dyDescent="0.3">
      <c r="A505" s="131">
        <f t="shared" si="27"/>
        <v>22822</v>
      </c>
      <c r="B505" s="138" t="s">
        <v>852</v>
      </c>
      <c r="C505" s="138"/>
      <c r="D505" s="131"/>
      <c r="E505" s="15" t="s">
        <v>123</v>
      </c>
      <c r="F505" s="15">
        <v>3</v>
      </c>
      <c r="G505" s="15">
        <f t="shared" si="26"/>
        <v>1</v>
      </c>
      <c r="H505" s="131">
        <v>8</v>
      </c>
      <c r="I505" s="85"/>
    </row>
    <row r="506" spans="1:9" ht="15.95" customHeight="1" x14ac:dyDescent="0.3">
      <c r="A506" s="131">
        <f t="shared" si="27"/>
        <v>22830</v>
      </c>
      <c r="B506" s="138" t="s">
        <v>853</v>
      </c>
      <c r="C506" s="138"/>
      <c r="D506" s="131"/>
      <c r="E506" s="15" t="s">
        <v>123</v>
      </c>
      <c r="F506" s="15">
        <v>3</v>
      </c>
      <c r="G506" s="15">
        <f t="shared" si="26"/>
        <v>1</v>
      </c>
      <c r="H506" s="131">
        <v>8</v>
      </c>
      <c r="I506" s="85"/>
    </row>
    <row r="507" spans="1:9" ht="15.95" customHeight="1" x14ac:dyDescent="0.3">
      <c r="A507" s="131">
        <f t="shared" si="27"/>
        <v>22838</v>
      </c>
      <c r="B507" s="138" t="s">
        <v>854</v>
      </c>
      <c r="C507" s="138"/>
      <c r="D507" s="131"/>
      <c r="E507" s="15" t="s">
        <v>123</v>
      </c>
      <c r="F507" s="15">
        <v>3</v>
      </c>
      <c r="G507" s="15">
        <f t="shared" si="26"/>
        <v>1</v>
      </c>
      <c r="H507" s="131">
        <v>8</v>
      </c>
      <c r="I507" s="85"/>
    </row>
    <row r="508" spans="1:9" ht="15.95" customHeight="1" x14ac:dyDescent="0.3">
      <c r="A508" s="131">
        <f t="shared" si="27"/>
        <v>22846</v>
      </c>
      <c r="B508" s="138" t="s">
        <v>855</v>
      </c>
      <c r="C508" s="138"/>
      <c r="D508" s="131"/>
      <c r="E508" s="15" t="s">
        <v>123</v>
      </c>
      <c r="F508" s="15">
        <v>3</v>
      </c>
      <c r="G508" s="15">
        <f t="shared" si="26"/>
        <v>1</v>
      </c>
      <c r="H508" s="131">
        <v>8</v>
      </c>
      <c r="I508" s="85"/>
    </row>
    <row r="509" spans="1:9" ht="15.95" customHeight="1" x14ac:dyDescent="0.3">
      <c r="A509" s="131">
        <f t="shared" si="27"/>
        <v>22854</v>
      </c>
      <c r="B509" s="138" t="s">
        <v>856</v>
      </c>
      <c r="C509" s="138"/>
      <c r="D509" s="131"/>
      <c r="E509" s="15" t="s">
        <v>123</v>
      </c>
      <c r="F509" s="15">
        <v>3</v>
      </c>
      <c r="G509" s="15">
        <f t="shared" si="26"/>
        <v>1</v>
      </c>
      <c r="H509" s="131">
        <v>8</v>
      </c>
      <c r="I509" s="85"/>
    </row>
    <row r="510" spans="1:9" ht="15.95" customHeight="1" x14ac:dyDescent="0.3">
      <c r="A510" s="131">
        <f t="shared" si="27"/>
        <v>22862</v>
      </c>
      <c r="B510" s="138" t="s">
        <v>857</v>
      </c>
      <c r="C510" s="138"/>
      <c r="D510" s="131"/>
      <c r="E510" s="15" t="s">
        <v>123</v>
      </c>
      <c r="F510" s="15">
        <v>3</v>
      </c>
      <c r="G510" s="15">
        <f t="shared" si="26"/>
        <v>1</v>
      </c>
      <c r="H510" s="131">
        <v>8</v>
      </c>
      <c r="I510" s="85"/>
    </row>
    <row r="511" spans="1:9" ht="15.95" customHeight="1" x14ac:dyDescent="0.3">
      <c r="A511" s="131">
        <f t="shared" si="27"/>
        <v>22870</v>
      </c>
      <c r="B511" s="138" t="s">
        <v>858</v>
      </c>
      <c r="C511" s="138"/>
      <c r="D511" s="131"/>
      <c r="E511" s="15" t="s">
        <v>123</v>
      </c>
      <c r="F511" s="15">
        <v>3</v>
      </c>
      <c r="G511" s="15">
        <f t="shared" si="26"/>
        <v>1</v>
      </c>
      <c r="H511" s="131">
        <v>8</v>
      </c>
      <c r="I511" s="85"/>
    </row>
    <row r="512" spans="1:9" ht="15.95" customHeight="1" x14ac:dyDescent="0.3">
      <c r="A512" s="131">
        <f t="shared" si="27"/>
        <v>22878</v>
      </c>
      <c r="B512" s="138" t="s">
        <v>859</v>
      </c>
      <c r="C512" s="138"/>
      <c r="D512" s="131"/>
      <c r="E512" s="15" t="s">
        <v>123</v>
      </c>
      <c r="F512" s="15">
        <v>3</v>
      </c>
      <c r="G512" s="15">
        <f t="shared" si="26"/>
        <v>1</v>
      </c>
      <c r="H512" s="131">
        <v>8</v>
      </c>
      <c r="I512" s="85"/>
    </row>
    <row r="513" spans="1:9" ht="15.95" customHeight="1" x14ac:dyDescent="0.3">
      <c r="A513" s="131">
        <f t="shared" si="27"/>
        <v>22886</v>
      </c>
      <c r="B513" s="138" t="s">
        <v>860</v>
      </c>
      <c r="C513" s="138"/>
      <c r="D513" s="131"/>
      <c r="E513" s="15" t="s">
        <v>123</v>
      </c>
      <c r="F513" s="15">
        <v>3</v>
      </c>
      <c r="G513" s="15">
        <f t="shared" si="26"/>
        <v>1</v>
      </c>
      <c r="H513" s="131">
        <v>8</v>
      </c>
      <c r="I513" s="85"/>
    </row>
    <row r="514" spans="1:9" ht="15.95" customHeight="1" x14ac:dyDescent="0.3">
      <c r="A514" s="131">
        <f t="shared" si="27"/>
        <v>22894</v>
      </c>
      <c r="B514" s="138" t="s">
        <v>861</v>
      </c>
      <c r="C514" s="138"/>
      <c r="D514" s="131"/>
      <c r="E514" s="15" t="s">
        <v>123</v>
      </c>
      <c r="F514" s="15">
        <v>3</v>
      </c>
      <c r="G514" s="15">
        <f t="shared" si="26"/>
        <v>1</v>
      </c>
      <c r="H514" s="131">
        <v>8</v>
      </c>
      <c r="I514" s="85"/>
    </row>
    <row r="515" spans="1:9" ht="15.95" customHeight="1" x14ac:dyDescent="0.3">
      <c r="A515" s="131">
        <f t="shared" si="27"/>
        <v>22902</v>
      </c>
      <c r="B515" s="138" t="s">
        <v>862</v>
      </c>
      <c r="C515" s="138"/>
      <c r="D515" s="131"/>
      <c r="E515" s="15" t="s">
        <v>123</v>
      </c>
      <c r="F515" s="15">
        <v>3</v>
      </c>
      <c r="G515" s="15">
        <f t="shared" si="26"/>
        <v>1</v>
      </c>
      <c r="H515" s="131">
        <v>8</v>
      </c>
      <c r="I515" s="85"/>
    </row>
    <row r="516" spans="1:9" ht="15.95" customHeight="1" x14ac:dyDescent="0.3">
      <c r="A516" s="131">
        <f t="shared" si="27"/>
        <v>22910</v>
      </c>
      <c r="B516" s="138" t="s">
        <v>863</v>
      </c>
      <c r="C516" s="138"/>
      <c r="D516" s="131"/>
      <c r="E516" s="15" t="s">
        <v>123</v>
      </c>
      <c r="F516" s="15">
        <v>3</v>
      </c>
      <c r="G516" s="15">
        <f t="shared" si="26"/>
        <v>1</v>
      </c>
      <c r="H516" s="131">
        <v>8</v>
      </c>
      <c r="I516" s="85"/>
    </row>
    <row r="517" spans="1:9" ht="15.95" customHeight="1" x14ac:dyDescent="0.3">
      <c r="A517" s="131">
        <f t="shared" si="27"/>
        <v>22918</v>
      </c>
      <c r="B517" s="138" t="s">
        <v>864</v>
      </c>
      <c r="C517" s="138"/>
      <c r="D517" s="131"/>
      <c r="E517" s="15" t="s">
        <v>123</v>
      </c>
      <c r="F517" s="15">
        <v>3</v>
      </c>
      <c r="G517" s="15">
        <f t="shared" si="26"/>
        <v>1</v>
      </c>
      <c r="H517" s="131">
        <v>8</v>
      </c>
      <c r="I517" s="85"/>
    </row>
    <row r="518" spans="1:9" ht="15.95" customHeight="1" x14ac:dyDescent="0.3">
      <c r="A518" s="131">
        <f t="shared" si="27"/>
        <v>22926</v>
      </c>
      <c r="B518" s="138" t="s">
        <v>865</v>
      </c>
      <c r="C518" s="138"/>
      <c r="D518" s="131"/>
      <c r="E518" s="15" t="s">
        <v>123</v>
      </c>
      <c r="F518" s="15">
        <v>3</v>
      </c>
      <c r="G518" s="15">
        <f t="shared" si="26"/>
        <v>1</v>
      </c>
      <c r="H518" s="131">
        <v>8</v>
      </c>
      <c r="I518" s="85"/>
    </row>
    <row r="519" spans="1:9" ht="15.95" customHeight="1" x14ac:dyDescent="0.3">
      <c r="A519" s="131">
        <f t="shared" si="27"/>
        <v>22934</v>
      </c>
      <c r="B519" s="138" t="s">
        <v>866</v>
      </c>
      <c r="C519" s="138"/>
      <c r="D519" s="131"/>
      <c r="E519" s="15" t="s">
        <v>123</v>
      </c>
      <c r="F519" s="15">
        <v>3</v>
      </c>
      <c r="G519" s="15">
        <f t="shared" si="26"/>
        <v>1</v>
      </c>
      <c r="H519" s="131">
        <v>8</v>
      </c>
      <c r="I519" s="85"/>
    </row>
    <row r="520" spans="1:9" ht="15.95" customHeight="1" x14ac:dyDescent="0.3">
      <c r="A520" s="131">
        <f t="shared" si="27"/>
        <v>22942</v>
      </c>
      <c r="B520" s="138" t="s">
        <v>867</v>
      </c>
      <c r="C520" s="138"/>
      <c r="D520" s="131"/>
      <c r="E520" s="15" t="s">
        <v>123</v>
      </c>
      <c r="F520" s="15">
        <v>3</v>
      </c>
      <c r="G520" s="15">
        <f t="shared" si="26"/>
        <v>1</v>
      </c>
      <c r="H520" s="131">
        <v>8</v>
      </c>
      <c r="I520" s="85"/>
    </row>
    <row r="521" spans="1:9" ht="15.95" customHeight="1" x14ac:dyDescent="0.3">
      <c r="A521" s="131">
        <f t="shared" si="27"/>
        <v>22950</v>
      </c>
      <c r="B521" s="138" t="s">
        <v>868</v>
      </c>
      <c r="C521" s="138"/>
      <c r="D521" s="131"/>
      <c r="E521" s="15" t="s">
        <v>123</v>
      </c>
      <c r="F521" s="15">
        <v>3</v>
      </c>
      <c r="G521" s="15">
        <f t="shared" si="26"/>
        <v>1</v>
      </c>
      <c r="H521" s="131">
        <v>8</v>
      </c>
      <c r="I521" s="85"/>
    </row>
    <row r="522" spans="1:9" ht="15.95" customHeight="1" x14ac:dyDescent="0.3">
      <c r="A522" s="131">
        <f t="shared" si="27"/>
        <v>22958</v>
      </c>
      <c r="B522" s="138" t="s">
        <v>869</v>
      </c>
      <c r="C522" s="138"/>
      <c r="D522" s="131"/>
      <c r="E522" s="15" t="s">
        <v>123</v>
      </c>
      <c r="F522" s="15">
        <v>3</v>
      </c>
      <c r="G522" s="15">
        <f t="shared" si="26"/>
        <v>1</v>
      </c>
      <c r="H522" s="131">
        <v>8</v>
      </c>
      <c r="I522" s="85"/>
    </row>
    <row r="523" spans="1:9" ht="15.95" customHeight="1" x14ac:dyDescent="0.3">
      <c r="A523" s="131">
        <f t="shared" si="27"/>
        <v>22966</v>
      </c>
      <c r="B523" s="138" t="s">
        <v>870</v>
      </c>
      <c r="C523" s="138"/>
      <c r="D523" s="131"/>
      <c r="E523" s="15" t="s">
        <v>123</v>
      </c>
      <c r="F523" s="15">
        <v>3</v>
      </c>
      <c r="G523" s="15">
        <f t="shared" si="26"/>
        <v>1</v>
      </c>
      <c r="H523" s="131">
        <v>8</v>
      </c>
      <c r="I523" s="85"/>
    </row>
    <row r="524" spans="1:9" ht="15.95" customHeight="1" x14ac:dyDescent="0.3">
      <c r="A524" s="131">
        <f t="shared" si="27"/>
        <v>22974</v>
      </c>
      <c r="B524" s="138" t="s">
        <v>871</v>
      </c>
      <c r="C524" s="138"/>
      <c r="D524" s="131"/>
      <c r="E524" s="15" t="s">
        <v>123</v>
      </c>
      <c r="F524" s="15">
        <v>3</v>
      </c>
      <c r="G524" s="15">
        <f t="shared" si="26"/>
        <v>1</v>
      </c>
      <c r="H524" s="131">
        <v>8</v>
      </c>
      <c r="I524" s="85"/>
    </row>
    <row r="525" spans="1:9" ht="15.95" customHeight="1" x14ac:dyDescent="0.3">
      <c r="A525" s="131">
        <f t="shared" si="27"/>
        <v>22982</v>
      </c>
      <c r="B525" s="138" t="s">
        <v>872</v>
      </c>
      <c r="C525" s="138"/>
      <c r="D525" s="131"/>
      <c r="E525" s="15" t="s">
        <v>123</v>
      </c>
      <c r="F525" s="15">
        <v>3</v>
      </c>
      <c r="G525" s="15">
        <f t="shared" si="26"/>
        <v>1</v>
      </c>
      <c r="H525" s="131">
        <v>8</v>
      </c>
      <c r="I525" s="85"/>
    </row>
    <row r="526" spans="1:9" ht="15.95" customHeight="1" x14ac:dyDescent="0.3">
      <c r="A526" s="131">
        <f t="shared" si="27"/>
        <v>22990</v>
      </c>
      <c r="B526" s="138"/>
      <c r="C526" s="138"/>
      <c r="D526" s="131"/>
      <c r="E526" s="15" t="s">
        <v>123</v>
      </c>
      <c r="F526" s="15">
        <v>3</v>
      </c>
      <c r="G526" s="15">
        <f>IF(OR(E526="U16", E526="S16"),1,IF(E526="TS",6,2))</f>
        <v>1</v>
      </c>
      <c r="H526" s="131">
        <v>40</v>
      </c>
      <c r="I526" s="85"/>
    </row>
    <row r="527" spans="1:9" ht="15.95" customHeight="1" x14ac:dyDescent="0.3">
      <c r="A527" s="162" t="s">
        <v>545</v>
      </c>
      <c r="B527" s="162"/>
      <c r="C527" s="162"/>
      <c r="D527" s="162"/>
      <c r="E527" s="162"/>
      <c r="F527" s="162"/>
      <c r="G527" s="162"/>
      <c r="H527" s="162"/>
      <c r="I527" s="88"/>
    </row>
    <row r="528" spans="1:9" ht="15.95" customHeight="1" x14ac:dyDescent="0.3">
      <c r="A528" s="15">
        <f>A526+(G526*H526)</f>
        <v>23030</v>
      </c>
      <c r="B528" s="138" t="s">
        <v>268</v>
      </c>
      <c r="C528" s="138" t="s">
        <v>834</v>
      </c>
      <c r="D528" s="131"/>
      <c r="E528" s="15" t="s">
        <v>123</v>
      </c>
      <c r="F528" s="15">
        <v>3</v>
      </c>
      <c r="G528" s="15">
        <f>IF(OR(E528="U16", E528="S16"),1,IF(E528="TS",6,2))</f>
        <v>1</v>
      </c>
      <c r="H528" s="131">
        <v>1</v>
      </c>
      <c r="I528" s="85"/>
    </row>
    <row r="529" spans="1:9" ht="15.95" customHeight="1" x14ac:dyDescent="0.3">
      <c r="A529" s="15">
        <f>A528+(G528*H528)</f>
        <v>23031</v>
      </c>
      <c r="B529" s="138" t="s">
        <v>269</v>
      </c>
      <c r="C529" s="138" t="s">
        <v>834</v>
      </c>
      <c r="D529" s="131"/>
      <c r="E529" s="15" t="s">
        <v>123</v>
      </c>
      <c r="F529" s="15">
        <v>3</v>
      </c>
      <c r="G529" s="15">
        <f>IF(OR(E529="U16", E529="S16"),1,IF(E529="TS",6,2))</f>
        <v>1</v>
      </c>
      <c r="H529" s="131">
        <v>1</v>
      </c>
      <c r="I529" s="85"/>
    </row>
    <row r="530" spans="1:9" ht="15.95" customHeight="1" x14ac:dyDescent="0.3">
      <c r="A530" s="15">
        <f>A529+(G529*H529)</f>
        <v>23032</v>
      </c>
      <c r="B530" s="138" t="s">
        <v>270</v>
      </c>
      <c r="C530" s="138" t="s">
        <v>834</v>
      </c>
      <c r="D530" s="131"/>
      <c r="E530" s="15" t="s">
        <v>123</v>
      </c>
      <c r="F530" s="15">
        <v>3</v>
      </c>
      <c r="G530" s="15">
        <f>IF(OR(E530="U16", E530="S16"),1,IF(E530="TS",6,2))</f>
        <v>1</v>
      </c>
      <c r="H530" s="131">
        <v>1</v>
      </c>
      <c r="I530" s="85"/>
    </row>
    <row r="531" spans="1:9" ht="15.95" customHeight="1" x14ac:dyDescent="0.3">
      <c r="A531" s="15">
        <f>A530+(G530*H530)</f>
        <v>23033</v>
      </c>
      <c r="B531" s="138" t="s">
        <v>1099</v>
      </c>
      <c r="C531" s="138"/>
      <c r="D531" s="131"/>
      <c r="E531" s="15" t="s">
        <v>123</v>
      </c>
      <c r="F531" s="15">
        <v>3</v>
      </c>
      <c r="G531" s="15">
        <f>IF(OR(E531="U16", E531="S16"),1,IF(E531="TS",6,2))</f>
        <v>1</v>
      </c>
      <c r="H531" s="131">
        <v>1</v>
      </c>
      <c r="I531" s="85"/>
    </row>
    <row r="532" spans="1:9" ht="15.95" customHeight="1" x14ac:dyDescent="0.3">
      <c r="A532" s="162" t="s">
        <v>381</v>
      </c>
      <c r="B532" s="162"/>
      <c r="C532" s="162"/>
      <c r="D532" s="162"/>
      <c r="E532" s="162"/>
      <c r="F532" s="162"/>
      <c r="G532" s="162"/>
      <c r="H532" s="162"/>
      <c r="I532" s="88"/>
    </row>
    <row r="533" spans="1:9" ht="15.95" customHeight="1" x14ac:dyDescent="0.3">
      <c r="A533" s="137">
        <f>A531+(G531*H531)</f>
        <v>23034</v>
      </c>
      <c r="B533" s="135" t="s">
        <v>267</v>
      </c>
      <c r="C533" s="135"/>
      <c r="D533" s="137"/>
      <c r="E533" s="137" t="s">
        <v>91</v>
      </c>
      <c r="F533" s="137">
        <v>3</v>
      </c>
      <c r="G533" s="137">
        <f t="shared" ref="G533:G570" si="28">IF(OR(E533="U16", E533="S16"),1,IF(E533="TS",6,2))</f>
        <v>2</v>
      </c>
      <c r="H533" s="137">
        <v>1</v>
      </c>
      <c r="I533" s="92"/>
    </row>
    <row r="534" spans="1:9" ht="15.95" customHeight="1" x14ac:dyDescent="0.3">
      <c r="A534" s="137">
        <f t="shared" ref="A534:A572" si="29">A533+(G533*H533)</f>
        <v>23036</v>
      </c>
      <c r="B534" s="135" t="s">
        <v>441</v>
      </c>
      <c r="C534" s="135"/>
      <c r="D534" s="137"/>
      <c r="E534" s="137" t="s">
        <v>123</v>
      </c>
      <c r="F534" s="137">
        <v>3</v>
      </c>
      <c r="G534" s="137">
        <f t="shared" si="28"/>
        <v>1</v>
      </c>
      <c r="H534" s="137">
        <v>1</v>
      </c>
      <c r="I534" s="92"/>
    </row>
    <row r="535" spans="1:9" ht="15.95" customHeight="1" x14ac:dyDescent="0.3">
      <c r="A535" s="137">
        <f t="shared" si="29"/>
        <v>23037</v>
      </c>
      <c r="B535" s="135" t="s">
        <v>442</v>
      </c>
      <c r="C535" s="135"/>
      <c r="D535" s="137"/>
      <c r="E535" s="137" t="s">
        <v>123</v>
      </c>
      <c r="F535" s="137">
        <v>3</v>
      </c>
      <c r="G535" s="137">
        <f t="shared" si="28"/>
        <v>1</v>
      </c>
      <c r="H535" s="137">
        <v>1</v>
      </c>
      <c r="I535" s="92"/>
    </row>
    <row r="536" spans="1:9" ht="108" x14ac:dyDescent="0.3">
      <c r="A536" s="137">
        <f t="shared" si="29"/>
        <v>23038</v>
      </c>
      <c r="B536" s="135" t="s">
        <v>254</v>
      </c>
      <c r="C536" s="135" t="s">
        <v>953</v>
      </c>
      <c r="D536" s="135"/>
      <c r="E536" s="137" t="s">
        <v>123</v>
      </c>
      <c r="F536" s="137">
        <v>3</v>
      </c>
      <c r="G536" s="137">
        <f t="shared" si="28"/>
        <v>1</v>
      </c>
      <c r="H536" s="137">
        <v>1</v>
      </c>
      <c r="I536" s="92"/>
    </row>
    <row r="537" spans="1:9" ht="15.95" customHeight="1" x14ac:dyDescent="0.3">
      <c r="A537" s="137">
        <f t="shared" si="29"/>
        <v>23039</v>
      </c>
      <c r="B537" s="135" t="s">
        <v>439</v>
      </c>
      <c r="C537" s="135"/>
      <c r="D537" s="137"/>
      <c r="E537" s="137" t="s">
        <v>123</v>
      </c>
      <c r="F537" s="137">
        <v>3</v>
      </c>
      <c r="G537" s="137">
        <f t="shared" si="28"/>
        <v>1</v>
      </c>
      <c r="H537" s="137">
        <v>1</v>
      </c>
      <c r="I537" s="92"/>
    </row>
    <row r="538" spans="1:9" ht="15.95" customHeight="1" x14ac:dyDescent="0.3">
      <c r="A538" s="137">
        <f t="shared" si="29"/>
        <v>23040</v>
      </c>
      <c r="B538" s="135" t="s">
        <v>440</v>
      </c>
      <c r="C538" s="135"/>
      <c r="D538" s="137"/>
      <c r="E538" s="137" t="s">
        <v>436</v>
      </c>
      <c r="F538" s="137">
        <v>3</v>
      </c>
      <c r="G538" s="137">
        <f t="shared" si="28"/>
        <v>2</v>
      </c>
      <c r="H538" s="137">
        <v>1</v>
      </c>
      <c r="I538" s="92"/>
    </row>
    <row r="539" spans="1:9" ht="15.95" customHeight="1" x14ac:dyDescent="0.3">
      <c r="A539" s="137">
        <f t="shared" si="29"/>
        <v>23042</v>
      </c>
      <c r="B539" s="135" t="s">
        <v>271</v>
      </c>
      <c r="C539" s="135"/>
      <c r="D539" s="137"/>
      <c r="E539" s="137" t="s">
        <v>436</v>
      </c>
      <c r="F539" s="137">
        <v>3</v>
      </c>
      <c r="G539" s="137">
        <f t="shared" si="28"/>
        <v>2</v>
      </c>
      <c r="H539" s="137">
        <v>1</v>
      </c>
      <c r="I539" s="92"/>
    </row>
    <row r="540" spans="1:9" ht="15.95" customHeight="1" x14ac:dyDescent="0.3">
      <c r="A540" s="137">
        <f t="shared" si="29"/>
        <v>23044</v>
      </c>
      <c r="B540" s="135" t="s">
        <v>272</v>
      </c>
      <c r="C540" s="135"/>
      <c r="D540" s="137"/>
      <c r="E540" s="137" t="s">
        <v>436</v>
      </c>
      <c r="F540" s="137">
        <v>3</v>
      </c>
      <c r="G540" s="137">
        <f t="shared" si="28"/>
        <v>2</v>
      </c>
      <c r="H540" s="137">
        <v>1</v>
      </c>
      <c r="I540" s="92"/>
    </row>
    <row r="541" spans="1:9" ht="15.75" customHeight="1" x14ac:dyDescent="0.3">
      <c r="A541" s="131">
        <f t="shared" si="29"/>
        <v>23046</v>
      </c>
      <c r="B541" s="138" t="s">
        <v>273</v>
      </c>
      <c r="C541" s="138"/>
      <c r="D541" s="143"/>
      <c r="E541" s="143" t="s">
        <v>123</v>
      </c>
      <c r="F541" s="143">
        <v>3</v>
      </c>
      <c r="G541" s="15">
        <f t="shared" si="28"/>
        <v>1</v>
      </c>
      <c r="H541" s="131">
        <v>12</v>
      </c>
      <c r="I541" s="85"/>
    </row>
    <row r="542" spans="1:9" ht="15.95" customHeight="1" x14ac:dyDescent="0.3">
      <c r="A542" s="131">
        <f t="shared" si="29"/>
        <v>23058</v>
      </c>
      <c r="B542" s="138" t="s">
        <v>274</v>
      </c>
      <c r="C542" s="138"/>
      <c r="D542" s="143"/>
      <c r="E542" s="143" t="s">
        <v>123</v>
      </c>
      <c r="F542" s="143">
        <v>3</v>
      </c>
      <c r="G542" s="15">
        <f t="shared" si="28"/>
        <v>1</v>
      </c>
      <c r="H542" s="131">
        <v>12</v>
      </c>
      <c r="I542" s="85"/>
    </row>
    <row r="543" spans="1:9" ht="15.95" customHeight="1" x14ac:dyDescent="0.3">
      <c r="A543" s="131">
        <f t="shared" si="29"/>
        <v>23070</v>
      </c>
      <c r="B543" s="138" t="s">
        <v>275</v>
      </c>
      <c r="C543" s="138"/>
      <c r="D543" s="143"/>
      <c r="E543" s="143" t="s">
        <v>123</v>
      </c>
      <c r="F543" s="143">
        <v>3</v>
      </c>
      <c r="G543" s="15">
        <f t="shared" si="28"/>
        <v>1</v>
      </c>
      <c r="H543" s="131">
        <v>12</v>
      </c>
      <c r="I543" s="85"/>
    </row>
    <row r="544" spans="1:9" ht="15.95" customHeight="1" x14ac:dyDescent="0.3">
      <c r="A544" s="131">
        <f t="shared" si="29"/>
        <v>23082</v>
      </c>
      <c r="B544" s="138" t="s">
        <v>276</v>
      </c>
      <c r="C544" s="138"/>
      <c r="D544" s="143"/>
      <c r="E544" s="143" t="s">
        <v>123</v>
      </c>
      <c r="F544" s="143">
        <v>3</v>
      </c>
      <c r="G544" s="15">
        <f t="shared" si="28"/>
        <v>1</v>
      </c>
      <c r="H544" s="131">
        <v>12</v>
      </c>
      <c r="I544" s="85"/>
    </row>
    <row r="545" spans="1:10" customFormat="1" ht="16.5" x14ac:dyDescent="0.3">
      <c r="A545" s="131">
        <f t="shared" si="29"/>
        <v>23094</v>
      </c>
      <c r="B545" s="138" t="s">
        <v>277</v>
      </c>
      <c r="C545" s="138"/>
      <c r="D545" s="143"/>
      <c r="E545" s="143" t="s">
        <v>123</v>
      </c>
      <c r="F545" s="143">
        <v>3</v>
      </c>
      <c r="G545" s="15">
        <f t="shared" si="28"/>
        <v>1</v>
      </c>
      <c r="H545" s="131">
        <v>12</v>
      </c>
      <c r="I545" s="85"/>
      <c r="J545" s="27"/>
    </row>
    <row r="546" spans="1:10" customFormat="1" ht="16.5" customHeight="1" x14ac:dyDescent="0.3">
      <c r="A546" s="131">
        <f t="shared" si="29"/>
        <v>23106</v>
      </c>
      <c r="B546" s="138" t="s">
        <v>278</v>
      </c>
      <c r="C546" s="138"/>
      <c r="D546" s="143"/>
      <c r="E546" s="143" t="s">
        <v>123</v>
      </c>
      <c r="F546" s="143">
        <v>3</v>
      </c>
      <c r="G546" s="15">
        <f t="shared" si="28"/>
        <v>1</v>
      </c>
      <c r="H546" s="131">
        <v>12</v>
      </c>
      <c r="I546" s="85"/>
      <c r="J546" s="27"/>
    </row>
    <row r="547" spans="1:10" customFormat="1" ht="16.5" x14ac:dyDescent="0.3">
      <c r="A547" s="131">
        <f t="shared" si="29"/>
        <v>23118</v>
      </c>
      <c r="B547" s="138" t="s">
        <v>279</v>
      </c>
      <c r="C547" s="138"/>
      <c r="D547" s="143"/>
      <c r="E547" s="143" t="s">
        <v>123</v>
      </c>
      <c r="F547" s="143">
        <v>3</v>
      </c>
      <c r="G547" s="15">
        <f t="shared" si="28"/>
        <v>1</v>
      </c>
      <c r="H547" s="131">
        <v>12</v>
      </c>
      <c r="I547" s="85"/>
      <c r="J547" s="27"/>
    </row>
    <row r="548" spans="1:10" customFormat="1" ht="16.5" x14ac:dyDescent="0.3">
      <c r="A548" s="131">
        <f t="shared" si="29"/>
        <v>23130</v>
      </c>
      <c r="B548" s="138" t="s">
        <v>280</v>
      </c>
      <c r="C548" s="138"/>
      <c r="D548" s="143"/>
      <c r="E548" s="143" t="s">
        <v>123</v>
      </c>
      <c r="F548" s="143">
        <v>3</v>
      </c>
      <c r="G548" s="15">
        <f t="shared" si="28"/>
        <v>1</v>
      </c>
      <c r="H548" s="131">
        <v>12</v>
      </c>
      <c r="I548" s="85"/>
      <c r="J548" s="27"/>
    </row>
    <row r="549" spans="1:10" customFormat="1" ht="16.5" x14ac:dyDescent="0.3">
      <c r="A549" s="131">
        <f t="shared" si="29"/>
        <v>23142</v>
      </c>
      <c r="B549" s="138" t="s">
        <v>281</v>
      </c>
      <c r="C549" s="138"/>
      <c r="D549" s="143"/>
      <c r="E549" s="143" t="s">
        <v>123</v>
      </c>
      <c r="F549" s="143">
        <v>3</v>
      </c>
      <c r="G549" s="15">
        <f t="shared" si="28"/>
        <v>1</v>
      </c>
      <c r="H549" s="131">
        <v>12</v>
      </c>
      <c r="I549" s="85"/>
      <c r="J549" s="27"/>
    </row>
    <row r="550" spans="1:10" customFormat="1" ht="16.5" x14ac:dyDescent="0.3">
      <c r="A550" s="131">
        <f t="shared" si="29"/>
        <v>23154</v>
      </c>
      <c r="B550" s="138" t="s">
        <v>282</v>
      </c>
      <c r="C550" s="138"/>
      <c r="D550" s="143"/>
      <c r="E550" s="143" t="s">
        <v>123</v>
      </c>
      <c r="F550" s="143">
        <v>3</v>
      </c>
      <c r="G550" s="15">
        <f t="shared" si="28"/>
        <v>1</v>
      </c>
      <c r="H550" s="131">
        <v>12</v>
      </c>
      <c r="I550" s="85"/>
      <c r="J550" s="27"/>
    </row>
    <row r="551" spans="1:10" customFormat="1" ht="16.5" x14ac:dyDescent="0.3">
      <c r="A551" s="131">
        <f t="shared" si="29"/>
        <v>23166</v>
      </c>
      <c r="B551" s="138" t="s">
        <v>283</v>
      </c>
      <c r="C551" s="138"/>
      <c r="D551" s="143"/>
      <c r="E551" s="143" t="s">
        <v>123</v>
      </c>
      <c r="F551" s="143">
        <v>3</v>
      </c>
      <c r="G551" s="15">
        <f t="shared" si="28"/>
        <v>1</v>
      </c>
      <c r="H551" s="131">
        <v>12</v>
      </c>
      <c r="I551" s="85"/>
      <c r="J551" s="27"/>
    </row>
    <row r="552" spans="1:10" customFormat="1" ht="16.5" x14ac:dyDescent="0.3">
      <c r="A552" s="131">
        <f t="shared" si="29"/>
        <v>23178</v>
      </c>
      <c r="B552" s="138" t="s">
        <v>284</v>
      </c>
      <c r="C552" s="138"/>
      <c r="D552" s="143"/>
      <c r="E552" s="143" t="s">
        <v>123</v>
      </c>
      <c r="F552" s="143">
        <v>3</v>
      </c>
      <c r="G552" s="15">
        <f t="shared" si="28"/>
        <v>1</v>
      </c>
      <c r="H552" s="131">
        <v>12</v>
      </c>
      <c r="I552" s="85"/>
      <c r="J552" s="27"/>
    </row>
    <row r="553" spans="1:10" customFormat="1" ht="16.5" x14ac:dyDescent="0.3">
      <c r="A553" s="131">
        <f t="shared" si="29"/>
        <v>23190</v>
      </c>
      <c r="B553" s="138" t="s">
        <v>285</v>
      </c>
      <c r="C553" s="138"/>
      <c r="D553" s="143"/>
      <c r="E553" s="143" t="s">
        <v>123</v>
      </c>
      <c r="F553" s="143">
        <v>3</v>
      </c>
      <c r="G553" s="15">
        <f t="shared" si="28"/>
        <v>1</v>
      </c>
      <c r="H553" s="131">
        <v>12</v>
      </c>
      <c r="I553" s="85"/>
      <c r="J553" s="27"/>
    </row>
    <row r="554" spans="1:10" customFormat="1" ht="16.5" x14ac:dyDescent="0.3">
      <c r="A554" s="131">
        <f t="shared" si="29"/>
        <v>23202</v>
      </c>
      <c r="B554" s="138" t="s">
        <v>286</v>
      </c>
      <c r="C554" s="138"/>
      <c r="D554" s="143"/>
      <c r="E554" s="143" t="s">
        <v>123</v>
      </c>
      <c r="F554" s="143">
        <v>3</v>
      </c>
      <c r="G554" s="15">
        <f t="shared" si="28"/>
        <v>1</v>
      </c>
      <c r="H554" s="131">
        <v>12</v>
      </c>
      <c r="I554" s="85"/>
      <c r="J554" s="27"/>
    </row>
    <row r="555" spans="1:10" customFormat="1" ht="16.5" x14ac:dyDescent="0.3">
      <c r="A555" s="131">
        <f t="shared" si="29"/>
        <v>23214</v>
      </c>
      <c r="B555" s="138" t="s">
        <v>287</v>
      </c>
      <c r="C555" s="138"/>
      <c r="D555" s="143"/>
      <c r="E555" s="143" t="s">
        <v>123</v>
      </c>
      <c r="F555" s="143">
        <v>3</v>
      </c>
      <c r="G555" s="15">
        <f t="shared" si="28"/>
        <v>1</v>
      </c>
      <c r="H555" s="131">
        <v>12</v>
      </c>
      <c r="I555" s="85"/>
      <c r="J555" s="27"/>
    </row>
    <row r="556" spans="1:10" ht="15.95" customHeight="1" x14ac:dyDescent="0.3">
      <c r="A556" s="131">
        <f t="shared" si="29"/>
        <v>23226</v>
      </c>
      <c r="B556" s="138" t="s">
        <v>288</v>
      </c>
      <c r="C556" s="138"/>
      <c r="D556" s="143"/>
      <c r="E556" s="143" t="s">
        <v>123</v>
      </c>
      <c r="F556" s="143">
        <v>3</v>
      </c>
      <c r="G556" s="15">
        <f t="shared" si="28"/>
        <v>1</v>
      </c>
      <c r="H556" s="131">
        <v>12</v>
      </c>
      <c r="I556" s="85"/>
    </row>
    <row r="557" spans="1:10" customFormat="1" ht="16.5" x14ac:dyDescent="0.3">
      <c r="A557" s="131">
        <f t="shared" si="29"/>
        <v>23238</v>
      </c>
      <c r="B557" s="138" t="s">
        <v>289</v>
      </c>
      <c r="C557" s="138"/>
      <c r="D557" s="143"/>
      <c r="E557" s="143" t="s">
        <v>123</v>
      </c>
      <c r="F557" s="143">
        <v>3</v>
      </c>
      <c r="G557" s="15">
        <f t="shared" si="28"/>
        <v>1</v>
      </c>
      <c r="H557" s="131">
        <v>12</v>
      </c>
      <c r="I557" s="85"/>
      <c r="J557" s="27"/>
    </row>
    <row r="558" spans="1:10" customFormat="1" ht="16.5" customHeight="1" x14ac:dyDescent="0.3">
      <c r="A558" s="131">
        <f t="shared" si="29"/>
        <v>23250</v>
      </c>
      <c r="B558" s="138" t="s">
        <v>290</v>
      </c>
      <c r="C558" s="138"/>
      <c r="D558" s="143"/>
      <c r="E558" s="143" t="s">
        <v>123</v>
      </c>
      <c r="F558" s="143">
        <v>3</v>
      </c>
      <c r="G558" s="15">
        <f t="shared" si="28"/>
        <v>1</v>
      </c>
      <c r="H558" s="131">
        <v>12</v>
      </c>
      <c r="I558" s="85"/>
      <c r="J558" s="27"/>
    </row>
    <row r="559" spans="1:10" customFormat="1" ht="16.5" x14ac:dyDescent="0.3">
      <c r="A559" s="131">
        <f t="shared" si="29"/>
        <v>23262</v>
      </c>
      <c r="B559" s="138" t="s">
        <v>291</v>
      </c>
      <c r="C559" s="138"/>
      <c r="D559" s="143"/>
      <c r="E559" s="143" t="s">
        <v>123</v>
      </c>
      <c r="F559" s="143">
        <v>3</v>
      </c>
      <c r="G559" s="15">
        <f t="shared" si="28"/>
        <v>1</v>
      </c>
      <c r="H559" s="131">
        <v>12</v>
      </c>
      <c r="I559" s="85"/>
      <c r="J559" s="27"/>
    </row>
    <row r="560" spans="1:10" customFormat="1" ht="16.5" x14ac:dyDescent="0.3">
      <c r="A560" s="131">
        <f t="shared" si="29"/>
        <v>23274</v>
      </c>
      <c r="B560" s="138" t="s">
        <v>292</v>
      </c>
      <c r="C560" s="138"/>
      <c r="D560" s="143"/>
      <c r="E560" s="143" t="s">
        <v>123</v>
      </c>
      <c r="F560" s="143">
        <v>3</v>
      </c>
      <c r="G560" s="15">
        <f t="shared" si="28"/>
        <v>1</v>
      </c>
      <c r="H560" s="131">
        <v>12</v>
      </c>
      <c r="I560" s="85"/>
      <c r="J560" s="27"/>
    </row>
    <row r="561" spans="1:10" customFormat="1" ht="16.5" x14ac:dyDescent="0.3">
      <c r="A561" s="131">
        <f t="shared" si="29"/>
        <v>23286</v>
      </c>
      <c r="B561" s="138" t="s">
        <v>293</v>
      </c>
      <c r="C561" s="138"/>
      <c r="D561" s="143"/>
      <c r="E561" s="143" t="s">
        <v>123</v>
      </c>
      <c r="F561" s="143">
        <v>3</v>
      </c>
      <c r="G561" s="15">
        <f t="shared" si="28"/>
        <v>1</v>
      </c>
      <c r="H561" s="131">
        <v>12</v>
      </c>
      <c r="I561" s="85"/>
      <c r="J561" s="27"/>
    </row>
    <row r="562" spans="1:10" customFormat="1" ht="16.5" x14ac:dyDescent="0.3">
      <c r="A562" s="131">
        <f t="shared" si="29"/>
        <v>23298</v>
      </c>
      <c r="B562" s="138" t="s">
        <v>294</v>
      </c>
      <c r="C562" s="138"/>
      <c r="D562" s="143"/>
      <c r="E562" s="143" t="s">
        <v>123</v>
      </c>
      <c r="F562" s="143">
        <v>3</v>
      </c>
      <c r="G562" s="15">
        <f t="shared" si="28"/>
        <v>1</v>
      </c>
      <c r="H562" s="131">
        <v>12</v>
      </c>
      <c r="I562" s="85"/>
      <c r="J562" s="27"/>
    </row>
    <row r="563" spans="1:10" customFormat="1" ht="16.5" x14ac:dyDescent="0.3">
      <c r="A563" s="131">
        <f t="shared" si="29"/>
        <v>23310</v>
      </c>
      <c r="B563" s="138" t="s">
        <v>295</v>
      </c>
      <c r="C563" s="138"/>
      <c r="D563" s="143"/>
      <c r="E563" s="143" t="s">
        <v>123</v>
      </c>
      <c r="F563" s="143">
        <v>3</v>
      </c>
      <c r="G563" s="15">
        <f t="shared" si="28"/>
        <v>1</v>
      </c>
      <c r="H563" s="131">
        <v>12</v>
      </c>
      <c r="I563" s="85"/>
      <c r="J563" s="27"/>
    </row>
    <row r="564" spans="1:10" customFormat="1" ht="16.5" x14ac:dyDescent="0.3">
      <c r="A564" s="131">
        <f t="shared" si="29"/>
        <v>23322</v>
      </c>
      <c r="B564" s="138" t="s">
        <v>296</v>
      </c>
      <c r="C564" s="138"/>
      <c r="D564" s="143"/>
      <c r="E564" s="143" t="s">
        <v>123</v>
      </c>
      <c r="F564" s="143">
        <v>3</v>
      </c>
      <c r="G564" s="15">
        <f t="shared" si="28"/>
        <v>1</v>
      </c>
      <c r="H564" s="131">
        <v>12</v>
      </c>
      <c r="I564" s="85"/>
      <c r="J564" s="27"/>
    </row>
    <row r="565" spans="1:10" customFormat="1" ht="16.5" x14ac:dyDescent="0.3">
      <c r="A565" s="131">
        <f t="shared" si="29"/>
        <v>23334</v>
      </c>
      <c r="B565" s="138" t="s">
        <v>297</v>
      </c>
      <c r="C565" s="138"/>
      <c r="D565" s="143"/>
      <c r="E565" s="143" t="s">
        <v>123</v>
      </c>
      <c r="F565" s="143">
        <v>3</v>
      </c>
      <c r="G565" s="15">
        <f t="shared" si="28"/>
        <v>1</v>
      </c>
      <c r="H565" s="131">
        <v>12</v>
      </c>
      <c r="I565" s="85"/>
      <c r="J565" s="27"/>
    </row>
    <row r="566" spans="1:10" customFormat="1" ht="16.5" x14ac:dyDescent="0.3">
      <c r="A566" s="131">
        <f t="shared" si="29"/>
        <v>23346</v>
      </c>
      <c r="B566" s="138" t="s">
        <v>298</v>
      </c>
      <c r="C566" s="138"/>
      <c r="D566" s="143"/>
      <c r="E566" s="143" t="s">
        <v>123</v>
      </c>
      <c r="F566" s="143">
        <v>3</v>
      </c>
      <c r="G566" s="15">
        <f t="shared" si="28"/>
        <v>1</v>
      </c>
      <c r="H566" s="131">
        <v>12</v>
      </c>
      <c r="I566" s="85"/>
      <c r="J566" s="27"/>
    </row>
    <row r="567" spans="1:10" customFormat="1" ht="16.5" x14ac:dyDescent="0.3">
      <c r="A567" s="131">
        <f t="shared" si="29"/>
        <v>23358</v>
      </c>
      <c r="B567" s="138" t="s">
        <v>299</v>
      </c>
      <c r="C567" s="138"/>
      <c r="D567" s="143"/>
      <c r="E567" s="143" t="s">
        <v>123</v>
      </c>
      <c r="F567" s="143">
        <v>3</v>
      </c>
      <c r="G567" s="15">
        <f t="shared" si="28"/>
        <v>1</v>
      </c>
      <c r="H567" s="131">
        <v>12</v>
      </c>
      <c r="I567" s="85"/>
      <c r="J567" s="27"/>
    </row>
    <row r="568" spans="1:10" customFormat="1" ht="16.5" x14ac:dyDescent="0.3">
      <c r="A568" s="131">
        <f t="shared" si="29"/>
        <v>23370</v>
      </c>
      <c r="B568" s="138" t="s">
        <v>300</v>
      </c>
      <c r="C568" s="138"/>
      <c r="D568" s="143"/>
      <c r="E568" s="143" t="s">
        <v>123</v>
      </c>
      <c r="F568" s="143">
        <v>3</v>
      </c>
      <c r="G568" s="15">
        <f t="shared" si="28"/>
        <v>1</v>
      </c>
      <c r="H568" s="131">
        <v>12</v>
      </c>
      <c r="I568" s="85"/>
      <c r="J568" s="27"/>
    </row>
    <row r="569" spans="1:10" customFormat="1" ht="16.5" x14ac:dyDescent="0.3">
      <c r="A569" s="131">
        <f t="shared" si="29"/>
        <v>23382</v>
      </c>
      <c r="B569" s="138" t="s">
        <v>301</v>
      </c>
      <c r="C569" s="138"/>
      <c r="D569" s="143"/>
      <c r="E569" s="143" t="s">
        <v>123</v>
      </c>
      <c r="F569" s="143">
        <v>3</v>
      </c>
      <c r="G569" s="15">
        <f t="shared" si="28"/>
        <v>1</v>
      </c>
      <c r="H569" s="131">
        <v>12</v>
      </c>
      <c r="I569" s="85"/>
      <c r="J569" s="27"/>
    </row>
    <row r="570" spans="1:10" customFormat="1" ht="16.5" x14ac:dyDescent="0.3">
      <c r="A570" s="131">
        <f t="shared" si="29"/>
        <v>23394</v>
      </c>
      <c r="B570" s="138" t="s">
        <v>302</v>
      </c>
      <c r="C570" s="138"/>
      <c r="D570" s="143"/>
      <c r="E570" s="143" t="s">
        <v>123</v>
      </c>
      <c r="F570" s="143">
        <v>3</v>
      </c>
      <c r="G570" s="15">
        <f t="shared" si="28"/>
        <v>1</v>
      </c>
      <c r="H570" s="131">
        <v>12</v>
      </c>
      <c r="I570" s="85"/>
      <c r="J570" s="27"/>
    </row>
    <row r="571" spans="1:10" customFormat="1" ht="16.5" x14ac:dyDescent="0.3">
      <c r="A571" s="131">
        <f t="shared" si="29"/>
        <v>23406</v>
      </c>
      <c r="B571" s="138" t="s">
        <v>382</v>
      </c>
      <c r="C571" s="138"/>
      <c r="D571" s="143"/>
      <c r="E571" s="143" t="s">
        <v>123</v>
      </c>
      <c r="F571" s="143">
        <v>3</v>
      </c>
      <c r="G571" s="15">
        <f>IF(OR(E571="U16", E571="S16"),1,IF(E571="TS",6,2))</f>
        <v>1</v>
      </c>
      <c r="H571" s="131">
        <v>12</v>
      </c>
      <c r="I571" s="85"/>
      <c r="J571" s="27"/>
    </row>
    <row r="572" spans="1:10" customFormat="1" ht="16.5" x14ac:dyDescent="0.3">
      <c r="A572" s="131">
        <f t="shared" si="29"/>
        <v>23418</v>
      </c>
      <c r="B572" s="138"/>
      <c r="C572" s="138"/>
      <c r="D572" s="143"/>
      <c r="E572" s="143" t="s">
        <v>123</v>
      </c>
      <c r="F572" s="143">
        <v>3</v>
      </c>
      <c r="G572" s="15">
        <f>IF(OR(E572="U16", E572="S16"),1,IF(E572="TS",6,2))</f>
        <v>1</v>
      </c>
      <c r="H572" s="131">
        <v>2</v>
      </c>
      <c r="I572" s="85"/>
      <c r="J572" s="27"/>
    </row>
    <row r="573" spans="1:10" customFormat="1" ht="16.5" customHeight="1" x14ac:dyDescent="0.3">
      <c r="A573" s="162" t="s">
        <v>589</v>
      </c>
      <c r="B573" s="162"/>
      <c r="C573" s="162"/>
      <c r="D573" s="162"/>
      <c r="E573" s="162"/>
      <c r="F573" s="162"/>
      <c r="G573" s="162"/>
      <c r="H573" s="162"/>
      <c r="I573" s="88"/>
      <c r="J573" s="27"/>
    </row>
    <row r="574" spans="1:10" ht="15.75" customHeight="1" x14ac:dyDescent="0.3">
      <c r="A574" s="131">
        <f>A572+(G572*H572)</f>
        <v>23420</v>
      </c>
      <c r="B574" s="11"/>
      <c r="C574" s="138"/>
      <c r="D574" s="131"/>
      <c r="E574" s="15" t="s">
        <v>123</v>
      </c>
      <c r="F574" s="15">
        <v>3</v>
      </c>
      <c r="G574" s="15">
        <f t="shared" ref="G574:G583" si="30">IF(OR(E574="U16", E574="S16"),1,IF(E574="TS",6,2))</f>
        <v>1</v>
      </c>
      <c r="H574" s="131">
        <v>1</v>
      </c>
      <c r="I574" s="85"/>
    </row>
    <row r="575" spans="1:10" ht="15.95" customHeight="1" x14ac:dyDescent="0.3">
      <c r="A575" s="131">
        <f>A574+(G574*H574)</f>
        <v>23421</v>
      </c>
      <c r="B575" s="11"/>
      <c r="C575" s="138"/>
      <c r="D575" s="131"/>
      <c r="E575" s="15" t="s">
        <v>123</v>
      </c>
      <c r="F575" s="15">
        <v>3</v>
      </c>
      <c r="G575" s="15">
        <f t="shared" si="30"/>
        <v>1</v>
      </c>
      <c r="H575" s="131">
        <v>1</v>
      </c>
      <c r="I575" s="85"/>
    </row>
    <row r="576" spans="1:10" ht="15.95" customHeight="1" x14ac:dyDescent="0.3">
      <c r="A576" s="131">
        <f t="shared" ref="A576:A583" si="31">A575+(G575*H575)</f>
        <v>23422</v>
      </c>
      <c r="B576" s="11"/>
      <c r="C576" s="138"/>
      <c r="D576" s="131"/>
      <c r="E576" s="15" t="s">
        <v>123</v>
      </c>
      <c r="F576" s="15">
        <v>3</v>
      </c>
      <c r="G576" s="15">
        <f t="shared" si="30"/>
        <v>1</v>
      </c>
      <c r="H576" s="131">
        <v>1</v>
      </c>
      <c r="I576" s="85"/>
    </row>
    <row r="577" spans="1:10" ht="15.95" customHeight="1" x14ac:dyDescent="0.3">
      <c r="A577" s="131">
        <f t="shared" si="31"/>
        <v>23423</v>
      </c>
      <c r="B577" s="11" t="s">
        <v>587</v>
      </c>
      <c r="C577" s="138"/>
      <c r="D577" s="131"/>
      <c r="E577" s="15" t="s">
        <v>123</v>
      </c>
      <c r="F577" s="15">
        <v>3</v>
      </c>
      <c r="G577" s="15">
        <f t="shared" si="30"/>
        <v>1</v>
      </c>
      <c r="H577" s="131">
        <v>1</v>
      </c>
      <c r="I577" s="85"/>
    </row>
    <row r="578" spans="1:10" customFormat="1" ht="16.5" x14ac:dyDescent="0.3">
      <c r="A578" s="131">
        <f t="shared" si="31"/>
        <v>23424</v>
      </c>
      <c r="B578" s="11" t="s">
        <v>588</v>
      </c>
      <c r="C578" s="138"/>
      <c r="D578" s="131"/>
      <c r="E578" s="15" t="s">
        <v>123</v>
      </c>
      <c r="F578" s="15">
        <v>3</v>
      </c>
      <c r="G578" s="15">
        <f t="shared" si="30"/>
        <v>1</v>
      </c>
      <c r="H578" s="131">
        <v>1</v>
      </c>
      <c r="I578" s="85"/>
      <c r="J578" s="27"/>
    </row>
    <row r="579" spans="1:10" customFormat="1" ht="16.5" customHeight="1" x14ac:dyDescent="0.3">
      <c r="A579" s="131">
        <f t="shared" si="31"/>
        <v>23425</v>
      </c>
      <c r="B579" s="11"/>
      <c r="C579" s="138"/>
      <c r="D579" s="131"/>
      <c r="E579" s="15" t="s">
        <v>123</v>
      </c>
      <c r="F579" s="15">
        <v>3</v>
      </c>
      <c r="G579" s="15">
        <f t="shared" si="30"/>
        <v>1</v>
      </c>
      <c r="H579" s="131">
        <v>1</v>
      </c>
      <c r="I579" s="85"/>
      <c r="J579" s="27"/>
    </row>
    <row r="580" spans="1:10" customFormat="1" ht="16.5" x14ac:dyDescent="0.3">
      <c r="A580" s="131">
        <f t="shared" si="31"/>
        <v>23426</v>
      </c>
      <c r="B580" s="11"/>
      <c r="C580" s="138"/>
      <c r="D580" s="131"/>
      <c r="E580" s="15" t="s">
        <v>123</v>
      </c>
      <c r="F580" s="15">
        <v>3</v>
      </c>
      <c r="G580" s="15">
        <f t="shared" si="30"/>
        <v>1</v>
      </c>
      <c r="H580" s="131">
        <v>1</v>
      </c>
      <c r="I580" s="85"/>
      <c r="J580" s="27"/>
    </row>
    <row r="581" spans="1:10" customFormat="1" ht="16.5" x14ac:dyDescent="0.3">
      <c r="A581" s="131">
        <f t="shared" si="31"/>
        <v>23427</v>
      </c>
      <c r="B581" s="11"/>
      <c r="C581" s="138"/>
      <c r="D581" s="131"/>
      <c r="E581" s="15" t="s">
        <v>123</v>
      </c>
      <c r="F581" s="15">
        <v>3</v>
      </c>
      <c r="G581" s="15">
        <f t="shared" si="30"/>
        <v>1</v>
      </c>
      <c r="H581" s="131">
        <v>1</v>
      </c>
      <c r="I581" s="85"/>
      <c r="J581" s="27"/>
    </row>
    <row r="582" spans="1:10" customFormat="1" ht="16.5" customHeight="1" x14ac:dyDescent="0.3">
      <c r="A582" s="131">
        <f t="shared" si="31"/>
        <v>23428</v>
      </c>
      <c r="B582" s="11"/>
      <c r="C582" s="138"/>
      <c r="D582" s="131"/>
      <c r="E582" s="15" t="s">
        <v>123</v>
      </c>
      <c r="F582" s="15">
        <v>3</v>
      </c>
      <c r="G582" s="15">
        <f t="shared" si="30"/>
        <v>1</v>
      </c>
      <c r="H582" s="131">
        <v>1</v>
      </c>
      <c r="I582" s="85"/>
      <c r="J582" s="27"/>
    </row>
    <row r="583" spans="1:10" customFormat="1" ht="16.5" x14ac:dyDescent="0.3">
      <c r="A583" s="131">
        <f t="shared" si="31"/>
        <v>23429</v>
      </c>
      <c r="B583" s="11"/>
      <c r="C583" s="138"/>
      <c r="D583" s="131"/>
      <c r="E583" s="15" t="s">
        <v>123</v>
      </c>
      <c r="F583" s="15">
        <v>3</v>
      </c>
      <c r="G583" s="15">
        <f t="shared" si="30"/>
        <v>1</v>
      </c>
      <c r="H583" s="131">
        <v>1</v>
      </c>
      <c r="I583" s="85"/>
      <c r="J583" s="27"/>
    </row>
    <row r="584" spans="1:10" ht="15.95" customHeight="1" x14ac:dyDescent="0.3">
      <c r="A584" s="162" t="s">
        <v>115</v>
      </c>
      <c r="B584" s="162"/>
      <c r="C584" s="162"/>
      <c r="D584" s="162"/>
      <c r="E584" s="162"/>
      <c r="F584" s="162"/>
      <c r="G584" s="162"/>
      <c r="H584" s="162"/>
      <c r="I584" s="93"/>
      <c r="J584" s="183" t="s">
        <v>266</v>
      </c>
    </row>
    <row r="585" spans="1:10" ht="15.95" customHeight="1" x14ac:dyDescent="0.3">
      <c r="A585" s="131">
        <f>A583+(G583*H583)</f>
        <v>23430</v>
      </c>
      <c r="B585" s="138" t="s">
        <v>179</v>
      </c>
      <c r="C585" s="138"/>
      <c r="D585" s="131"/>
      <c r="E585" s="15" t="s">
        <v>114</v>
      </c>
      <c r="F585" s="15">
        <v>3</v>
      </c>
      <c r="G585" s="15">
        <f t="shared" ref="G585:G596" si="32">IF(OR(E585="U16", E585="S16"),1,IF(E585="TS",6,2))</f>
        <v>1</v>
      </c>
      <c r="H585" s="131">
        <v>160</v>
      </c>
      <c r="I585" s="89"/>
      <c r="J585" s="183"/>
    </row>
    <row r="586" spans="1:10" ht="15.95" customHeight="1" x14ac:dyDescent="0.3">
      <c r="A586" s="131">
        <f t="shared" ref="A586:A596" si="33">A585+(G585*H585)</f>
        <v>23590</v>
      </c>
      <c r="B586" s="138" t="s">
        <v>32</v>
      </c>
      <c r="C586" s="138"/>
      <c r="D586" s="131"/>
      <c r="E586" s="15" t="s">
        <v>114</v>
      </c>
      <c r="F586" s="15">
        <v>3</v>
      </c>
      <c r="G586" s="15">
        <f t="shared" si="32"/>
        <v>1</v>
      </c>
      <c r="H586" s="131">
        <v>160</v>
      </c>
      <c r="I586" s="89"/>
      <c r="J586" s="183"/>
    </row>
    <row r="587" spans="1:10" ht="15.95" customHeight="1" x14ac:dyDescent="0.3">
      <c r="A587" s="131">
        <f t="shared" si="33"/>
        <v>23750</v>
      </c>
      <c r="B587" s="138" t="s">
        <v>33</v>
      </c>
      <c r="C587" s="138"/>
      <c r="D587" s="131"/>
      <c r="E587" s="15" t="s">
        <v>114</v>
      </c>
      <c r="F587" s="15">
        <v>3</v>
      </c>
      <c r="G587" s="15">
        <f t="shared" si="32"/>
        <v>1</v>
      </c>
      <c r="H587" s="131">
        <v>160</v>
      </c>
      <c r="I587" s="89"/>
      <c r="J587" s="183"/>
    </row>
    <row r="588" spans="1:10" ht="15.95" customHeight="1" x14ac:dyDescent="0.3">
      <c r="A588" s="131">
        <f t="shared" si="33"/>
        <v>23910</v>
      </c>
      <c r="B588" s="138" t="s">
        <v>34</v>
      </c>
      <c r="C588" s="138"/>
      <c r="D588" s="131"/>
      <c r="E588" s="15" t="s">
        <v>114</v>
      </c>
      <c r="F588" s="15">
        <v>3</v>
      </c>
      <c r="G588" s="15">
        <f t="shared" si="32"/>
        <v>1</v>
      </c>
      <c r="H588" s="131">
        <v>160</v>
      </c>
      <c r="I588" s="89"/>
      <c r="J588" s="183"/>
    </row>
    <row r="589" spans="1:10" ht="15.95" customHeight="1" x14ac:dyDescent="0.3">
      <c r="A589" s="131">
        <f t="shared" si="33"/>
        <v>24070</v>
      </c>
      <c r="B589" s="138" t="s">
        <v>35</v>
      </c>
      <c r="C589" s="138"/>
      <c r="D589" s="131"/>
      <c r="E589" s="15" t="s">
        <v>114</v>
      </c>
      <c r="F589" s="15">
        <v>3</v>
      </c>
      <c r="G589" s="15">
        <f t="shared" si="32"/>
        <v>1</v>
      </c>
      <c r="H589" s="131">
        <v>160</v>
      </c>
      <c r="I589" s="89"/>
      <c r="J589" s="183"/>
    </row>
    <row r="590" spans="1:10" ht="15.95" customHeight="1" x14ac:dyDescent="0.3">
      <c r="A590" s="131">
        <f t="shared" si="33"/>
        <v>24230</v>
      </c>
      <c r="B590" s="138" t="s">
        <v>36</v>
      </c>
      <c r="C590" s="138"/>
      <c r="D590" s="131"/>
      <c r="E590" s="15" t="s">
        <v>114</v>
      </c>
      <c r="F590" s="15">
        <v>3</v>
      </c>
      <c r="G590" s="15">
        <f t="shared" si="32"/>
        <v>1</v>
      </c>
      <c r="H590" s="131">
        <v>160</v>
      </c>
      <c r="I590" s="89"/>
      <c r="J590" s="183"/>
    </row>
    <row r="591" spans="1:10" ht="15.95" customHeight="1" x14ac:dyDescent="0.3">
      <c r="A591" s="131">
        <f t="shared" si="33"/>
        <v>24390</v>
      </c>
      <c r="B591" s="138" t="s">
        <v>37</v>
      </c>
      <c r="C591" s="138"/>
      <c r="D591" s="131"/>
      <c r="E591" s="15" t="s">
        <v>114</v>
      </c>
      <c r="F591" s="15">
        <v>3</v>
      </c>
      <c r="G591" s="15">
        <f t="shared" si="32"/>
        <v>1</v>
      </c>
      <c r="H591" s="131">
        <v>160</v>
      </c>
      <c r="I591" s="89"/>
      <c r="J591" s="183"/>
    </row>
    <row r="592" spans="1:10" ht="15.95" customHeight="1" x14ac:dyDescent="0.3">
      <c r="A592" s="131">
        <f t="shared" si="33"/>
        <v>24550</v>
      </c>
      <c r="B592" s="138" t="s">
        <v>38</v>
      </c>
      <c r="C592" s="138"/>
      <c r="D592" s="131"/>
      <c r="E592" s="15" t="s">
        <v>114</v>
      </c>
      <c r="F592" s="15">
        <v>3</v>
      </c>
      <c r="G592" s="15">
        <f t="shared" si="32"/>
        <v>1</v>
      </c>
      <c r="H592" s="131">
        <v>160</v>
      </c>
      <c r="I592" s="89"/>
      <c r="J592" s="183"/>
    </row>
    <row r="593" spans="1:10" ht="15.95" customHeight="1" x14ac:dyDescent="0.3">
      <c r="A593" s="131">
        <f t="shared" si="33"/>
        <v>24710</v>
      </c>
      <c r="B593" s="138" t="s">
        <v>39</v>
      </c>
      <c r="C593" s="138"/>
      <c r="D593" s="131"/>
      <c r="E593" s="15" t="s">
        <v>114</v>
      </c>
      <c r="F593" s="15">
        <v>3</v>
      </c>
      <c r="G593" s="15">
        <f t="shared" si="32"/>
        <v>1</v>
      </c>
      <c r="H593" s="131">
        <v>160</v>
      </c>
      <c r="I593" s="89"/>
      <c r="J593" s="183"/>
    </row>
    <row r="594" spans="1:10" ht="15.95" customHeight="1" x14ac:dyDescent="0.3">
      <c r="A594" s="131">
        <f t="shared" si="33"/>
        <v>24870</v>
      </c>
      <c r="B594" s="138" t="s">
        <v>547</v>
      </c>
      <c r="C594" s="138"/>
      <c r="D594" s="131"/>
      <c r="E594" s="15" t="s">
        <v>436</v>
      </c>
      <c r="F594" s="15">
        <v>3</v>
      </c>
      <c r="G594" s="15">
        <f>IF(OR(E594="U16", E594="S16"),1,IF(E594="TS",6,2))</f>
        <v>2</v>
      </c>
      <c r="H594" s="131">
        <v>1</v>
      </c>
      <c r="I594" s="89"/>
      <c r="J594" s="183"/>
    </row>
    <row r="595" spans="1:10" ht="15.95" customHeight="1" x14ac:dyDescent="0.3">
      <c r="A595" s="131">
        <f t="shared" si="33"/>
        <v>24872</v>
      </c>
      <c r="B595" s="138" t="s">
        <v>548</v>
      </c>
      <c r="C595" s="138"/>
      <c r="D595" s="131"/>
      <c r="E595" s="15" t="s">
        <v>436</v>
      </c>
      <c r="F595" s="15">
        <v>3</v>
      </c>
      <c r="G595" s="15">
        <f t="shared" si="32"/>
        <v>2</v>
      </c>
      <c r="H595" s="131">
        <v>1</v>
      </c>
      <c r="I595" s="89"/>
      <c r="J595" s="183"/>
    </row>
    <row r="596" spans="1:10" ht="15.95" customHeight="1" x14ac:dyDescent="0.3">
      <c r="A596" s="131">
        <f t="shared" si="33"/>
        <v>24874</v>
      </c>
      <c r="B596" s="138"/>
      <c r="C596" s="138"/>
      <c r="D596" s="131"/>
      <c r="E596" s="15" t="s">
        <v>114</v>
      </c>
      <c r="F596" s="15">
        <v>3</v>
      </c>
      <c r="G596" s="15">
        <f t="shared" si="32"/>
        <v>1</v>
      </c>
      <c r="H596" s="131">
        <v>6</v>
      </c>
      <c r="I596" s="85"/>
      <c r="J596" s="70"/>
    </row>
    <row r="597" spans="1:10" customFormat="1" ht="16.5" x14ac:dyDescent="0.3">
      <c r="A597" s="162" t="s">
        <v>538</v>
      </c>
      <c r="B597" s="162"/>
      <c r="C597" s="162"/>
      <c r="D597" s="162"/>
      <c r="E597" s="162"/>
      <c r="F597" s="162"/>
      <c r="G597" s="162"/>
      <c r="H597" s="162"/>
      <c r="I597" s="88"/>
      <c r="J597" s="27"/>
    </row>
    <row r="598" spans="1:10" customFormat="1" ht="16.5" x14ac:dyDescent="0.3">
      <c r="A598" s="131">
        <f>A596+(G596*H596)</f>
        <v>24880</v>
      </c>
      <c r="B598" s="138" t="s">
        <v>873</v>
      </c>
      <c r="C598" s="138"/>
      <c r="D598" s="131"/>
      <c r="E598" s="15" t="s">
        <v>91</v>
      </c>
      <c r="F598" s="15">
        <v>3</v>
      </c>
      <c r="G598" s="15">
        <f t="shared" ref="G598:G645" si="34">IF(OR(E598="U16", E598="S16"),1,IF(E598="TS",6,2))</f>
        <v>2</v>
      </c>
      <c r="H598" s="131">
        <v>1</v>
      </c>
      <c r="I598" s="85"/>
      <c r="J598" s="27"/>
    </row>
    <row r="599" spans="1:10" customFormat="1" ht="16.5" x14ac:dyDescent="0.3">
      <c r="A599" s="131">
        <f t="shared" ref="A599:A646" si="35">A598+(G598*H598)</f>
        <v>24882</v>
      </c>
      <c r="B599" s="138" t="s">
        <v>154</v>
      </c>
      <c r="C599" s="138"/>
      <c r="D599" s="131"/>
      <c r="E599" s="15" t="s">
        <v>58</v>
      </c>
      <c r="F599" s="15">
        <v>3</v>
      </c>
      <c r="G599" s="15">
        <f t="shared" si="34"/>
        <v>2</v>
      </c>
      <c r="H599" s="131">
        <v>1</v>
      </c>
      <c r="I599" s="85"/>
      <c r="J599" s="27"/>
    </row>
    <row r="600" spans="1:10" customFormat="1" ht="16.5" x14ac:dyDescent="0.3">
      <c r="A600" s="131">
        <f t="shared" si="35"/>
        <v>24884</v>
      </c>
      <c r="B600" s="138" t="s">
        <v>155</v>
      </c>
      <c r="C600" s="138"/>
      <c r="D600" s="138"/>
      <c r="E600" s="15" t="s">
        <v>58</v>
      </c>
      <c r="F600" s="15">
        <v>3</v>
      </c>
      <c r="G600" s="15">
        <f t="shared" si="34"/>
        <v>2</v>
      </c>
      <c r="H600" s="131">
        <v>1</v>
      </c>
      <c r="I600" s="85"/>
      <c r="J600" s="27"/>
    </row>
    <row r="601" spans="1:10" customFormat="1" ht="16.5" x14ac:dyDescent="0.3">
      <c r="A601" s="131">
        <f t="shared" si="35"/>
        <v>24886</v>
      </c>
      <c r="B601" s="138" t="s">
        <v>156</v>
      </c>
      <c r="C601" s="138"/>
      <c r="D601" s="138"/>
      <c r="E601" s="15" t="s">
        <v>58</v>
      </c>
      <c r="F601" s="15">
        <v>3</v>
      </c>
      <c r="G601" s="15">
        <f t="shared" si="34"/>
        <v>2</v>
      </c>
      <c r="H601" s="131">
        <v>1</v>
      </c>
      <c r="I601" s="85"/>
      <c r="J601" s="27"/>
    </row>
    <row r="602" spans="1:10" customFormat="1" ht="16.5" x14ac:dyDescent="0.3">
      <c r="A602" s="131">
        <f t="shared" si="35"/>
        <v>24888</v>
      </c>
      <c r="B602" s="138" t="s">
        <v>874</v>
      </c>
      <c r="C602" s="138"/>
      <c r="D602" s="138"/>
      <c r="E602" s="15" t="s">
        <v>58</v>
      </c>
      <c r="F602" s="15">
        <v>3</v>
      </c>
      <c r="G602" s="15">
        <f t="shared" si="34"/>
        <v>2</v>
      </c>
      <c r="H602" s="131">
        <v>1</v>
      </c>
      <c r="I602" s="85"/>
      <c r="J602" s="27"/>
    </row>
    <row r="603" spans="1:10" customFormat="1" ht="16.5" x14ac:dyDescent="0.3">
      <c r="A603" s="131">
        <f t="shared" si="35"/>
        <v>24890</v>
      </c>
      <c r="B603" s="138" t="s">
        <v>875</v>
      </c>
      <c r="C603" s="138"/>
      <c r="D603" s="138"/>
      <c r="E603" s="15" t="s">
        <v>58</v>
      </c>
      <c r="F603" s="15">
        <v>3</v>
      </c>
      <c r="G603" s="15">
        <f t="shared" si="34"/>
        <v>2</v>
      </c>
      <c r="H603" s="131">
        <v>1</v>
      </c>
      <c r="I603" s="85"/>
      <c r="J603" s="27"/>
    </row>
    <row r="604" spans="1:10" customFormat="1" ht="16.5" x14ac:dyDescent="0.3">
      <c r="A604" s="131">
        <f t="shared" si="35"/>
        <v>24892</v>
      </c>
      <c r="B604" s="138" t="s">
        <v>876</v>
      </c>
      <c r="C604" s="138"/>
      <c r="D604" s="138"/>
      <c r="E604" s="15" t="s">
        <v>58</v>
      </c>
      <c r="F604" s="15">
        <v>3</v>
      </c>
      <c r="G604" s="15">
        <f t="shared" si="34"/>
        <v>2</v>
      </c>
      <c r="H604" s="131">
        <v>1</v>
      </c>
      <c r="I604" s="85"/>
      <c r="J604" s="27"/>
    </row>
    <row r="605" spans="1:10" ht="15.95" customHeight="1" x14ac:dyDescent="0.3">
      <c r="A605" s="131">
        <f t="shared" si="35"/>
        <v>24894</v>
      </c>
      <c r="B605" s="138" t="s">
        <v>877</v>
      </c>
      <c r="C605" s="138"/>
      <c r="D605" s="138"/>
      <c r="E605" s="15" t="s">
        <v>58</v>
      </c>
      <c r="F605" s="15">
        <v>3</v>
      </c>
      <c r="G605" s="15">
        <f>IF(OR(E605="U16", E605="S16"),1,IF(E605="TS",6,2))</f>
        <v>2</v>
      </c>
      <c r="H605" s="131">
        <v>1</v>
      </c>
      <c r="I605" s="85"/>
    </row>
    <row r="606" spans="1:10" customFormat="1" ht="16.5" x14ac:dyDescent="0.3">
      <c r="A606" s="131">
        <f t="shared" si="35"/>
        <v>24896</v>
      </c>
      <c r="B606" s="138" t="s">
        <v>878</v>
      </c>
      <c r="C606" s="138"/>
      <c r="D606" s="138"/>
      <c r="E606" s="15" t="s">
        <v>58</v>
      </c>
      <c r="F606" s="15">
        <v>3</v>
      </c>
      <c r="G606" s="15">
        <f>IF(OR(E606="U16", E606="S16"),1,IF(E606="TS",6,2))</f>
        <v>2</v>
      </c>
      <c r="H606" s="131">
        <v>1</v>
      </c>
      <c r="I606" s="85"/>
      <c r="J606" s="27"/>
    </row>
    <row r="607" spans="1:10" customFormat="1" ht="16.5" customHeight="1" x14ac:dyDescent="0.3">
      <c r="A607" s="131">
        <f t="shared" si="35"/>
        <v>24898</v>
      </c>
      <c r="B607" s="138" t="s">
        <v>879</v>
      </c>
      <c r="C607" s="138"/>
      <c r="D607" s="138"/>
      <c r="E607" s="15" t="s">
        <v>58</v>
      </c>
      <c r="F607" s="15">
        <v>3</v>
      </c>
      <c r="G607" s="15">
        <f>IF(OR(E607="U16", E607="S16"),1,IF(E607="TS",6,2))</f>
        <v>2</v>
      </c>
      <c r="H607" s="131">
        <v>1</v>
      </c>
      <c r="I607" s="85"/>
      <c r="J607" s="27"/>
    </row>
    <row r="608" spans="1:10" customFormat="1" ht="16.5" x14ac:dyDescent="0.3">
      <c r="A608" s="131">
        <f t="shared" si="35"/>
        <v>24900</v>
      </c>
      <c r="B608" s="138" t="s">
        <v>880</v>
      </c>
      <c r="C608" s="138"/>
      <c r="D608" s="138"/>
      <c r="E608" s="15" t="s">
        <v>58</v>
      </c>
      <c r="F608" s="15">
        <v>3</v>
      </c>
      <c r="G608" s="15">
        <f t="shared" si="34"/>
        <v>2</v>
      </c>
      <c r="H608" s="131">
        <v>1</v>
      </c>
      <c r="I608" s="85"/>
      <c r="J608" s="27"/>
    </row>
    <row r="609" spans="1:10" customFormat="1" ht="16.5" x14ac:dyDescent="0.3">
      <c r="A609" s="131">
        <f t="shared" si="35"/>
        <v>24902</v>
      </c>
      <c r="B609" s="138" t="s">
        <v>881</v>
      </c>
      <c r="C609" s="138"/>
      <c r="D609" s="138"/>
      <c r="E609" s="15" t="s">
        <v>58</v>
      </c>
      <c r="F609" s="15">
        <v>3</v>
      </c>
      <c r="G609" s="15">
        <f t="shared" si="34"/>
        <v>2</v>
      </c>
      <c r="H609" s="131">
        <v>1</v>
      </c>
      <c r="I609" s="85"/>
      <c r="J609" s="139"/>
    </row>
    <row r="610" spans="1:10" customFormat="1" ht="16.5" x14ac:dyDescent="0.3">
      <c r="A610" s="131">
        <f t="shared" si="35"/>
        <v>24904</v>
      </c>
      <c r="B610" s="138" t="s">
        <v>0</v>
      </c>
      <c r="C610" s="138"/>
      <c r="D610" s="138"/>
      <c r="E610" s="15" t="s">
        <v>58</v>
      </c>
      <c r="F610" s="15">
        <v>3</v>
      </c>
      <c r="G610" s="15">
        <f t="shared" si="34"/>
        <v>2</v>
      </c>
      <c r="H610" s="131">
        <v>1</v>
      </c>
      <c r="I610" s="85"/>
      <c r="J610" s="139"/>
    </row>
    <row r="611" spans="1:10" customFormat="1" ht="16.5" x14ac:dyDescent="0.3">
      <c r="A611" s="131">
        <f t="shared" si="35"/>
        <v>24906</v>
      </c>
      <c r="B611" s="138" t="s">
        <v>1</v>
      </c>
      <c r="C611" s="138"/>
      <c r="D611" s="138"/>
      <c r="E611" s="15" t="s">
        <v>58</v>
      </c>
      <c r="F611" s="15">
        <v>3</v>
      </c>
      <c r="G611" s="15">
        <f t="shared" si="34"/>
        <v>2</v>
      </c>
      <c r="H611" s="131">
        <v>1</v>
      </c>
      <c r="I611" s="85"/>
      <c r="J611" s="27"/>
    </row>
    <row r="612" spans="1:10" customFormat="1" ht="16.5" x14ac:dyDescent="0.3">
      <c r="A612" s="131">
        <f t="shared" si="35"/>
        <v>24908</v>
      </c>
      <c r="B612" s="138" t="s">
        <v>2</v>
      </c>
      <c r="C612" s="138"/>
      <c r="D612" s="138"/>
      <c r="E612" s="15" t="s">
        <v>58</v>
      </c>
      <c r="F612" s="15">
        <v>3</v>
      </c>
      <c r="G612" s="15">
        <f t="shared" si="34"/>
        <v>2</v>
      </c>
      <c r="H612" s="131">
        <v>1</v>
      </c>
      <c r="I612" s="85"/>
      <c r="J612" s="27"/>
    </row>
    <row r="613" spans="1:10" customFormat="1" ht="16.5" x14ac:dyDescent="0.3">
      <c r="A613" s="131">
        <f t="shared" si="35"/>
        <v>24910</v>
      </c>
      <c r="B613" s="138" t="s">
        <v>122</v>
      </c>
      <c r="C613" s="138"/>
      <c r="D613" s="138"/>
      <c r="E613" s="15" t="s">
        <v>58</v>
      </c>
      <c r="F613" s="15">
        <v>3</v>
      </c>
      <c r="G613" s="15">
        <f t="shared" si="34"/>
        <v>2</v>
      </c>
      <c r="H613" s="131">
        <v>1</v>
      </c>
      <c r="I613" s="85"/>
      <c r="J613" s="27"/>
    </row>
    <row r="614" spans="1:10" customFormat="1" ht="16.5" x14ac:dyDescent="0.3">
      <c r="A614" s="131">
        <f t="shared" si="35"/>
        <v>24912</v>
      </c>
      <c r="B614" s="138" t="s">
        <v>882</v>
      </c>
      <c r="C614" s="138"/>
      <c r="D614" s="138"/>
      <c r="E614" s="15" t="s">
        <v>58</v>
      </c>
      <c r="F614" s="15">
        <v>3</v>
      </c>
      <c r="G614" s="15">
        <f t="shared" si="34"/>
        <v>2</v>
      </c>
      <c r="H614" s="131">
        <v>1</v>
      </c>
      <c r="I614" s="85"/>
      <c r="J614" s="27"/>
    </row>
    <row r="615" spans="1:10" customFormat="1" ht="16.5" x14ac:dyDescent="0.3">
      <c r="A615" s="131">
        <f t="shared" si="35"/>
        <v>24914</v>
      </c>
      <c r="B615" s="138" t="s">
        <v>883</v>
      </c>
      <c r="C615" s="138"/>
      <c r="D615" s="138"/>
      <c r="E615" s="15" t="s">
        <v>58</v>
      </c>
      <c r="F615" s="15">
        <v>3</v>
      </c>
      <c r="G615" s="15">
        <f t="shared" si="34"/>
        <v>2</v>
      </c>
      <c r="H615" s="131">
        <v>1</v>
      </c>
      <c r="I615" s="85"/>
      <c r="J615" s="27"/>
    </row>
    <row r="616" spans="1:10" customFormat="1" ht="16.5" x14ac:dyDescent="0.3">
      <c r="A616" s="131">
        <f t="shared" si="35"/>
        <v>24916</v>
      </c>
      <c r="B616" s="138" t="s">
        <v>884</v>
      </c>
      <c r="C616" s="138"/>
      <c r="D616" s="138"/>
      <c r="E616" s="15" t="s">
        <v>58</v>
      </c>
      <c r="F616" s="15">
        <v>3</v>
      </c>
      <c r="G616" s="15">
        <f t="shared" si="34"/>
        <v>2</v>
      </c>
      <c r="H616" s="131">
        <v>1</v>
      </c>
      <c r="I616" s="85"/>
      <c r="J616" s="27"/>
    </row>
    <row r="617" spans="1:10" ht="15.95" customHeight="1" x14ac:dyDescent="0.3">
      <c r="A617" s="131">
        <f t="shared" si="35"/>
        <v>24918</v>
      </c>
      <c r="B617" s="138" t="s">
        <v>885</v>
      </c>
      <c r="C617" s="138"/>
      <c r="D617" s="138"/>
      <c r="E617" s="15" t="s">
        <v>58</v>
      </c>
      <c r="F617" s="15">
        <v>3</v>
      </c>
      <c r="G617" s="15">
        <f t="shared" si="34"/>
        <v>2</v>
      </c>
      <c r="H617" s="131">
        <v>1</v>
      </c>
      <c r="I617" s="85"/>
    </row>
    <row r="618" spans="1:10" ht="15.95" customHeight="1" x14ac:dyDescent="0.3">
      <c r="A618" s="131">
        <f t="shared" si="35"/>
        <v>24920</v>
      </c>
      <c r="B618" s="138" t="s">
        <v>886</v>
      </c>
      <c r="C618" s="138"/>
      <c r="D618" s="138"/>
      <c r="E618" s="15" t="s">
        <v>58</v>
      </c>
      <c r="F618" s="15">
        <v>3</v>
      </c>
      <c r="G618" s="15">
        <f t="shared" si="34"/>
        <v>2</v>
      </c>
      <c r="H618" s="131">
        <v>1</v>
      </c>
      <c r="I618" s="85"/>
    </row>
    <row r="619" spans="1:10" ht="15.95" customHeight="1" x14ac:dyDescent="0.3">
      <c r="A619" s="131">
        <f t="shared" si="35"/>
        <v>24922</v>
      </c>
      <c r="B619" s="138" t="s">
        <v>887</v>
      </c>
      <c r="C619" s="138"/>
      <c r="D619" s="131"/>
      <c r="E619" s="15" t="s">
        <v>58</v>
      </c>
      <c r="F619" s="15">
        <v>3</v>
      </c>
      <c r="G619" s="15">
        <f t="shared" si="34"/>
        <v>2</v>
      </c>
      <c r="H619" s="131">
        <v>1</v>
      </c>
      <c r="I619" s="85"/>
    </row>
    <row r="620" spans="1:10" customFormat="1" ht="16.5" x14ac:dyDescent="0.3">
      <c r="A620" s="131">
        <f t="shared" si="35"/>
        <v>24924</v>
      </c>
      <c r="B620" s="138" t="s">
        <v>888</v>
      </c>
      <c r="C620" s="138"/>
      <c r="D620" s="131"/>
      <c r="E620" s="15" t="s">
        <v>58</v>
      </c>
      <c r="F620" s="15">
        <v>3</v>
      </c>
      <c r="G620" s="15">
        <f t="shared" si="34"/>
        <v>2</v>
      </c>
      <c r="H620" s="131">
        <v>1</v>
      </c>
      <c r="I620" s="85"/>
      <c r="J620" s="27"/>
    </row>
    <row r="621" spans="1:10" customFormat="1" ht="16.5" customHeight="1" x14ac:dyDescent="0.3">
      <c r="A621" s="131">
        <f t="shared" si="35"/>
        <v>24926</v>
      </c>
      <c r="B621" s="138" t="s">
        <v>889</v>
      </c>
      <c r="C621" s="138"/>
      <c r="D621" s="131"/>
      <c r="E621" s="15" t="s">
        <v>58</v>
      </c>
      <c r="F621" s="15">
        <v>3</v>
      </c>
      <c r="G621" s="15">
        <f t="shared" si="34"/>
        <v>2</v>
      </c>
      <c r="H621" s="131">
        <v>1</v>
      </c>
      <c r="I621" s="85"/>
      <c r="J621" s="27"/>
    </row>
    <row r="622" spans="1:10" customFormat="1" ht="16.5" x14ac:dyDescent="0.3">
      <c r="A622" s="131">
        <f t="shared" si="35"/>
        <v>24928</v>
      </c>
      <c r="B622" s="138" t="s">
        <v>890</v>
      </c>
      <c r="C622" s="138"/>
      <c r="D622" s="131"/>
      <c r="E622" s="15" t="s">
        <v>58</v>
      </c>
      <c r="F622" s="15">
        <v>3</v>
      </c>
      <c r="G622" s="15">
        <f t="shared" si="34"/>
        <v>2</v>
      </c>
      <c r="H622" s="131">
        <v>1</v>
      </c>
      <c r="I622" s="85"/>
      <c r="J622" s="27"/>
    </row>
    <row r="623" spans="1:10" customFormat="1" ht="16.5" x14ac:dyDescent="0.3">
      <c r="A623" s="131">
        <f t="shared" si="35"/>
        <v>24930</v>
      </c>
      <c r="B623" s="138" t="s">
        <v>891</v>
      </c>
      <c r="C623" s="138"/>
      <c r="D623" s="131"/>
      <c r="E623" s="15" t="s">
        <v>58</v>
      </c>
      <c r="F623" s="15">
        <v>3</v>
      </c>
      <c r="G623" s="15">
        <f t="shared" si="34"/>
        <v>2</v>
      </c>
      <c r="H623" s="131">
        <v>1</v>
      </c>
      <c r="I623" s="85"/>
      <c r="J623" s="27"/>
    </row>
    <row r="624" spans="1:10" customFormat="1" ht="16.5" x14ac:dyDescent="0.3">
      <c r="A624" s="131">
        <f t="shared" si="35"/>
        <v>24932</v>
      </c>
      <c r="B624" s="138" t="s">
        <v>892</v>
      </c>
      <c r="C624" s="138"/>
      <c r="D624" s="131"/>
      <c r="E624" s="15" t="s">
        <v>58</v>
      </c>
      <c r="F624" s="15">
        <v>3</v>
      </c>
      <c r="G624" s="15">
        <f t="shared" si="34"/>
        <v>2</v>
      </c>
      <c r="H624" s="131">
        <v>1</v>
      </c>
      <c r="I624" s="85"/>
      <c r="J624" s="27"/>
    </row>
    <row r="625" spans="1:10" customFormat="1" ht="16.5" x14ac:dyDescent="0.3">
      <c r="A625" s="131">
        <f t="shared" si="35"/>
        <v>24934</v>
      </c>
      <c r="B625" s="138" t="s">
        <v>893</v>
      </c>
      <c r="C625" s="138"/>
      <c r="D625" s="131"/>
      <c r="E625" s="15" t="s">
        <v>58</v>
      </c>
      <c r="F625" s="15">
        <v>3</v>
      </c>
      <c r="G625" s="15">
        <f t="shared" si="34"/>
        <v>2</v>
      </c>
      <c r="H625" s="131">
        <v>1</v>
      </c>
      <c r="I625" s="85"/>
      <c r="J625" s="27"/>
    </row>
    <row r="626" spans="1:10" ht="15.95" customHeight="1" x14ac:dyDescent="0.3">
      <c r="A626" s="131">
        <f t="shared" si="35"/>
        <v>24936</v>
      </c>
      <c r="B626" s="138" t="s">
        <v>894</v>
      </c>
      <c r="C626" s="138"/>
      <c r="D626" s="131"/>
      <c r="E626" s="15" t="s">
        <v>58</v>
      </c>
      <c r="F626" s="15">
        <v>3</v>
      </c>
      <c r="G626" s="15">
        <f t="shared" si="34"/>
        <v>2</v>
      </c>
      <c r="H626" s="131">
        <v>1</v>
      </c>
      <c r="I626" s="85"/>
    </row>
    <row r="627" spans="1:10" ht="15.95" customHeight="1" x14ac:dyDescent="0.3">
      <c r="A627" s="131">
        <f t="shared" si="35"/>
        <v>24938</v>
      </c>
      <c r="B627" s="138" t="s">
        <v>895</v>
      </c>
      <c r="C627" s="138"/>
      <c r="D627" s="131"/>
      <c r="E627" s="15" t="s">
        <v>58</v>
      </c>
      <c r="F627" s="15">
        <v>3</v>
      </c>
      <c r="G627" s="15">
        <f t="shared" si="34"/>
        <v>2</v>
      </c>
      <c r="H627" s="131">
        <v>1</v>
      </c>
      <c r="I627" s="85"/>
    </row>
    <row r="628" spans="1:10" ht="15.95" customHeight="1" x14ac:dyDescent="0.3">
      <c r="A628" s="131">
        <f t="shared" si="35"/>
        <v>24940</v>
      </c>
      <c r="B628" s="138" t="s">
        <v>896</v>
      </c>
      <c r="C628" s="138"/>
      <c r="D628" s="131"/>
      <c r="E628" s="15" t="s">
        <v>58</v>
      </c>
      <c r="F628" s="15">
        <v>3</v>
      </c>
      <c r="G628" s="15">
        <f t="shared" si="34"/>
        <v>2</v>
      </c>
      <c r="H628" s="131">
        <v>1</v>
      </c>
      <c r="I628" s="85"/>
    </row>
    <row r="629" spans="1:10" customFormat="1" ht="16.5" x14ac:dyDescent="0.3">
      <c r="A629" s="131">
        <f t="shared" si="35"/>
        <v>24942</v>
      </c>
      <c r="B629" s="138" t="s">
        <v>897</v>
      </c>
      <c r="C629" s="138"/>
      <c r="D629" s="138"/>
      <c r="E629" s="15" t="s">
        <v>58</v>
      </c>
      <c r="F629" s="15">
        <v>3</v>
      </c>
      <c r="G629" s="15">
        <f t="shared" si="34"/>
        <v>2</v>
      </c>
      <c r="H629" s="131">
        <v>1</v>
      </c>
      <c r="I629" s="85"/>
      <c r="J629" s="27"/>
    </row>
    <row r="630" spans="1:10" customFormat="1" ht="16.5" customHeight="1" x14ac:dyDescent="0.3">
      <c r="A630" s="131">
        <f t="shared" si="35"/>
        <v>24944</v>
      </c>
      <c r="B630" s="138" t="s">
        <v>132</v>
      </c>
      <c r="C630" s="138"/>
      <c r="D630" s="138"/>
      <c r="E630" s="15" t="s">
        <v>58</v>
      </c>
      <c r="F630" s="15">
        <v>3</v>
      </c>
      <c r="G630" s="15">
        <f t="shared" si="34"/>
        <v>2</v>
      </c>
      <c r="H630" s="131">
        <v>1</v>
      </c>
      <c r="I630" s="85"/>
      <c r="J630" s="27"/>
    </row>
    <row r="631" spans="1:10" customFormat="1" ht="16.5" x14ac:dyDescent="0.3">
      <c r="A631" s="131">
        <f t="shared" si="35"/>
        <v>24946</v>
      </c>
      <c r="B631" s="138" t="s">
        <v>133</v>
      </c>
      <c r="C631" s="138"/>
      <c r="D631" s="138"/>
      <c r="E631" s="15" t="s">
        <v>58</v>
      </c>
      <c r="F631" s="15">
        <v>3</v>
      </c>
      <c r="G631" s="15">
        <f t="shared" si="34"/>
        <v>2</v>
      </c>
      <c r="H631" s="131">
        <v>1</v>
      </c>
      <c r="I631" s="85"/>
      <c r="J631" s="27"/>
    </row>
    <row r="632" spans="1:10" customFormat="1" ht="16.5" x14ac:dyDescent="0.3">
      <c r="A632" s="131">
        <f t="shared" si="35"/>
        <v>24948</v>
      </c>
      <c r="B632" s="138" t="s">
        <v>898</v>
      </c>
      <c r="C632" s="138"/>
      <c r="D632" s="138"/>
      <c r="E632" s="15" t="s">
        <v>58</v>
      </c>
      <c r="F632" s="15">
        <v>3</v>
      </c>
      <c r="G632" s="15">
        <f t="shared" si="34"/>
        <v>2</v>
      </c>
      <c r="H632" s="131">
        <v>1</v>
      </c>
      <c r="I632" s="85"/>
      <c r="J632" s="27"/>
    </row>
    <row r="633" spans="1:10" customFormat="1" ht="16.5" x14ac:dyDescent="0.3">
      <c r="A633" s="131">
        <f t="shared" si="35"/>
        <v>24950</v>
      </c>
      <c r="B633" s="138" t="s">
        <v>899</v>
      </c>
      <c r="C633" s="138"/>
      <c r="D633" s="131"/>
      <c r="E633" s="15" t="s">
        <v>58</v>
      </c>
      <c r="F633" s="15">
        <v>3</v>
      </c>
      <c r="G633" s="15">
        <f t="shared" si="34"/>
        <v>2</v>
      </c>
      <c r="H633" s="131">
        <v>1</v>
      </c>
      <c r="I633" s="85"/>
      <c r="J633" s="27"/>
    </row>
    <row r="634" spans="1:10" customFormat="1" ht="16.5" x14ac:dyDescent="0.3">
      <c r="A634" s="131">
        <f t="shared" si="35"/>
        <v>24952</v>
      </c>
      <c r="B634" s="138" t="s">
        <v>900</v>
      </c>
      <c r="C634" s="138"/>
      <c r="D634" s="131"/>
      <c r="E634" s="15" t="s">
        <v>58</v>
      </c>
      <c r="F634" s="15">
        <v>3</v>
      </c>
      <c r="G634" s="15">
        <f t="shared" si="34"/>
        <v>2</v>
      </c>
      <c r="H634" s="131">
        <v>1</v>
      </c>
      <c r="I634" s="85"/>
      <c r="J634" s="27"/>
    </row>
    <row r="635" spans="1:10" customFormat="1" ht="16.5" x14ac:dyDescent="0.3">
      <c r="A635" s="131">
        <f t="shared" si="35"/>
        <v>24954</v>
      </c>
      <c r="B635" s="138" t="s">
        <v>901</v>
      </c>
      <c r="C635" s="138"/>
      <c r="D635" s="131"/>
      <c r="E635" s="15" t="s">
        <v>58</v>
      </c>
      <c r="F635" s="15">
        <v>3</v>
      </c>
      <c r="G635" s="15">
        <f t="shared" si="34"/>
        <v>2</v>
      </c>
      <c r="H635" s="131">
        <v>1</v>
      </c>
      <c r="I635" s="85"/>
      <c r="J635" s="27"/>
    </row>
    <row r="636" spans="1:10" ht="16.5" customHeight="1" x14ac:dyDescent="0.3">
      <c r="A636" s="131">
        <f t="shared" si="35"/>
        <v>24956</v>
      </c>
      <c r="B636" s="138" t="s">
        <v>902</v>
      </c>
      <c r="C636" s="138"/>
      <c r="D636" s="131"/>
      <c r="E636" s="15" t="s">
        <v>58</v>
      </c>
      <c r="F636" s="15">
        <v>3</v>
      </c>
      <c r="G636" s="15">
        <f t="shared" si="34"/>
        <v>2</v>
      </c>
      <c r="H636" s="131">
        <v>1</v>
      </c>
      <c r="I636" s="85"/>
      <c r="J636" s="139" t="s">
        <v>551</v>
      </c>
    </row>
    <row r="637" spans="1:10" ht="16.5" customHeight="1" x14ac:dyDescent="0.3">
      <c r="A637" s="131">
        <f t="shared" si="35"/>
        <v>24958</v>
      </c>
      <c r="B637" s="138" t="s">
        <v>94</v>
      </c>
      <c r="C637" s="138"/>
      <c r="D637" s="131"/>
      <c r="E637" s="15" t="s">
        <v>114</v>
      </c>
      <c r="F637" s="15">
        <v>3</v>
      </c>
      <c r="G637" s="15">
        <f t="shared" si="34"/>
        <v>1</v>
      </c>
      <c r="H637" s="131">
        <v>24</v>
      </c>
      <c r="I637" s="85"/>
    </row>
    <row r="638" spans="1:10" ht="16.5" customHeight="1" x14ac:dyDescent="0.3">
      <c r="A638" s="131">
        <f t="shared" si="35"/>
        <v>24982</v>
      </c>
      <c r="B638" s="138" t="s">
        <v>95</v>
      </c>
      <c r="C638" s="138"/>
      <c r="D638" s="131"/>
      <c r="E638" s="15" t="s">
        <v>114</v>
      </c>
      <c r="F638" s="15">
        <v>3</v>
      </c>
      <c r="G638" s="15">
        <f t="shared" si="34"/>
        <v>1</v>
      </c>
      <c r="H638" s="131">
        <v>24</v>
      </c>
      <c r="I638" s="85"/>
      <c r="J638" s="139" t="s">
        <v>552</v>
      </c>
    </row>
    <row r="639" spans="1:10" ht="16.5" customHeight="1" x14ac:dyDescent="0.3">
      <c r="A639" s="131">
        <f t="shared" si="35"/>
        <v>25006</v>
      </c>
      <c r="B639" s="138" t="s">
        <v>96</v>
      </c>
      <c r="C639" s="138"/>
      <c r="D639" s="131"/>
      <c r="E639" s="15" t="s">
        <v>114</v>
      </c>
      <c r="F639" s="15">
        <v>3</v>
      </c>
      <c r="G639" s="15">
        <f t="shared" si="34"/>
        <v>1</v>
      </c>
      <c r="H639" s="131">
        <v>24</v>
      </c>
      <c r="I639" s="85"/>
    </row>
    <row r="640" spans="1:10" ht="16.5" customHeight="1" x14ac:dyDescent="0.3">
      <c r="A640" s="131">
        <f t="shared" si="35"/>
        <v>25030</v>
      </c>
      <c r="B640" s="138" t="s">
        <v>97</v>
      </c>
      <c r="C640" s="138"/>
      <c r="D640" s="131"/>
      <c r="E640" s="15" t="s">
        <v>114</v>
      </c>
      <c r="F640" s="15">
        <v>3</v>
      </c>
      <c r="G640" s="15">
        <f t="shared" si="34"/>
        <v>1</v>
      </c>
      <c r="H640" s="131">
        <v>24</v>
      </c>
      <c r="I640" s="85"/>
    </row>
    <row r="641" spans="1:9" ht="16.5" customHeight="1" x14ac:dyDescent="0.3">
      <c r="A641" s="131">
        <f t="shared" si="35"/>
        <v>25054</v>
      </c>
      <c r="B641" s="138" t="s">
        <v>98</v>
      </c>
      <c r="C641" s="138"/>
      <c r="D641" s="131"/>
      <c r="E641" s="15" t="s">
        <v>114</v>
      </c>
      <c r="F641" s="15">
        <v>3</v>
      </c>
      <c r="G641" s="15">
        <f t="shared" si="34"/>
        <v>1</v>
      </c>
      <c r="H641" s="131">
        <v>24</v>
      </c>
      <c r="I641" s="85"/>
    </row>
    <row r="642" spans="1:9" ht="16.5" customHeight="1" x14ac:dyDescent="0.3">
      <c r="A642" s="131">
        <f t="shared" si="35"/>
        <v>25078</v>
      </c>
      <c r="B642" s="138" t="s">
        <v>99</v>
      </c>
      <c r="C642" s="138"/>
      <c r="D642" s="131"/>
      <c r="E642" s="15" t="s">
        <v>114</v>
      </c>
      <c r="F642" s="15">
        <v>3</v>
      </c>
      <c r="G642" s="15">
        <f t="shared" si="34"/>
        <v>1</v>
      </c>
      <c r="H642" s="131">
        <v>24</v>
      </c>
      <c r="I642" s="85"/>
    </row>
    <row r="643" spans="1:9" ht="16.5" customHeight="1" x14ac:dyDescent="0.3">
      <c r="A643" s="131">
        <f t="shared" si="35"/>
        <v>25102</v>
      </c>
      <c r="B643" s="138" t="s">
        <v>100</v>
      </c>
      <c r="C643" s="138"/>
      <c r="D643" s="131"/>
      <c r="E643" s="15" t="s">
        <v>114</v>
      </c>
      <c r="F643" s="15">
        <v>3</v>
      </c>
      <c r="G643" s="15">
        <f t="shared" si="34"/>
        <v>1</v>
      </c>
      <c r="H643" s="131">
        <v>24</v>
      </c>
      <c r="I643" s="85"/>
    </row>
    <row r="644" spans="1:9" ht="16.5" customHeight="1" x14ac:dyDescent="0.3">
      <c r="A644" s="131">
        <f t="shared" si="35"/>
        <v>25126</v>
      </c>
      <c r="B644" s="138" t="s">
        <v>101</v>
      </c>
      <c r="C644" s="138"/>
      <c r="D644" s="131"/>
      <c r="E644" s="15" t="s">
        <v>114</v>
      </c>
      <c r="F644" s="15">
        <v>3</v>
      </c>
      <c r="G644" s="15">
        <f t="shared" si="34"/>
        <v>1</v>
      </c>
      <c r="H644" s="131">
        <v>24</v>
      </c>
      <c r="I644" s="85"/>
    </row>
    <row r="645" spans="1:9" ht="16.5" customHeight="1" x14ac:dyDescent="0.3">
      <c r="A645" s="131">
        <f t="shared" si="35"/>
        <v>25150</v>
      </c>
      <c r="B645" s="138" t="s">
        <v>102</v>
      </c>
      <c r="C645" s="138"/>
      <c r="D645" s="131"/>
      <c r="E645" s="15" t="s">
        <v>114</v>
      </c>
      <c r="F645" s="15">
        <v>3</v>
      </c>
      <c r="G645" s="15">
        <f t="shared" si="34"/>
        <v>1</v>
      </c>
      <c r="H645" s="131">
        <v>24</v>
      </c>
      <c r="I645" s="85"/>
    </row>
    <row r="646" spans="1:9" ht="16.5" customHeight="1" x14ac:dyDescent="0.3">
      <c r="A646" s="131">
        <f t="shared" si="35"/>
        <v>25174</v>
      </c>
      <c r="B646" s="138" t="s">
        <v>41</v>
      </c>
      <c r="C646" s="138"/>
      <c r="D646" s="131"/>
      <c r="E646" s="15" t="s">
        <v>123</v>
      </c>
      <c r="F646" s="15">
        <v>3</v>
      </c>
      <c r="G646" s="15">
        <f>IF(OR(E646="U16", E646="S16"),1,IF(E646="TS",6,2))</f>
        <v>1</v>
      </c>
      <c r="H646" s="131">
        <v>6</v>
      </c>
      <c r="I646" s="85"/>
    </row>
    <row r="647" spans="1:9" ht="16.5" customHeight="1" x14ac:dyDescent="0.3">
      <c r="A647" s="162" t="s">
        <v>550</v>
      </c>
      <c r="B647" s="162"/>
      <c r="C647" s="162"/>
      <c r="D647" s="162"/>
      <c r="E647" s="162"/>
      <c r="F647" s="162"/>
      <c r="G647" s="162"/>
      <c r="H647" s="162"/>
      <c r="I647" s="88"/>
    </row>
    <row r="648" spans="1:9" ht="16.5" customHeight="1" x14ac:dyDescent="0.3">
      <c r="A648" s="143">
        <f>A646+(G646*H646)</f>
        <v>25180</v>
      </c>
      <c r="B648" s="144" t="s">
        <v>90</v>
      </c>
      <c r="C648" s="144"/>
      <c r="D648" s="143"/>
      <c r="E648" s="143" t="s">
        <v>91</v>
      </c>
      <c r="F648" s="143">
        <v>3</v>
      </c>
      <c r="G648" s="143">
        <f t="shared" ref="G648:G655" si="36">IF(OR(E648="U16", E648="S16"),1,IF(E648="TS",6,2))</f>
        <v>2</v>
      </c>
      <c r="H648" s="143">
        <v>1</v>
      </c>
      <c r="I648" s="86"/>
    </row>
    <row r="649" spans="1:9" ht="16.5" customHeight="1" x14ac:dyDescent="0.3">
      <c r="A649" s="143">
        <f t="shared" ref="A649:A705" si="37">A648+(G648*H648)</f>
        <v>25182</v>
      </c>
      <c r="B649" s="144" t="s">
        <v>903</v>
      </c>
      <c r="C649" s="144"/>
      <c r="D649" s="143"/>
      <c r="E649" s="143" t="s">
        <v>58</v>
      </c>
      <c r="F649" s="143">
        <v>3</v>
      </c>
      <c r="G649" s="143">
        <f>IF(OR(E649="U16", E649="S16"),1,IF(E649="TS",6,2))</f>
        <v>2</v>
      </c>
      <c r="H649" s="143">
        <v>1</v>
      </c>
      <c r="I649" s="86"/>
    </row>
    <row r="650" spans="1:9" ht="16.5" customHeight="1" x14ac:dyDescent="0.3">
      <c r="A650" s="143">
        <f t="shared" si="37"/>
        <v>25184</v>
      </c>
      <c r="B650" s="144" t="s">
        <v>904</v>
      </c>
      <c r="C650" s="144"/>
      <c r="D650" s="143"/>
      <c r="E650" s="143" t="s">
        <v>58</v>
      </c>
      <c r="F650" s="143">
        <v>3</v>
      </c>
      <c r="G650" s="143">
        <f t="shared" si="36"/>
        <v>2</v>
      </c>
      <c r="H650" s="143">
        <v>1</v>
      </c>
      <c r="I650" s="86"/>
    </row>
    <row r="651" spans="1:9" ht="16.5" customHeight="1" x14ac:dyDescent="0.3">
      <c r="A651" s="143">
        <f t="shared" si="37"/>
        <v>25186</v>
      </c>
      <c r="B651" s="144" t="s">
        <v>905</v>
      </c>
      <c r="C651" s="144"/>
      <c r="D651" s="144"/>
      <c r="E651" s="143" t="s">
        <v>58</v>
      </c>
      <c r="F651" s="143">
        <v>3</v>
      </c>
      <c r="G651" s="143">
        <f t="shared" si="36"/>
        <v>2</v>
      </c>
      <c r="H651" s="143">
        <v>1</v>
      </c>
      <c r="I651" s="86"/>
    </row>
    <row r="652" spans="1:9" ht="16.5" customHeight="1" x14ac:dyDescent="0.3">
      <c r="A652" s="143">
        <f t="shared" si="37"/>
        <v>25188</v>
      </c>
      <c r="B652" s="144" t="s">
        <v>906</v>
      </c>
      <c r="C652" s="144"/>
      <c r="D652" s="144"/>
      <c r="E652" s="143" t="s">
        <v>58</v>
      </c>
      <c r="F652" s="143">
        <v>3</v>
      </c>
      <c r="G652" s="143">
        <f t="shared" si="36"/>
        <v>2</v>
      </c>
      <c r="H652" s="143">
        <v>1</v>
      </c>
      <c r="I652" s="86"/>
    </row>
    <row r="653" spans="1:9" ht="16.5" customHeight="1" x14ac:dyDescent="0.3">
      <c r="A653" s="143">
        <f t="shared" si="37"/>
        <v>25190</v>
      </c>
      <c r="B653" s="144" t="s">
        <v>907</v>
      </c>
      <c r="C653" s="144"/>
      <c r="D653" s="144"/>
      <c r="E653" s="143" t="s">
        <v>58</v>
      </c>
      <c r="F653" s="143">
        <v>3</v>
      </c>
      <c r="G653" s="143">
        <f t="shared" si="36"/>
        <v>2</v>
      </c>
      <c r="H653" s="143">
        <v>4</v>
      </c>
      <c r="I653" s="86"/>
    </row>
    <row r="654" spans="1:9" ht="16.5" customHeight="1" x14ac:dyDescent="0.3">
      <c r="A654" s="143">
        <f t="shared" si="37"/>
        <v>25198</v>
      </c>
      <c r="B654" s="144" t="s">
        <v>908</v>
      </c>
      <c r="C654" s="144"/>
      <c r="D654" s="144"/>
      <c r="E654" s="143" t="s">
        <v>58</v>
      </c>
      <c r="F654" s="143">
        <v>3</v>
      </c>
      <c r="G654" s="143">
        <f t="shared" si="36"/>
        <v>2</v>
      </c>
      <c r="H654" s="143">
        <v>4</v>
      </c>
      <c r="I654" s="86"/>
    </row>
    <row r="655" spans="1:9" ht="16.5" customHeight="1" x14ac:dyDescent="0.3">
      <c r="A655" s="143">
        <f t="shared" si="37"/>
        <v>25206</v>
      </c>
      <c r="B655" s="144" t="s">
        <v>909</v>
      </c>
      <c r="C655" s="144"/>
      <c r="D655" s="144"/>
      <c r="E655" s="143" t="s">
        <v>58</v>
      </c>
      <c r="F655" s="143">
        <v>3</v>
      </c>
      <c r="G655" s="143">
        <f t="shared" si="36"/>
        <v>2</v>
      </c>
      <c r="H655" s="143">
        <v>4</v>
      </c>
      <c r="I655" s="86"/>
    </row>
    <row r="656" spans="1:9" ht="16.5" customHeight="1" x14ac:dyDescent="0.3">
      <c r="A656" s="143">
        <f t="shared" si="37"/>
        <v>25214</v>
      </c>
      <c r="B656" s="144" t="s">
        <v>910</v>
      </c>
      <c r="C656" s="144"/>
      <c r="D656" s="144"/>
      <c r="E656" s="143" t="s">
        <v>58</v>
      </c>
      <c r="F656" s="143">
        <v>3</v>
      </c>
      <c r="G656" s="143">
        <f>IF(OR(E656="U16", E656="S16"),1,IF(E656="TS",6,2))</f>
        <v>2</v>
      </c>
      <c r="H656" s="143">
        <v>4</v>
      </c>
      <c r="I656" s="86"/>
    </row>
    <row r="657" spans="1:9" ht="16.5" customHeight="1" x14ac:dyDescent="0.3">
      <c r="A657" s="143">
        <f t="shared" si="37"/>
        <v>25222</v>
      </c>
      <c r="B657" s="144" t="s">
        <v>911</v>
      </c>
      <c r="C657" s="144"/>
      <c r="D657" s="144"/>
      <c r="E657" s="143" t="s">
        <v>58</v>
      </c>
      <c r="F657" s="143">
        <v>3</v>
      </c>
      <c r="G657" s="143">
        <f>IF(OR(E657="U16", E657="S16"),1,IF(E657="TS",6,2))</f>
        <v>2</v>
      </c>
      <c r="H657" s="143">
        <v>4</v>
      </c>
      <c r="I657" s="86"/>
    </row>
    <row r="658" spans="1:9" ht="16.5" customHeight="1" x14ac:dyDescent="0.3">
      <c r="A658" s="143">
        <f t="shared" si="37"/>
        <v>25230</v>
      </c>
      <c r="B658" s="144" t="s">
        <v>912</v>
      </c>
      <c r="C658" s="144"/>
      <c r="D658" s="144"/>
      <c r="E658" s="143" t="s">
        <v>58</v>
      </c>
      <c r="F658" s="143">
        <v>3</v>
      </c>
      <c r="G658" s="143">
        <f>IF(OR(E658="U16", E658="S16"),1,IF(E658="TS",6,2))</f>
        <v>2</v>
      </c>
      <c r="H658" s="143">
        <v>4</v>
      </c>
      <c r="I658" s="86"/>
    </row>
    <row r="659" spans="1:9" ht="16.5" customHeight="1" x14ac:dyDescent="0.3">
      <c r="A659" s="143">
        <f t="shared" si="37"/>
        <v>25238</v>
      </c>
      <c r="B659" s="144" t="s">
        <v>913</v>
      </c>
      <c r="C659" s="144"/>
      <c r="D659" s="144"/>
      <c r="E659" s="143" t="s">
        <v>58</v>
      </c>
      <c r="F659" s="143">
        <v>3</v>
      </c>
      <c r="G659" s="143">
        <f t="shared" ref="G659:G709" si="38">IF(OR(E659="U16", E659="S16"),1,IF(E659="TS",6,2))</f>
        <v>2</v>
      </c>
      <c r="H659" s="143">
        <v>4</v>
      </c>
      <c r="I659" s="86"/>
    </row>
    <row r="660" spans="1:9" ht="16.5" customHeight="1" x14ac:dyDescent="0.3">
      <c r="A660" s="143">
        <f t="shared" si="37"/>
        <v>25246</v>
      </c>
      <c r="B660" s="144" t="s">
        <v>914</v>
      </c>
      <c r="C660" s="144"/>
      <c r="D660" s="144"/>
      <c r="E660" s="143" t="s">
        <v>58</v>
      </c>
      <c r="F660" s="143">
        <v>3</v>
      </c>
      <c r="G660" s="143">
        <f t="shared" si="38"/>
        <v>2</v>
      </c>
      <c r="H660" s="143">
        <v>4</v>
      </c>
      <c r="I660" s="86"/>
    </row>
    <row r="661" spans="1:9" ht="16.5" customHeight="1" x14ac:dyDescent="0.3">
      <c r="A661" s="143">
        <f t="shared" si="37"/>
        <v>25254</v>
      </c>
      <c r="B661" s="144" t="s">
        <v>915</v>
      </c>
      <c r="C661" s="144"/>
      <c r="D661" s="144"/>
      <c r="E661" s="143" t="s">
        <v>58</v>
      </c>
      <c r="F661" s="143">
        <v>3</v>
      </c>
      <c r="G661" s="143">
        <f t="shared" si="38"/>
        <v>2</v>
      </c>
      <c r="H661" s="143">
        <v>4</v>
      </c>
      <c r="I661" s="86"/>
    </row>
    <row r="662" spans="1:9" ht="16.5" customHeight="1" x14ac:dyDescent="0.3">
      <c r="A662" s="143">
        <f t="shared" si="37"/>
        <v>25262</v>
      </c>
      <c r="B662" s="144" t="s">
        <v>916</v>
      </c>
      <c r="C662" s="144"/>
      <c r="D662" s="144"/>
      <c r="E662" s="143" t="s">
        <v>58</v>
      </c>
      <c r="F662" s="143">
        <v>3</v>
      </c>
      <c r="G662" s="143">
        <f t="shared" si="38"/>
        <v>2</v>
      </c>
      <c r="H662" s="143">
        <v>4</v>
      </c>
      <c r="I662" s="86"/>
    </row>
    <row r="663" spans="1:9" ht="16.5" customHeight="1" x14ac:dyDescent="0.3">
      <c r="A663" s="143">
        <f t="shared" si="37"/>
        <v>25270</v>
      </c>
      <c r="B663" s="144" t="s">
        <v>917</v>
      </c>
      <c r="C663" s="144"/>
      <c r="D663" s="144"/>
      <c r="E663" s="143" t="s">
        <v>58</v>
      </c>
      <c r="F663" s="143">
        <v>3</v>
      </c>
      <c r="G663" s="143">
        <f t="shared" si="38"/>
        <v>2</v>
      </c>
      <c r="H663" s="143">
        <v>4</v>
      </c>
      <c r="I663" s="86"/>
    </row>
    <row r="664" spans="1:9" ht="16.5" customHeight="1" x14ac:dyDescent="0.3">
      <c r="A664" s="143">
        <f t="shared" si="37"/>
        <v>25278</v>
      </c>
      <c r="B664" s="144" t="s">
        <v>918</v>
      </c>
      <c r="C664" s="144"/>
      <c r="D664" s="144"/>
      <c r="E664" s="143" t="s">
        <v>58</v>
      </c>
      <c r="F664" s="143">
        <v>3</v>
      </c>
      <c r="G664" s="143">
        <f t="shared" si="38"/>
        <v>2</v>
      </c>
      <c r="H664" s="143">
        <v>4</v>
      </c>
      <c r="I664" s="86"/>
    </row>
    <row r="665" spans="1:9" ht="16.5" customHeight="1" x14ac:dyDescent="0.3">
      <c r="A665" s="143">
        <f t="shared" si="37"/>
        <v>25286</v>
      </c>
      <c r="B665" s="144" t="s">
        <v>919</v>
      </c>
      <c r="C665" s="144"/>
      <c r="D665" s="144"/>
      <c r="E665" s="143" t="s">
        <v>58</v>
      </c>
      <c r="F665" s="143">
        <v>3</v>
      </c>
      <c r="G665" s="143">
        <f t="shared" si="38"/>
        <v>2</v>
      </c>
      <c r="H665" s="143">
        <v>4</v>
      </c>
      <c r="I665" s="86"/>
    </row>
    <row r="666" spans="1:9" ht="16.5" customHeight="1" x14ac:dyDescent="0.3">
      <c r="A666" s="143">
        <f t="shared" si="37"/>
        <v>25294</v>
      </c>
      <c r="B666" s="144" t="s">
        <v>920</v>
      </c>
      <c r="C666" s="144"/>
      <c r="D666" s="144"/>
      <c r="E666" s="143" t="s">
        <v>58</v>
      </c>
      <c r="F666" s="143">
        <v>3</v>
      </c>
      <c r="G666" s="143">
        <f t="shared" si="38"/>
        <v>2</v>
      </c>
      <c r="H666" s="143">
        <v>4</v>
      </c>
      <c r="I666" s="86"/>
    </row>
    <row r="667" spans="1:9" ht="16.5" customHeight="1" x14ac:dyDescent="0.3">
      <c r="A667" s="143">
        <f t="shared" si="37"/>
        <v>25302</v>
      </c>
      <c r="B667" s="144" t="s">
        <v>921</v>
      </c>
      <c r="C667" s="144"/>
      <c r="D667" s="144"/>
      <c r="E667" s="143" t="s">
        <v>58</v>
      </c>
      <c r="F667" s="143">
        <v>3</v>
      </c>
      <c r="G667" s="143">
        <f t="shared" si="38"/>
        <v>2</v>
      </c>
      <c r="H667" s="143">
        <v>4</v>
      </c>
      <c r="I667" s="86"/>
    </row>
    <row r="668" spans="1:9" ht="16.5" customHeight="1" x14ac:dyDescent="0.3">
      <c r="A668" s="143">
        <f t="shared" si="37"/>
        <v>25310</v>
      </c>
      <c r="B668" s="144" t="s">
        <v>922</v>
      </c>
      <c r="C668" s="144"/>
      <c r="D668" s="144"/>
      <c r="E668" s="143" t="s">
        <v>58</v>
      </c>
      <c r="F668" s="143">
        <v>3</v>
      </c>
      <c r="G668" s="143">
        <f t="shared" si="38"/>
        <v>2</v>
      </c>
      <c r="H668" s="143">
        <v>4</v>
      </c>
      <c r="I668" s="86"/>
    </row>
    <row r="669" spans="1:9" ht="16.5" customHeight="1" x14ac:dyDescent="0.3">
      <c r="A669" s="143">
        <f t="shared" si="37"/>
        <v>25318</v>
      </c>
      <c r="B669" s="144" t="s">
        <v>923</v>
      </c>
      <c r="C669" s="144"/>
      <c r="D669" s="144"/>
      <c r="E669" s="143" t="s">
        <v>58</v>
      </c>
      <c r="F669" s="143">
        <v>3</v>
      </c>
      <c r="G669" s="143">
        <f t="shared" si="38"/>
        <v>2</v>
      </c>
      <c r="H669" s="143">
        <v>4</v>
      </c>
      <c r="I669" s="86"/>
    </row>
    <row r="670" spans="1:9" ht="16.5" customHeight="1" x14ac:dyDescent="0.3">
      <c r="A670" s="143">
        <f t="shared" si="37"/>
        <v>25326</v>
      </c>
      <c r="B670" s="144" t="s">
        <v>924</v>
      </c>
      <c r="C670" s="144"/>
      <c r="D670" s="143"/>
      <c r="E670" s="143" t="s">
        <v>58</v>
      </c>
      <c r="F670" s="143">
        <v>3</v>
      </c>
      <c r="G670" s="143">
        <f t="shared" si="38"/>
        <v>2</v>
      </c>
      <c r="H670" s="143">
        <v>4</v>
      </c>
      <c r="I670" s="86"/>
    </row>
    <row r="671" spans="1:9" ht="16.5" customHeight="1" x14ac:dyDescent="0.3">
      <c r="A671" s="143">
        <f t="shared" si="37"/>
        <v>25334</v>
      </c>
      <c r="B671" s="144" t="s">
        <v>925</v>
      </c>
      <c r="C671" s="144"/>
      <c r="D671" s="143"/>
      <c r="E671" s="143" t="s">
        <v>58</v>
      </c>
      <c r="F671" s="143">
        <v>3</v>
      </c>
      <c r="G671" s="143">
        <f t="shared" si="38"/>
        <v>2</v>
      </c>
      <c r="H671" s="143">
        <v>4</v>
      </c>
      <c r="I671" s="86"/>
    </row>
    <row r="672" spans="1:9" ht="16.5" customHeight="1" x14ac:dyDescent="0.3">
      <c r="A672" s="143">
        <f t="shared" si="37"/>
        <v>25342</v>
      </c>
      <c r="B672" s="144" t="s">
        <v>926</v>
      </c>
      <c r="C672" s="144"/>
      <c r="D672" s="143"/>
      <c r="E672" s="143" t="s">
        <v>58</v>
      </c>
      <c r="F672" s="143">
        <v>3</v>
      </c>
      <c r="G672" s="143">
        <f t="shared" si="38"/>
        <v>2</v>
      </c>
      <c r="H672" s="143">
        <v>4</v>
      </c>
      <c r="I672" s="86"/>
    </row>
    <row r="673" spans="1:9" ht="16.5" customHeight="1" x14ac:dyDescent="0.3">
      <c r="A673" s="143">
        <f t="shared" si="37"/>
        <v>25350</v>
      </c>
      <c r="B673" s="144" t="s">
        <v>927</v>
      </c>
      <c r="C673" s="144"/>
      <c r="D673" s="143"/>
      <c r="E673" s="143" t="s">
        <v>58</v>
      </c>
      <c r="F673" s="143">
        <v>3</v>
      </c>
      <c r="G673" s="143">
        <f t="shared" si="38"/>
        <v>2</v>
      </c>
      <c r="H673" s="143">
        <v>4</v>
      </c>
      <c r="I673" s="86"/>
    </row>
    <row r="674" spans="1:9" ht="16.5" customHeight="1" x14ac:dyDescent="0.3">
      <c r="A674" s="143">
        <f t="shared" si="37"/>
        <v>25358</v>
      </c>
      <c r="B674" s="144" t="s">
        <v>928</v>
      </c>
      <c r="C674" s="144"/>
      <c r="D674" s="143"/>
      <c r="E674" s="143" t="s">
        <v>58</v>
      </c>
      <c r="F674" s="143">
        <v>3</v>
      </c>
      <c r="G674" s="143">
        <f t="shared" si="38"/>
        <v>2</v>
      </c>
      <c r="H674" s="143">
        <v>4</v>
      </c>
      <c r="I674" s="86"/>
    </row>
    <row r="675" spans="1:9" ht="16.5" customHeight="1" x14ac:dyDescent="0.3">
      <c r="A675" s="143">
        <f t="shared" si="37"/>
        <v>25366</v>
      </c>
      <c r="B675" s="144" t="s">
        <v>929</v>
      </c>
      <c r="C675" s="144"/>
      <c r="D675" s="143"/>
      <c r="E675" s="143" t="s">
        <v>58</v>
      </c>
      <c r="F675" s="143">
        <v>3</v>
      </c>
      <c r="G675" s="143">
        <f t="shared" si="38"/>
        <v>2</v>
      </c>
      <c r="H675" s="143">
        <v>4</v>
      </c>
      <c r="I675" s="86"/>
    </row>
    <row r="676" spans="1:9" ht="16.5" customHeight="1" x14ac:dyDescent="0.3">
      <c r="A676" s="143">
        <f t="shared" si="37"/>
        <v>25374</v>
      </c>
      <c r="B676" s="144"/>
      <c r="C676" s="144"/>
      <c r="D676" s="143"/>
      <c r="E676" s="143" t="s">
        <v>123</v>
      </c>
      <c r="F676" s="143">
        <v>3</v>
      </c>
      <c r="G676" s="143">
        <f t="shared" si="38"/>
        <v>1</v>
      </c>
      <c r="H676" s="143">
        <v>6</v>
      </c>
      <c r="I676" s="86"/>
    </row>
    <row r="677" spans="1:9" ht="16.5" customHeight="1" x14ac:dyDescent="0.3">
      <c r="A677" s="143">
        <f t="shared" si="37"/>
        <v>25380</v>
      </c>
      <c r="B677" s="144" t="s">
        <v>90</v>
      </c>
      <c r="C677" s="144"/>
      <c r="D677" s="143"/>
      <c r="E677" s="143" t="s">
        <v>91</v>
      </c>
      <c r="F677" s="143">
        <v>3</v>
      </c>
      <c r="G677" s="143">
        <f>IF(OR(E677="U16", E677="S16"),1,IF(E677="TS",6,2))</f>
        <v>2</v>
      </c>
      <c r="H677" s="143">
        <v>1</v>
      </c>
      <c r="I677" s="86"/>
    </row>
    <row r="678" spans="1:9" ht="16.5" customHeight="1" x14ac:dyDescent="0.3">
      <c r="A678" s="143">
        <f t="shared" si="37"/>
        <v>25382</v>
      </c>
      <c r="B678" s="144" t="s">
        <v>903</v>
      </c>
      <c r="C678" s="144"/>
      <c r="D678" s="143"/>
      <c r="E678" s="143" t="s">
        <v>58</v>
      </c>
      <c r="F678" s="143">
        <v>3</v>
      </c>
      <c r="G678" s="143">
        <f t="shared" si="38"/>
        <v>2</v>
      </c>
      <c r="H678" s="143">
        <v>1</v>
      </c>
      <c r="I678" s="86"/>
    </row>
    <row r="679" spans="1:9" ht="16.5" customHeight="1" x14ac:dyDescent="0.3">
      <c r="A679" s="143">
        <f t="shared" si="37"/>
        <v>25384</v>
      </c>
      <c r="B679" s="144" t="s">
        <v>904</v>
      </c>
      <c r="C679" s="144"/>
      <c r="D679" s="143"/>
      <c r="E679" s="143" t="s">
        <v>58</v>
      </c>
      <c r="F679" s="143">
        <v>3</v>
      </c>
      <c r="G679" s="143">
        <f t="shared" si="38"/>
        <v>2</v>
      </c>
      <c r="H679" s="143">
        <v>1</v>
      </c>
      <c r="I679" s="86"/>
    </row>
    <row r="680" spans="1:9" ht="16.5" customHeight="1" x14ac:dyDescent="0.3">
      <c r="A680" s="143">
        <f t="shared" si="37"/>
        <v>25386</v>
      </c>
      <c r="B680" s="144" t="s">
        <v>905</v>
      </c>
      <c r="C680" s="144"/>
      <c r="D680" s="144"/>
      <c r="E680" s="143" t="s">
        <v>58</v>
      </c>
      <c r="F680" s="143">
        <v>3</v>
      </c>
      <c r="G680" s="143">
        <f t="shared" si="38"/>
        <v>2</v>
      </c>
      <c r="H680" s="143">
        <v>1</v>
      </c>
      <c r="I680" s="86"/>
    </row>
    <row r="681" spans="1:9" ht="16.5" customHeight="1" x14ac:dyDescent="0.3">
      <c r="A681" s="143">
        <f t="shared" si="37"/>
        <v>25388</v>
      </c>
      <c r="B681" s="144" t="s">
        <v>906</v>
      </c>
      <c r="C681" s="144"/>
      <c r="D681" s="144"/>
      <c r="E681" s="143" t="s">
        <v>58</v>
      </c>
      <c r="F681" s="143">
        <v>3</v>
      </c>
      <c r="G681" s="143">
        <f t="shared" si="38"/>
        <v>2</v>
      </c>
      <c r="H681" s="143">
        <v>1</v>
      </c>
      <c r="I681" s="86"/>
    </row>
    <row r="682" spans="1:9" ht="16.5" customHeight="1" x14ac:dyDescent="0.3">
      <c r="A682" s="143">
        <f t="shared" si="37"/>
        <v>25390</v>
      </c>
      <c r="B682" s="144" t="s">
        <v>930</v>
      </c>
      <c r="C682" s="144"/>
      <c r="D682" s="144"/>
      <c r="E682" s="143" t="s">
        <v>58</v>
      </c>
      <c r="F682" s="143">
        <v>3</v>
      </c>
      <c r="G682" s="143">
        <f t="shared" si="38"/>
        <v>2</v>
      </c>
      <c r="H682" s="143">
        <v>4</v>
      </c>
      <c r="I682" s="86"/>
    </row>
    <row r="683" spans="1:9" ht="16.5" customHeight="1" x14ac:dyDescent="0.3">
      <c r="A683" s="143">
        <f t="shared" si="37"/>
        <v>25398</v>
      </c>
      <c r="B683" s="144" t="s">
        <v>931</v>
      </c>
      <c r="C683" s="144"/>
      <c r="D683" s="144"/>
      <c r="E683" s="143" t="s">
        <v>58</v>
      </c>
      <c r="F683" s="143">
        <v>3</v>
      </c>
      <c r="G683" s="143">
        <f t="shared" si="38"/>
        <v>2</v>
      </c>
      <c r="H683" s="143">
        <v>4</v>
      </c>
      <c r="I683" s="86"/>
    </row>
    <row r="684" spans="1:9" ht="16.5" customHeight="1" x14ac:dyDescent="0.3">
      <c r="A684" s="143">
        <f t="shared" si="37"/>
        <v>25406</v>
      </c>
      <c r="B684" s="144" t="s">
        <v>932</v>
      </c>
      <c r="C684" s="144"/>
      <c r="D684" s="144"/>
      <c r="E684" s="143" t="s">
        <v>58</v>
      </c>
      <c r="F684" s="143">
        <v>3</v>
      </c>
      <c r="G684" s="143">
        <f t="shared" si="38"/>
        <v>2</v>
      </c>
      <c r="H684" s="143">
        <v>4</v>
      </c>
      <c r="I684" s="86"/>
    </row>
    <row r="685" spans="1:9" ht="16.5" customHeight="1" x14ac:dyDescent="0.3">
      <c r="A685" s="143">
        <f t="shared" si="37"/>
        <v>25414</v>
      </c>
      <c r="B685" s="144" t="s">
        <v>933</v>
      </c>
      <c r="C685" s="144"/>
      <c r="D685" s="144"/>
      <c r="E685" s="143" t="s">
        <v>58</v>
      </c>
      <c r="F685" s="143">
        <v>3</v>
      </c>
      <c r="G685" s="143">
        <f t="shared" si="38"/>
        <v>2</v>
      </c>
      <c r="H685" s="143">
        <v>4</v>
      </c>
      <c r="I685" s="86"/>
    </row>
    <row r="686" spans="1:9" ht="16.5" customHeight="1" x14ac:dyDescent="0.3">
      <c r="A686" s="143">
        <f t="shared" si="37"/>
        <v>25422</v>
      </c>
      <c r="B686" s="144" t="s">
        <v>934</v>
      </c>
      <c r="C686" s="144"/>
      <c r="D686" s="144"/>
      <c r="E686" s="143" t="s">
        <v>58</v>
      </c>
      <c r="F686" s="143">
        <v>3</v>
      </c>
      <c r="G686" s="143">
        <f t="shared" si="38"/>
        <v>2</v>
      </c>
      <c r="H686" s="143">
        <v>4</v>
      </c>
      <c r="I686" s="86"/>
    </row>
    <row r="687" spans="1:9" ht="16.5" customHeight="1" x14ac:dyDescent="0.3">
      <c r="A687" s="143">
        <f t="shared" si="37"/>
        <v>25430</v>
      </c>
      <c r="B687" s="144" t="s">
        <v>935</v>
      </c>
      <c r="C687" s="144"/>
      <c r="D687" s="144"/>
      <c r="E687" s="143" t="s">
        <v>58</v>
      </c>
      <c r="F687" s="143">
        <v>3</v>
      </c>
      <c r="G687" s="143">
        <f t="shared" si="38"/>
        <v>2</v>
      </c>
      <c r="H687" s="143">
        <v>4</v>
      </c>
      <c r="I687" s="86"/>
    </row>
    <row r="688" spans="1:9" ht="16.5" customHeight="1" x14ac:dyDescent="0.3">
      <c r="A688" s="143">
        <f t="shared" si="37"/>
        <v>25438</v>
      </c>
      <c r="B688" s="144" t="s">
        <v>936</v>
      </c>
      <c r="C688" s="144"/>
      <c r="D688" s="144"/>
      <c r="E688" s="143" t="s">
        <v>58</v>
      </c>
      <c r="F688" s="143">
        <v>3</v>
      </c>
      <c r="G688" s="143">
        <f t="shared" si="38"/>
        <v>2</v>
      </c>
      <c r="H688" s="143">
        <v>4</v>
      </c>
      <c r="I688" s="86"/>
    </row>
    <row r="689" spans="1:10" ht="16.5" customHeight="1" x14ac:dyDescent="0.3">
      <c r="A689" s="143">
        <f t="shared" si="37"/>
        <v>25446</v>
      </c>
      <c r="B689" s="144" t="s">
        <v>937</v>
      </c>
      <c r="C689" s="144"/>
      <c r="D689" s="144"/>
      <c r="E689" s="143" t="s">
        <v>58</v>
      </c>
      <c r="F689" s="143">
        <v>3</v>
      </c>
      <c r="G689" s="143">
        <f t="shared" si="38"/>
        <v>2</v>
      </c>
      <c r="H689" s="143">
        <v>4</v>
      </c>
      <c r="I689" s="86"/>
    </row>
    <row r="690" spans="1:10" ht="16.5" customHeight="1" x14ac:dyDescent="0.3">
      <c r="A690" s="143">
        <f t="shared" si="37"/>
        <v>25454</v>
      </c>
      <c r="B690" s="144" t="s">
        <v>938</v>
      </c>
      <c r="C690" s="144"/>
      <c r="D690" s="144"/>
      <c r="E690" s="143" t="s">
        <v>58</v>
      </c>
      <c r="F690" s="143">
        <v>3</v>
      </c>
      <c r="G690" s="143">
        <f t="shared" si="38"/>
        <v>2</v>
      </c>
      <c r="H690" s="143">
        <v>4</v>
      </c>
      <c r="I690" s="86"/>
    </row>
    <row r="691" spans="1:10" ht="16.5" customHeight="1" x14ac:dyDescent="0.3">
      <c r="A691" s="143">
        <f t="shared" si="37"/>
        <v>25462</v>
      </c>
      <c r="B691" s="144" t="s">
        <v>939</v>
      </c>
      <c r="C691" s="144"/>
      <c r="D691" s="144"/>
      <c r="E691" s="143" t="s">
        <v>58</v>
      </c>
      <c r="F691" s="143">
        <v>3</v>
      </c>
      <c r="G691" s="143">
        <f t="shared" si="38"/>
        <v>2</v>
      </c>
      <c r="H691" s="143">
        <v>4</v>
      </c>
      <c r="I691" s="86"/>
    </row>
    <row r="692" spans="1:10" ht="16.5" customHeight="1" x14ac:dyDescent="0.3">
      <c r="A692" s="143">
        <f t="shared" si="37"/>
        <v>25470</v>
      </c>
      <c r="B692" s="144" t="s">
        <v>940</v>
      </c>
      <c r="C692" s="144"/>
      <c r="D692" s="144"/>
      <c r="E692" s="143" t="s">
        <v>58</v>
      </c>
      <c r="F692" s="143">
        <v>3</v>
      </c>
      <c r="G692" s="143">
        <f t="shared" si="38"/>
        <v>2</v>
      </c>
      <c r="H692" s="143">
        <v>4</v>
      </c>
      <c r="I692" s="86"/>
    </row>
    <row r="693" spans="1:10" ht="16.5" customHeight="1" x14ac:dyDescent="0.3">
      <c r="A693" s="143">
        <f t="shared" si="37"/>
        <v>25478</v>
      </c>
      <c r="B693" s="144" t="s">
        <v>941</v>
      </c>
      <c r="C693" s="144"/>
      <c r="D693" s="144"/>
      <c r="E693" s="143" t="s">
        <v>58</v>
      </c>
      <c r="F693" s="143">
        <v>3</v>
      </c>
      <c r="G693" s="143">
        <f t="shared" si="38"/>
        <v>2</v>
      </c>
      <c r="H693" s="143">
        <v>4</v>
      </c>
      <c r="I693" s="86"/>
    </row>
    <row r="694" spans="1:10" ht="16.5" customHeight="1" x14ac:dyDescent="0.3">
      <c r="A694" s="143">
        <f t="shared" si="37"/>
        <v>25486</v>
      </c>
      <c r="B694" s="144" t="s">
        <v>942</v>
      </c>
      <c r="C694" s="144"/>
      <c r="D694" s="144"/>
      <c r="E694" s="143" t="s">
        <v>58</v>
      </c>
      <c r="F694" s="143">
        <v>3</v>
      </c>
      <c r="G694" s="143">
        <f t="shared" si="38"/>
        <v>2</v>
      </c>
      <c r="H694" s="143">
        <v>4</v>
      </c>
      <c r="I694" s="86"/>
    </row>
    <row r="695" spans="1:10" customFormat="1" ht="16.5" x14ac:dyDescent="0.3">
      <c r="A695" s="143">
        <f t="shared" si="37"/>
        <v>25494</v>
      </c>
      <c r="B695" s="144" t="s">
        <v>943</v>
      </c>
      <c r="C695" s="144"/>
      <c r="D695" s="144"/>
      <c r="E695" s="143" t="s">
        <v>58</v>
      </c>
      <c r="F695" s="143">
        <v>3</v>
      </c>
      <c r="G695" s="143">
        <f t="shared" si="38"/>
        <v>2</v>
      </c>
      <c r="H695" s="143">
        <v>4</v>
      </c>
      <c r="I695" s="86"/>
      <c r="J695" s="27" t="s">
        <v>557</v>
      </c>
    </row>
    <row r="696" spans="1:10" ht="15.95" customHeight="1" x14ac:dyDescent="0.3">
      <c r="A696" s="143">
        <f t="shared" si="37"/>
        <v>25502</v>
      </c>
      <c r="B696" s="144" t="s">
        <v>944</v>
      </c>
      <c r="C696" s="144"/>
      <c r="D696" s="144"/>
      <c r="E696" s="143" t="s">
        <v>58</v>
      </c>
      <c r="F696" s="143">
        <v>3</v>
      </c>
      <c r="G696" s="143">
        <f t="shared" si="38"/>
        <v>2</v>
      </c>
      <c r="H696" s="143">
        <v>4</v>
      </c>
      <c r="I696" s="86"/>
    </row>
    <row r="697" spans="1:10" ht="15.95" customHeight="1" x14ac:dyDescent="0.3">
      <c r="A697" s="143">
        <f t="shared" si="37"/>
        <v>25510</v>
      </c>
      <c r="B697" s="144" t="s">
        <v>945</v>
      </c>
      <c r="C697" s="144"/>
      <c r="D697" s="144"/>
      <c r="E697" s="143" t="s">
        <v>58</v>
      </c>
      <c r="F697" s="143">
        <v>3</v>
      </c>
      <c r="G697" s="143">
        <f t="shared" si="38"/>
        <v>2</v>
      </c>
      <c r="H697" s="143">
        <v>4</v>
      </c>
      <c r="I697" s="86"/>
    </row>
    <row r="698" spans="1:10" ht="15.95" customHeight="1" x14ac:dyDescent="0.3">
      <c r="A698" s="143">
        <f t="shared" si="37"/>
        <v>25518</v>
      </c>
      <c r="B698" s="144" t="s">
        <v>946</v>
      </c>
      <c r="C698" s="144"/>
      <c r="D698" s="144"/>
      <c r="E698" s="143" t="s">
        <v>58</v>
      </c>
      <c r="F698" s="143">
        <v>3</v>
      </c>
      <c r="G698" s="143">
        <f t="shared" si="38"/>
        <v>2</v>
      </c>
      <c r="H698" s="143">
        <v>4</v>
      </c>
      <c r="I698" s="86"/>
    </row>
    <row r="699" spans="1:10" customFormat="1" ht="16.5" x14ac:dyDescent="0.3">
      <c r="A699" s="143">
        <f t="shared" si="37"/>
        <v>25526</v>
      </c>
      <c r="B699" s="144" t="s">
        <v>947</v>
      </c>
      <c r="C699" s="144"/>
      <c r="D699" s="143"/>
      <c r="E699" s="143" t="s">
        <v>58</v>
      </c>
      <c r="F699" s="143">
        <v>3</v>
      </c>
      <c r="G699" s="143">
        <f t="shared" si="38"/>
        <v>2</v>
      </c>
      <c r="H699" s="143">
        <v>4</v>
      </c>
      <c r="I699" s="86"/>
      <c r="J699" s="27"/>
    </row>
    <row r="700" spans="1:10" customFormat="1" ht="16.5" customHeight="1" x14ac:dyDescent="0.3">
      <c r="A700" s="143">
        <f t="shared" si="37"/>
        <v>25534</v>
      </c>
      <c r="B700" s="144" t="s">
        <v>948</v>
      </c>
      <c r="C700" s="144"/>
      <c r="D700" s="143"/>
      <c r="E700" s="143" t="s">
        <v>58</v>
      </c>
      <c r="F700" s="143">
        <v>3</v>
      </c>
      <c r="G700" s="143">
        <f t="shared" si="38"/>
        <v>2</v>
      </c>
      <c r="H700" s="143">
        <v>4</v>
      </c>
      <c r="I700" s="86"/>
      <c r="J700" s="27"/>
    </row>
    <row r="701" spans="1:10" customFormat="1" ht="16.5" x14ac:dyDescent="0.3">
      <c r="A701" s="143">
        <f t="shared" si="37"/>
        <v>25542</v>
      </c>
      <c r="B701" s="144" t="s">
        <v>949</v>
      </c>
      <c r="C701" s="144"/>
      <c r="D701" s="143"/>
      <c r="E701" s="143" t="s">
        <v>58</v>
      </c>
      <c r="F701" s="143">
        <v>3</v>
      </c>
      <c r="G701" s="143">
        <f t="shared" si="38"/>
        <v>2</v>
      </c>
      <c r="H701" s="143">
        <v>4</v>
      </c>
      <c r="I701" s="86"/>
      <c r="J701" s="27"/>
    </row>
    <row r="702" spans="1:10" customFormat="1" ht="16.5" x14ac:dyDescent="0.3">
      <c r="A702" s="143">
        <f t="shared" si="37"/>
        <v>25550</v>
      </c>
      <c r="B702" s="144" t="s">
        <v>950</v>
      </c>
      <c r="C702" s="144"/>
      <c r="D702" s="143"/>
      <c r="E702" s="143" t="s">
        <v>58</v>
      </c>
      <c r="F702" s="143">
        <v>3</v>
      </c>
      <c r="G702" s="143">
        <f t="shared" si="38"/>
        <v>2</v>
      </c>
      <c r="H702" s="143">
        <v>4</v>
      </c>
      <c r="I702" s="86"/>
      <c r="J702" s="27"/>
    </row>
    <row r="703" spans="1:10" customFormat="1" ht="16.5" x14ac:dyDescent="0.3">
      <c r="A703" s="143">
        <f t="shared" si="37"/>
        <v>25558</v>
      </c>
      <c r="B703" s="144" t="s">
        <v>951</v>
      </c>
      <c r="C703" s="144"/>
      <c r="D703" s="143"/>
      <c r="E703" s="143" t="s">
        <v>58</v>
      </c>
      <c r="F703" s="143">
        <v>3</v>
      </c>
      <c r="G703" s="143">
        <f t="shared" si="38"/>
        <v>2</v>
      </c>
      <c r="H703" s="143">
        <v>4</v>
      </c>
      <c r="I703" s="86"/>
      <c r="J703" s="27"/>
    </row>
    <row r="704" spans="1:10" customFormat="1" ht="16.5" x14ac:dyDescent="0.3">
      <c r="A704" s="143">
        <f t="shared" si="37"/>
        <v>25566</v>
      </c>
      <c r="B704" s="144" t="s">
        <v>952</v>
      </c>
      <c r="C704" s="144"/>
      <c r="D704" s="143"/>
      <c r="E704" s="143" t="s">
        <v>58</v>
      </c>
      <c r="F704" s="143">
        <v>3</v>
      </c>
      <c r="G704" s="143">
        <f t="shared" si="38"/>
        <v>2</v>
      </c>
      <c r="H704" s="143">
        <v>4</v>
      </c>
      <c r="I704" s="86"/>
      <c r="J704" s="27"/>
    </row>
    <row r="705" spans="1:10" customFormat="1" ht="16.5" x14ac:dyDescent="0.3">
      <c r="A705" s="143">
        <f t="shared" si="37"/>
        <v>25574</v>
      </c>
      <c r="B705" s="144"/>
      <c r="C705" s="144"/>
      <c r="D705" s="143"/>
      <c r="E705" s="143" t="s">
        <v>123</v>
      </c>
      <c r="F705" s="143">
        <v>3</v>
      </c>
      <c r="G705" s="143">
        <f t="shared" si="38"/>
        <v>1</v>
      </c>
      <c r="H705" s="143">
        <v>6</v>
      </c>
      <c r="I705" s="86"/>
      <c r="J705" s="27"/>
    </row>
    <row r="706" spans="1:10" customFormat="1" ht="16.5" x14ac:dyDescent="0.3">
      <c r="A706" s="175" t="s">
        <v>553</v>
      </c>
      <c r="B706" s="176"/>
      <c r="C706" s="176"/>
      <c r="D706" s="176"/>
      <c r="E706" s="176"/>
      <c r="F706" s="176"/>
      <c r="G706" s="176"/>
      <c r="H706" s="177"/>
      <c r="I706" s="88"/>
      <c r="J706" s="27"/>
    </row>
    <row r="707" spans="1:10" customFormat="1" ht="16.5" x14ac:dyDescent="0.3">
      <c r="A707" s="131">
        <f>A705+(G705*H705)</f>
        <v>25580</v>
      </c>
      <c r="B707" s="138" t="s">
        <v>90</v>
      </c>
      <c r="C707" s="138"/>
      <c r="D707" s="131"/>
      <c r="E707" s="15" t="s">
        <v>145</v>
      </c>
      <c r="F707" s="15">
        <v>3</v>
      </c>
      <c r="G707" s="15">
        <f t="shared" si="38"/>
        <v>2</v>
      </c>
      <c r="H707" s="131">
        <v>1</v>
      </c>
      <c r="I707" s="85"/>
      <c r="J707" s="27"/>
    </row>
    <row r="708" spans="1:10" customFormat="1" ht="16.5" x14ac:dyDescent="0.3">
      <c r="A708" s="131">
        <f>A707+(G707*H707)</f>
        <v>25582</v>
      </c>
      <c r="B708" s="138" t="s">
        <v>264</v>
      </c>
      <c r="C708" s="138"/>
      <c r="D708" s="131"/>
      <c r="E708" s="15" t="s">
        <v>58</v>
      </c>
      <c r="F708" s="15">
        <v>3</v>
      </c>
      <c r="G708" s="15">
        <f>IF(OR(E708="U16", E708="S16"),1,IF(E708="TS",6,2))</f>
        <v>2</v>
      </c>
      <c r="H708" s="131">
        <v>96</v>
      </c>
      <c r="I708" s="85"/>
      <c r="J708" s="27"/>
    </row>
    <row r="709" spans="1:10" customFormat="1" ht="16.5" x14ac:dyDescent="0.3">
      <c r="A709" s="131">
        <f>A708+(G708*H708)</f>
        <v>25774</v>
      </c>
      <c r="B709" s="138" t="s">
        <v>41</v>
      </c>
      <c r="C709" s="138"/>
      <c r="D709" s="131"/>
      <c r="E709" s="15" t="s">
        <v>123</v>
      </c>
      <c r="F709" s="15">
        <v>3</v>
      </c>
      <c r="G709" s="15">
        <f t="shared" si="38"/>
        <v>1</v>
      </c>
      <c r="H709" s="131">
        <v>6</v>
      </c>
      <c r="I709" s="85"/>
      <c r="J709" s="27"/>
    </row>
    <row r="710" spans="1:10" ht="13.5" customHeight="1" x14ac:dyDescent="0.3">
      <c r="A710" s="162" t="s">
        <v>1046</v>
      </c>
      <c r="B710" s="162"/>
      <c r="C710" s="162"/>
      <c r="D710" s="162"/>
      <c r="E710" s="162"/>
      <c r="F710" s="162"/>
      <c r="G710" s="162"/>
      <c r="H710" s="162"/>
      <c r="I710" s="88"/>
    </row>
    <row r="711" spans="1:10" ht="13.5" customHeight="1" x14ac:dyDescent="0.3">
      <c r="A711" s="131">
        <f>A709+(G709*H709)</f>
        <v>25780</v>
      </c>
      <c r="B711" s="14" t="s">
        <v>399</v>
      </c>
      <c r="C711" s="138"/>
      <c r="D711" s="131"/>
      <c r="E711" s="15" t="s">
        <v>123</v>
      </c>
      <c r="F711" s="15">
        <v>3</v>
      </c>
      <c r="G711" s="15">
        <f t="shared" ref="G711:G723" si="39">IF(OR(E711="U16", E711="S16"),1,IF(E711="TS",6,2))</f>
        <v>1</v>
      </c>
      <c r="H711" s="131">
        <v>1</v>
      </c>
      <c r="I711" s="85"/>
    </row>
    <row r="712" spans="1:10" ht="13.5" customHeight="1" x14ac:dyDescent="0.3">
      <c r="A712" s="131">
        <f t="shared" ref="A712:A755" si="40">A711+(G711*H711)</f>
        <v>25781</v>
      </c>
      <c r="B712" s="14" t="s">
        <v>400</v>
      </c>
      <c r="C712" s="138"/>
      <c r="D712" s="131"/>
      <c r="E712" s="15" t="s">
        <v>123</v>
      </c>
      <c r="F712" s="15">
        <v>3</v>
      </c>
      <c r="G712" s="15">
        <f t="shared" si="39"/>
        <v>1</v>
      </c>
      <c r="H712" s="131">
        <v>1</v>
      </c>
      <c r="I712" s="85"/>
    </row>
    <row r="713" spans="1:10" ht="13.5" customHeight="1" x14ac:dyDescent="0.3">
      <c r="A713" s="131">
        <f t="shared" si="40"/>
        <v>25782</v>
      </c>
      <c r="B713" s="21" t="s">
        <v>1047</v>
      </c>
      <c r="C713" s="138"/>
      <c r="D713" s="131"/>
      <c r="E713" s="15" t="s">
        <v>123</v>
      </c>
      <c r="F713" s="15">
        <v>3</v>
      </c>
      <c r="G713" s="15">
        <f t="shared" si="39"/>
        <v>1</v>
      </c>
      <c r="H713" s="131">
        <v>1</v>
      </c>
      <c r="I713" s="85"/>
    </row>
    <row r="714" spans="1:10" ht="13.5" customHeight="1" x14ac:dyDescent="0.3">
      <c r="A714" s="131">
        <f t="shared" si="40"/>
        <v>25783</v>
      </c>
      <c r="B714" s="14" t="s">
        <v>1090</v>
      </c>
      <c r="C714" s="138"/>
      <c r="D714" s="131"/>
      <c r="E714" s="15" t="s">
        <v>123</v>
      </c>
      <c r="F714" s="15">
        <v>3</v>
      </c>
      <c r="G714" s="15">
        <f t="shared" si="39"/>
        <v>1</v>
      </c>
      <c r="H714" s="131">
        <v>1</v>
      </c>
      <c r="I714" s="85"/>
    </row>
    <row r="715" spans="1:10" ht="13.5" customHeight="1" x14ac:dyDescent="0.3">
      <c r="A715" s="131">
        <f t="shared" si="40"/>
        <v>25784</v>
      </c>
      <c r="B715" s="170" t="s">
        <v>1048</v>
      </c>
      <c r="C715" s="142" t="s">
        <v>1049</v>
      </c>
      <c r="D715" s="131"/>
      <c r="E715" s="131" t="s">
        <v>91</v>
      </c>
      <c r="F715" s="131">
        <v>3</v>
      </c>
      <c r="G715" s="131">
        <f t="shared" si="39"/>
        <v>2</v>
      </c>
      <c r="H715" s="131">
        <v>1</v>
      </c>
      <c r="I715" s="85"/>
    </row>
    <row r="716" spans="1:10" ht="13.5" customHeight="1" x14ac:dyDescent="0.3">
      <c r="A716" s="131">
        <f t="shared" si="40"/>
        <v>25786</v>
      </c>
      <c r="B716" s="170"/>
      <c r="C716" s="142" t="s">
        <v>441</v>
      </c>
      <c r="D716" s="131"/>
      <c r="E716" s="131" t="s">
        <v>123</v>
      </c>
      <c r="F716" s="131">
        <v>3</v>
      </c>
      <c r="G716" s="131">
        <f t="shared" si="39"/>
        <v>1</v>
      </c>
      <c r="H716" s="131">
        <v>1</v>
      </c>
      <c r="I716" s="85"/>
    </row>
    <row r="717" spans="1:10" ht="13.5" customHeight="1" x14ac:dyDescent="0.3">
      <c r="A717" s="131">
        <f t="shared" si="40"/>
        <v>25787</v>
      </c>
      <c r="B717" s="170"/>
      <c r="C717" s="142" t="s">
        <v>442</v>
      </c>
      <c r="D717" s="131"/>
      <c r="E717" s="131" t="s">
        <v>123</v>
      </c>
      <c r="F717" s="131">
        <v>3</v>
      </c>
      <c r="G717" s="131">
        <f t="shared" si="39"/>
        <v>1</v>
      </c>
      <c r="H717" s="131">
        <v>1</v>
      </c>
      <c r="I717" s="85"/>
    </row>
    <row r="718" spans="1:10" ht="13.5" customHeight="1" x14ac:dyDescent="0.3">
      <c r="A718" s="131">
        <f t="shared" si="40"/>
        <v>25788</v>
      </c>
      <c r="B718" s="170"/>
      <c r="C718" s="142" t="s">
        <v>1050</v>
      </c>
      <c r="D718" s="138" t="s">
        <v>1051</v>
      </c>
      <c r="E718" s="131" t="s">
        <v>123</v>
      </c>
      <c r="F718" s="131">
        <v>3</v>
      </c>
      <c r="G718" s="131">
        <f t="shared" si="39"/>
        <v>1</v>
      </c>
      <c r="H718" s="131">
        <v>1</v>
      </c>
      <c r="I718" s="85"/>
    </row>
    <row r="719" spans="1:10" ht="13.5" customHeight="1" x14ac:dyDescent="0.3">
      <c r="A719" s="131">
        <f t="shared" si="40"/>
        <v>25789</v>
      </c>
      <c r="B719" s="170"/>
      <c r="C719" s="142" t="s">
        <v>439</v>
      </c>
      <c r="D719" s="131"/>
      <c r="E719" s="131" t="s">
        <v>123</v>
      </c>
      <c r="F719" s="131">
        <v>3</v>
      </c>
      <c r="G719" s="131">
        <f t="shared" si="39"/>
        <v>1</v>
      </c>
      <c r="H719" s="131">
        <v>1</v>
      </c>
      <c r="I719" s="85"/>
    </row>
    <row r="720" spans="1:10" ht="13.5" customHeight="1" x14ac:dyDescent="0.3">
      <c r="A720" s="131">
        <f t="shared" si="40"/>
        <v>25790</v>
      </c>
      <c r="B720" s="170"/>
      <c r="C720" s="142" t="s">
        <v>440</v>
      </c>
      <c r="D720" s="131"/>
      <c r="E720" s="131" t="s">
        <v>436</v>
      </c>
      <c r="F720" s="131">
        <v>3</v>
      </c>
      <c r="G720" s="131">
        <f t="shared" si="39"/>
        <v>2</v>
      </c>
      <c r="H720" s="131">
        <v>1</v>
      </c>
      <c r="I720" s="85"/>
    </row>
    <row r="721" spans="1:9" ht="13.5" customHeight="1" x14ac:dyDescent="0.3">
      <c r="A721" s="131">
        <f t="shared" si="40"/>
        <v>25792</v>
      </c>
      <c r="B721" s="170"/>
      <c r="C721" s="142" t="s">
        <v>271</v>
      </c>
      <c r="D721" s="131"/>
      <c r="E721" s="131" t="s">
        <v>436</v>
      </c>
      <c r="F721" s="131">
        <v>3</v>
      </c>
      <c r="G721" s="131">
        <f t="shared" si="39"/>
        <v>2</v>
      </c>
      <c r="H721" s="131">
        <v>1</v>
      </c>
      <c r="I721" s="85"/>
    </row>
    <row r="722" spans="1:9" ht="13.5" customHeight="1" x14ac:dyDescent="0.3">
      <c r="A722" s="131">
        <f t="shared" si="40"/>
        <v>25794</v>
      </c>
      <c r="B722" s="170"/>
      <c r="C722" s="142" t="s">
        <v>272</v>
      </c>
      <c r="D722" s="131"/>
      <c r="E722" s="131" t="s">
        <v>436</v>
      </c>
      <c r="F722" s="131">
        <v>3</v>
      </c>
      <c r="G722" s="131">
        <f t="shared" si="39"/>
        <v>2</v>
      </c>
      <c r="H722" s="131">
        <v>1</v>
      </c>
      <c r="I722" s="85"/>
    </row>
    <row r="723" spans="1:9" ht="13.5" customHeight="1" x14ac:dyDescent="0.3">
      <c r="A723" s="131">
        <f t="shared" si="40"/>
        <v>25796</v>
      </c>
      <c r="B723" s="170"/>
      <c r="C723" s="142" t="s">
        <v>1052</v>
      </c>
      <c r="D723" s="131"/>
      <c r="E723" s="131" t="s">
        <v>436</v>
      </c>
      <c r="F723" s="131">
        <v>3</v>
      </c>
      <c r="G723" s="131">
        <f t="shared" si="39"/>
        <v>2</v>
      </c>
      <c r="H723" s="131">
        <v>1</v>
      </c>
      <c r="I723" s="85"/>
    </row>
    <row r="724" spans="1:9" ht="13.5" customHeight="1" x14ac:dyDescent="0.3">
      <c r="A724" s="131">
        <f t="shared" si="40"/>
        <v>25798</v>
      </c>
      <c r="B724" s="138" t="s">
        <v>1053</v>
      </c>
      <c r="C724" s="138"/>
      <c r="D724" s="131"/>
      <c r="E724" s="131" t="s">
        <v>123</v>
      </c>
      <c r="F724" s="15">
        <v>3</v>
      </c>
      <c r="G724" s="131">
        <v>1</v>
      </c>
      <c r="H724" s="131">
        <v>14</v>
      </c>
      <c r="I724" s="85"/>
    </row>
    <row r="725" spans="1:9" ht="13.5" customHeight="1" x14ac:dyDescent="0.3">
      <c r="A725" s="131">
        <f t="shared" si="40"/>
        <v>25812</v>
      </c>
      <c r="B725" s="138" t="s">
        <v>1054</v>
      </c>
      <c r="C725" s="138"/>
      <c r="D725" s="131"/>
      <c r="E725" s="131" t="s">
        <v>123</v>
      </c>
      <c r="F725" s="15">
        <v>3</v>
      </c>
      <c r="G725" s="131">
        <v>1</v>
      </c>
      <c r="H725" s="131">
        <v>14</v>
      </c>
      <c r="I725" s="85"/>
    </row>
    <row r="726" spans="1:9" ht="13.5" customHeight="1" x14ac:dyDescent="0.3">
      <c r="A726" s="131">
        <f t="shared" si="40"/>
        <v>25826</v>
      </c>
      <c r="B726" s="138" t="s">
        <v>1055</v>
      </c>
      <c r="C726" s="138"/>
      <c r="D726" s="131"/>
      <c r="E726" s="131" t="s">
        <v>123</v>
      </c>
      <c r="F726" s="15">
        <v>3</v>
      </c>
      <c r="G726" s="131">
        <v>1</v>
      </c>
      <c r="H726" s="131">
        <v>14</v>
      </c>
      <c r="I726" s="85"/>
    </row>
    <row r="727" spans="1:9" ht="13.5" customHeight="1" x14ac:dyDescent="0.3">
      <c r="A727" s="131">
        <f t="shared" si="40"/>
        <v>25840</v>
      </c>
      <c r="B727" s="138" t="s">
        <v>1056</v>
      </c>
      <c r="C727" s="138"/>
      <c r="D727" s="131"/>
      <c r="E727" s="131" t="s">
        <v>123</v>
      </c>
      <c r="F727" s="15">
        <v>3</v>
      </c>
      <c r="G727" s="131">
        <v>1</v>
      </c>
      <c r="H727" s="131">
        <v>14</v>
      </c>
      <c r="I727" s="85"/>
    </row>
    <row r="728" spans="1:9" ht="13.5" customHeight="1" x14ac:dyDescent="0.3">
      <c r="A728" s="131">
        <f t="shared" si="40"/>
        <v>25854</v>
      </c>
      <c r="B728" s="138" t="s">
        <v>1057</v>
      </c>
      <c r="C728" s="138"/>
      <c r="D728" s="131"/>
      <c r="E728" s="131" t="s">
        <v>123</v>
      </c>
      <c r="F728" s="15">
        <v>3</v>
      </c>
      <c r="G728" s="131">
        <v>1</v>
      </c>
      <c r="H728" s="131">
        <v>14</v>
      </c>
      <c r="I728" s="85"/>
    </row>
    <row r="729" spans="1:9" ht="13.5" customHeight="1" x14ac:dyDescent="0.3">
      <c r="A729" s="131">
        <f t="shared" si="40"/>
        <v>25868</v>
      </c>
      <c r="B729" s="138" t="s">
        <v>1058</v>
      </c>
      <c r="C729" s="138"/>
      <c r="D729" s="131"/>
      <c r="E729" s="131" t="s">
        <v>123</v>
      </c>
      <c r="F729" s="15">
        <v>3</v>
      </c>
      <c r="G729" s="131">
        <v>1</v>
      </c>
      <c r="H729" s="131">
        <v>14</v>
      </c>
      <c r="I729" s="85"/>
    </row>
    <row r="730" spans="1:9" ht="13.5" customHeight="1" x14ac:dyDescent="0.3">
      <c r="A730" s="131">
        <f t="shared" si="40"/>
        <v>25882</v>
      </c>
      <c r="B730" s="138" t="s">
        <v>1059</v>
      </c>
      <c r="C730" s="138"/>
      <c r="D730" s="131"/>
      <c r="E730" s="131" t="s">
        <v>123</v>
      </c>
      <c r="F730" s="15">
        <v>3</v>
      </c>
      <c r="G730" s="131">
        <v>1</v>
      </c>
      <c r="H730" s="131">
        <v>14</v>
      </c>
      <c r="I730" s="85"/>
    </row>
    <row r="731" spans="1:9" ht="13.5" customHeight="1" x14ac:dyDescent="0.3">
      <c r="A731" s="131">
        <f t="shared" si="40"/>
        <v>25896</v>
      </c>
      <c r="B731" s="138" t="s">
        <v>1060</v>
      </c>
      <c r="C731" s="138"/>
      <c r="D731" s="131"/>
      <c r="E731" s="131" t="s">
        <v>123</v>
      </c>
      <c r="F731" s="15">
        <v>3</v>
      </c>
      <c r="G731" s="131">
        <v>1</v>
      </c>
      <c r="H731" s="131">
        <v>14</v>
      </c>
      <c r="I731" s="85"/>
    </row>
    <row r="732" spans="1:9" ht="13.5" customHeight="1" x14ac:dyDescent="0.3">
      <c r="A732" s="131">
        <f t="shared" si="40"/>
        <v>25910</v>
      </c>
      <c r="B732" s="138" t="s">
        <v>1061</v>
      </c>
      <c r="C732" s="138"/>
      <c r="D732" s="131"/>
      <c r="E732" s="131" t="s">
        <v>123</v>
      </c>
      <c r="F732" s="15">
        <v>3</v>
      </c>
      <c r="G732" s="131">
        <v>1</v>
      </c>
      <c r="H732" s="131">
        <v>14</v>
      </c>
      <c r="I732" s="85"/>
    </row>
    <row r="733" spans="1:9" ht="13.5" customHeight="1" x14ac:dyDescent="0.3">
      <c r="A733" s="131">
        <f t="shared" si="40"/>
        <v>25924</v>
      </c>
      <c r="B733" s="138" t="s">
        <v>1062</v>
      </c>
      <c r="C733" s="138"/>
      <c r="D733" s="131"/>
      <c r="E733" s="131" t="s">
        <v>123</v>
      </c>
      <c r="F733" s="15">
        <v>3</v>
      </c>
      <c r="G733" s="131">
        <v>1</v>
      </c>
      <c r="H733" s="131">
        <v>14</v>
      </c>
      <c r="I733" s="85"/>
    </row>
    <row r="734" spans="1:9" ht="13.5" customHeight="1" x14ac:dyDescent="0.3">
      <c r="A734" s="131">
        <f t="shared" si="40"/>
        <v>25938</v>
      </c>
      <c r="B734" s="138" t="s">
        <v>1063</v>
      </c>
      <c r="C734" s="138"/>
      <c r="D734" s="131"/>
      <c r="E734" s="131" t="s">
        <v>123</v>
      </c>
      <c r="F734" s="15">
        <v>3</v>
      </c>
      <c r="G734" s="131">
        <v>1</v>
      </c>
      <c r="H734" s="131">
        <v>14</v>
      </c>
      <c r="I734" s="85"/>
    </row>
    <row r="735" spans="1:9" ht="13.5" customHeight="1" x14ac:dyDescent="0.3">
      <c r="A735" s="131">
        <f t="shared" si="40"/>
        <v>25952</v>
      </c>
      <c r="B735" s="138" t="s">
        <v>1064</v>
      </c>
      <c r="C735" s="138"/>
      <c r="D735" s="131"/>
      <c r="E735" s="131" t="s">
        <v>123</v>
      </c>
      <c r="F735" s="15">
        <v>3</v>
      </c>
      <c r="G735" s="131">
        <v>1</v>
      </c>
      <c r="H735" s="131">
        <v>14</v>
      </c>
      <c r="I735" s="85"/>
    </row>
    <row r="736" spans="1:9" ht="13.5" customHeight="1" x14ac:dyDescent="0.3">
      <c r="A736" s="131">
        <f t="shared" si="40"/>
        <v>25966</v>
      </c>
      <c r="B736" s="138" t="s">
        <v>1065</v>
      </c>
      <c r="C736" s="138"/>
      <c r="D736" s="131"/>
      <c r="E736" s="131" t="s">
        <v>123</v>
      </c>
      <c r="F736" s="15">
        <v>3</v>
      </c>
      <c r="G736" s="131">
        <v>1</v>
      </c>
      <c r="H736" s="131">
        <v>14</v>
      </c>
      <c r="I736" s="85"/>
    </row>
    <row r="737" spans="1:9" ht="13.5" customHeight="1" x14ac:dyDescent="0.3">
      <c r="A737" s="131">
        <f t="shared" si="40"/>
        <v>25980</v>
      </c>
      <c r="B737" s="138" t="s">
        <v>1066</v>
      </c>
      <c r="C737" s="138"/>
      <c r="D737" s="131"/>
      <c r="E737" s="131" t="s">
        <v>123</v>
      </c>
      <c r="F737" s="15">
        <v>3</v>
      </c>
      <c r="G737" s="131">
        <v>1</v>
      </c>
      <c r="H737" s="131">
        <v>14</v>
      </c>
      <c r="I737" s="85"/>
    </row>
    <row r="738" spans="1:9" ht="13.5" customHeight="1" x14ac:dyDescent="0.3">
      <c r="A738" s="131">
        <f t="shared" si="40"/>
        <v>25994</v>
      </c>
      <c r="B738" s="138" t="s">
        <v>1067</v>
      </c>
      <c r="C738" s="138"/>
      <c r="D738" s="131"/>
      <c r="E738" s="131" t="s">
        <v>123</v>
      </c>
      <c r="F738" s="15">
        <v>3</v>
      </c>
      <c r="G738" s="131">
        <v>1</v>
      </c>
      <c r="H738" s="131">
        <v>14</v>
      </c>
      <c r="I738" s="85"/>
    </row>
    <row r="739" spans="1:9" ht="13.5" customHeight="1" x14ac:dyDescent="0.3">
      <c r="A739" s="131">
        <f t="shared" si="40"/>
        <v>26008</v>
      </c>
      <c r="B739" s="138" t="s">
        <v>1068</v>
      </c>
      <c r="C739" s="138"/>
      <c r="D739" s="131"/>
      <c r="E739" s="131" t="s">
        <v>123</v>
      </c>
      <c r="F739" s="15">
        <v>3</v>
      </c>
      <c r="G739" s="131">
        <v>1</v>
      </c>
      <c r="H739" s="131">
        <v>14</v>
      </c>
      <c r="I739" s="85"/>
    </row>
    <row r="740" spans="1:9" ht="13.5" customHeight="1" x14ac:dyDescent="0.3">
      <c r="A740" s="131">
        <f t="shared" si="40"/>
        <v>26022</v>
      </c>
      <c r="B740" s="138" t="s">
        <v>1069</v>
      </c>
      <c r="C740" s="138"/>
      <c r="D740" s="131"/>
      <c r="E740" s="131" t="s">
        <v>123</v>
      </c>
      <c r="F740" s="15">
        <v>3</v>
      </c>
      <c r="G740" s="131">
        <v>1</v>
      </c>
      <c r="H740" s="131">
        <v>14</v>
      </c>
      <c r="I740" s="85"/>
    </row>
    <row r="741" spans="1:9" ht="13.5" customHeight="1" x14ac:dyDescent="0.3">
      <c r="A741" s="131">
        <f t="shared" si="40"/>
        <v>26036</v>
      </c>
      <c r="B741" s="138" t="s">
        <v>1070</v>
      </c>
      <c r="C741" s="138"/>
      <c r="D741" s="131"/>
      <c r="E741" s="131" t="s">
        <v>123</v>
      </c>
      <c r="F741" s="15">
        <v>3</v>
      </c>
      <c r="G741" s="131">
        <v>1</v>
      </c>
      <c r="H741" s="131">
        <v>14</v>
      </c>
      <c r="I741" s="85"/>
    </row>
    <row r="742" spans="1:9" ht="13.5" customHeight="1" x14ac:dyDescent="0.3">
      <c r="A742" s="131">
        <f t="shared" si="40"/>
        <v>26050</v>
      </c>
      <c r="B742" s="138" t="s">
        <v>1071</v>
      </c>
      <c r="C742" s="138"/>
      <c r="D742" s="131"/>
      <c r="E742" s="131" t="s">
        <v>123</v>
      </c>
      <c r="F742" s="15">
        <v>3</v>
      </c>
      <c r="G742" s="131">
        <v>1</v>
      </c>
      <c r="H742" s="131">
        <v>14</v>
      </c>
      <c r="I742" s="85"/>
    </row>
    <row r="743" spans="1:9" ht="13.5" customHeight="1" x14ac:dyDescent="0.3">
      <c r="A743" s="131">
        <f t="shared" si="40"/>
        <v>26064</v>
      </c>
      <c r="B743" s="138" t="s">
        <v>1072</v>
      </c>
      <c r="C743" s="138"/>
      <c r="D743" s="131"/>
      <c r="E743" s="131" t="s">
        <v>123</v>
      </c>
      <c r="F743" s="15">
        <v>3</v>
      </c>
      <c r="G743" s="131">
        <v>1</v>
      </c>
      <c r="H743" s="131">
        <v>14</v>
      </c>
      <c r="I743" s="85"/>
    </row>
    <row r="744" spans="1:9" ht="13.5" customHeight="1" x14ac:dyDescent="0.3">
      <c r="A744" s="131">
        <f t="shared" si="40"/>
        <v>26078</v>
      </c>
      <c r="B744" s="138" t="s">
        <v>1073</v>
      </c>
      <c r="C744" s="138"/>
      <c r="D744" s="131"/>
      <c r="E744" s="131" t="s">
        <v>123</v>
      </c>
      <c r="F744" s="15">
        <v>3</v>
      </c>
      <c r="G744" s="131">
        <v>1</v>
      </c>
      <c r="H744" s="131">
        <v>14</v>
      </c>
      <c r="I744" s="85"/>
    </row>
    <row r="745" spans="1:9" ht="13.5" customHeight="1" x14ac:dyDescent="0.3">
      <c r="A745" s="131">
        <f t="shared" si="40"/>
        <v>26092</v>
      </c>
      <c r="B745" s="138" t="s">
        <v>1074</v>
      </c>
      <c r="C745" s="138"/>
      <c r="D745" s="131"/>
      <c r="E745" s="131" t="s">
        <v>123</v>
      </c>
      <c r="F745" s="15">
        <v>3</v>
      </c>
      <c r="G745" s="131">
        <v>1</v>
      </c>
      <c r="H745" s="131">
        <v>14</v>
      </c>
      <c r="I745" s="85"/>
    </row>
    <row r="746" spans="1:9" ht="13.5" customHeight="1" x14ac:dyDescent="0.3">
      <c r="A746" s="131">
        <f t="shared" si="40"/>
        <v>26106</v>
      </c>
      <c r="B746" s="138" t="s">
        <v>1075</v>
      </c>
      <c r="C746" s="138"/>
      <c r="D746" s="131"/>
      <c r="E746" s="131" t="s">
        <v>123</v>
      </c>
      <c r="F746" s="15">
        <v>3</v>
      </c>
      <c r="G746" s="131">
        <v>1</v>
      </c>
      <c r="H746" s="131">
        <v>14</v>
      </c>
      <c r="I746" s="85"/>
    </row>
    <row r="747" spans="1:9" ht="13.5" customHeight="1" x14ac:dyDescent="0.3">
      <c r="A747" s="131">
        <f t="shared" si="40"/>
        <v>26120</v>
      </c>
      <c r="B747" s="138" t="s">
        <v>1076</v>
      </c>
      <c r="C747" s="138"/>
      <c r="D747" s="131"/>
      <c r="E747" s="131" t="s">
        <v>123</v>
      </c>
      <c r="F747" s="15">
        <v>3</v>
      </c>
      <c r="G747" s="131">
        <v>1</v>
      </c>
      <c r="H747" s="131">
        <v>14</v>
      </c>
      <c r="I747" s="85"/>
    </row>
    <row r="748" spans="1:9" ht="13.5" customHeight="1" x14ac:dyDescent="0.3">
      <c r="A748" s="131">
        <f t="shared" si="40"/>
        <v>26134</v>
      </c>
      <c r="B748" s="138" t="s">
        <v>1077</v>
      </c>
      <c r="C748" s="138"/>
      <c r="D748" s="131"/>
      <c r="E748" s="131" t="s">
        <v>123</v>
      </c>
      <c r="F748" s="15">
        <v>3</v>
      </c>
      <c r="G748" s="131">
        <v>1</v>
      </c>
      <c r="H748" s="131">
        <v>14</v>
      </c>
      <c r="I748" s="85"/>
    </row>
    <row r="749" spans="1:9" ht="13.5" customHeight="1" x14ac:dyDescent="0.3">
      <c r="A749" s="131">
        <f t="shared" si="40"/>
        <v>26148</v>
      </c>
      <c r="B749" s="138" t="s">
        <v>1078</v>
      </c>
      <c r="C749" s="138"/>
      <c r="D749" s="131"/>
      <c r="E749" s="131" t="s">
        <v>123</v>
      </c>
      <c r="F749" s="15">
        <v>3</v>
      </c>
      <c r="G749" s="131">
        <v>1</v>
      </c>
      <c r="H749" s="131">
        <v>14</v>
      </c>
      <c r="I749" s="85"/>
    </row>
    <row r="750" spans="1:9" ht="13.5" customHeight="1" x14ac:dyDescent="0.3">
      <c r="A750" s="131">
        <f t="shared" si="40"/>
        <v>26162</v>
      </c>
      <c r="B750" s="138" t="s">
        <v>1079</v>
      </c>
      <c r="C750" s="138"/>
      <c r="D750" s="131"/>
      <c r="E750" s="131" t="s">
        <v>123</v>
      </c>
      <c r="F750" s="15">
        <v>3</v>
      </c>
      <c r="G750" s="131">
        <v>1</v>
      </c>
      <c r="H750" s="131">
        <v>14</v>
      </c>
      <c r="I750" s="85"/>
    </row>
    <row r="751" spans="1:9" ht="13.5" customHeight="1" x14ac:dyDescent="0.3">
      <c r="A751" s="131">
        <f t="shared" si="40"/>
        <v>26176</v>
      </c>
      <c r="B751" s="138" t="s">
        <v>1080</v>
      </c>
      <c r="C751" s="138"/>
      <c r="D751" s="131"/>
      <c r="E751" s="131" t="s">
        <v>123</v>
      </c>
      <c r="F751" s="15">
        <v>3</v>
      </c>
      <c r="G751" s="131">
        <v>1</v>
      </c>
      <c r="H751" s="131">
        <v>14</v>
      </c>
      <c r="I751" s="85"/>
    </row>
    <row r="752" spans="1:9" ht="13.5" customHeight="1" x14ac:dyDescent="0.3">
      <c r="A752" s="131">
        <f t="shared" si="40"/>
        <v>26190</v>
      </c>
      <c r="B752" s="138" t="s">
        <v>1081</v>
      </c>
      <c r="C752" s="138"/>
      <c r="D752" s="131"/>
      <c r="E752" s="131" t="s">
        <v>123</v>
      </c>
      <c r="F752" s="15">
        <v>3</v>
      </c>
      <c r="G752" s="131">
        <v>1</v>
      </c>
      <c r="H752" s="131">
        <v>14</v>
      </c>
      <c r="I752" s="85"/>
    </row>
    <row r="753" spans="1:9" ht="13.5" customHeight="1" x14ac:dyDescent="0.3">
      <c r="A753" s="131">
        <f t="shared" si="40"/>
        <v>26204</v>
      </c>
      <c r="B753" s="138" t="s">
        <v>1082</v>
      </c>
      <c r="C753" s="138"/>
      <c r="D753" s="131"/>
      <c r="E753" s="131" t="s">
        <v>123</v>
      </c>
      <c r="F753" s="15">
        <v>3</v>
      </c>
      <c r="G753" s="131">
        <v>1</v>
      </c>
      <c r="H753" s="131">
        <v>14</v>
      </c>
      <c r="I753" s="85"/>
    </row>
    <row r="754" spans="1:9" ht="13.5" customHeight="1" x14ac:dyDescent="0.3">
      <c r="A754" s="131">
        <f t="shared" si="40"/>
        <v>26218</v>
      </c>
      <c r="B754" s="138" t="s">
        <v>1083</v>
      </c>
      <c r="C754" s="138"/>
      <c r="D754" s="131"/>
      <c r="E754" s="131" t="s">
        <v>123</v>
      </c>
      <c r="F754" s="15">
        <v>3</v>
      </c>
      <c r="G754" s="131">
        <v>1</v>
      </c>
      <c r="H754" s="131">
        <v>14</v>
      </c>
      <c r="I754" s="85"/>
    </row>
    <row r="755" spans="1:9" ht="13.5" customHeight="1" x14ac:dyDescent="0.3">
      <c r="A755" s="131">
        <f t="shared" si="40"/>
        <v>26232</v>
      </c>
      <c r="B755" s="138"/>
      <c r="C755" s="138"/>
      <c r="D755" s="131"/>
      <c r="E755" s="131" t="s">
        <v>123</v>
      </c>
      <c r="F755" s="15">
        <v>3</v>
      </c>
      <c r="G755" s="131">
        <v>1</v>
      </c>
      <c r="H755" s="131">
        <v>8</v>
      </c>
      <c r="I755" s="85"/>
    </row>
    <row r="756" spans="1:9" ht="13.5" customHeight="1" x14ac:dyDescent="0.3">
      <c r="A756" s="162" t="s">
        <v>1084</v>
      </c>
      <c r="B756" s="162"/>
      <c r="C756" s="162"/>
      <c r="D756" s="162"/>
      <c r="E756" s="162"/>
      <c r="F756" s="162"/>
      <c r="G756" s="162"/>
      <c r="H756" s="162"/>
      <c r="I756" s="88"/>
    </row>
    <row r="757" spans="1:9" ht="13.5" customHeight="1" x14ac:dyDescent="0.3">
      <c r="A757" s="131">
        <f>A755+G755*H755</f>
        <v>26240</v>
      </c>
      <c r="B757" s="14" t="s">
        <v>399</v>
      </c>
      <c r="C757" s="138"/>
      <c r="D757" s="131"/>
      <c r="E757" s="15" t="s">
        <v>123</v>
      </c>
      <c r="F757" s="15">
        <v>3</v>
      </c>
      <c r="G757" s="15">
        <f t="shared" ref="G757:G769" si="41">IF(OR(E757="U16", E757="S16"),1,IF(E757="TS",6,2))</f>
        <v>1</v>
      </c>
      <c r="H757" s="131">
        <v>1</v>
      </c>
      <c r="I757" s="85"/>
    </row>
    <row r="758" spans="1:9" ht="13.5" customHeight="1" x14ac:dyDescent="0.3">
      <c r="A758" s="131">
        <f t="shared" ref="A758:A801" si="42">A757+(G757*H757)</f>
        <v>26241</v>
      </c>
      <c r="B758" s="14" t="s">
        <v>400</v>
      </c>
      <c r="C758" s="138"/>
      <c r="D758" s="131"/>
      <c r="E758" s="15" t="s">
        <v>123</v>
      </c>
      <c r="F758" s="15">
        <v>3</v>
      </c>
      <c r="G758" s="15">
        <f t="shared" si="41"/>
        <v>1</v>
      </c>
      <c r="H758" s="131">
        <v>1</v>
      </c>
      <c r="I758" s="85"/>
    </row>
    <row r="759" spans="1:9" ht="13.5" customHeight="1" x14ac:dyDescent="0.3">
      <c r="A759" s="131">
        <f t="shared" si="42"/>
        <v>26242</v>
      </c>
      <c r="B759" s="21" t="s">
        <v>1047</v>
      </c>
      <c r="C759" s="138"/>
      <c r="D759" s="131"/>
      <c r="E759" s="15" t="s">
        <v>123</v>
      </c>
      <c r="F759" s="15">
        <v>3</v>
      </c>
      <c r="G759" s="15">
        <f t="shared" si="41"/>
        <v>1</v>
      </c>
      <c r="H759" s="131">
        <v>1</v>
      </c>
      <c r="I759" s="85"/>
    </row>
    <row r="760" spans="1:9" ht="13.5" customHeight="1" x14ac:dyDescent="0.3">
      <c r="A760" s="131">
        <f t="shared" si="42"/>
        <v>26243</v>
      </c>
      <c r="B760" s="14" t="s">
        <v>195</v>
      </c>
      <c r="C760" s="138"/>
      <c r="D760" s="131"/>
      <c r="E760" s="15" t="s">
        <v>123</v>
      </c>
      <c r="F760" s="15">
        <v>3</v>
      </c>
      <c r="G760" s="15">
        <f t="shared" si="41"/>
        <v>1</v>
      </c>
      <c r="H760" s="131">
        <v>1</v>
      </c>
      <c r="I760" s="85"/>
    </row>
    <row r="761" spans="1:9" ht="13.5" customHeight="1" x14ac:dyDescent="0.3">
      <c r="A761" s="131">
        <f t="shared" si="42"/>
        <v>26244</v>
      </c>
      <c r="B761" s="170" t="s">
        <v>1048</v>
      </c>
      <c r="C761" s="142" t="s">
        <v>1049</v>
      </c>
      <c r="D761" s="131"/>
      <c r="E761" s="131" t="s">
        <v>91</v>
      </c>
      <c r="F761" s="131">
        <v>3</v>
      </c>
      <c r="G761" s="131">
        <f t="shared" si="41"/>
        <v>2</v>
      </c>
      <c r="H761" s="131">
        <v>1</v>
      </c>
      <c r="I761" s="85"/>
    </row>
    <row r="762" spans="1:9" ht="13.5" customHeight="1" x14ac:dyDescent="0.3">
      <c r="A762" s="131">
        <f t="shared" si="42"/>
        <v>26246</v>
      </c>
      <c r="B762" s="170"/>
      <c r="C762" s="142" t="s">
        <v>441</v>
      </c>
      <c r="D762" s="131"/>
      <c r="E762" s="131" t="s">
        <v>123</v>
      </c>
      <c r="F762" s="131">
        <v>3</v>
      </c>
      <c r="G762" s="131">
        <f t="shared" si="41"/>
        <v>1</v>
      </c>
      <c r="H762" s="131">
        <v>1</v>
      </c>
      <c r="I762" s="85"/>
    </row>
    <row r="763" spans="1:9" ht="13.5" customHeight="1" x14ac:dyDescent="0.3">
      <c r="A763" s="131">
        <f t="shared" si="42"/>
        <v>26247</v>
      </c>
      <c r="B763" s="170"/>
      <c r="C763" s="142" t="s">
        <v>442</v>
      </c>
      <c r="D763" s="131"/>
      <c r="E763" s="131" t="s">
        <v>123</v>
      </c>
      <c r="F763" s="131">
        <v>3</v>
      </c>
      <c r="G763" s="131">
        <f t="shared" si="41"/>
        <v>1</v>
      </c>
      <c r="H763" s="131">
        <v>1</v>
      </c>
      <c r="I763" s="85"/>
    </row>
    <row r="764" spans="1:9" ht="13.5" customHeight="1" x14ac:dyDescent="0.3">
      <c r="A764" s="131">
        <f t="shared" si="42"/>
        <v>26248</v>
      </c>
      <c r="B764" s="170"/>
      <c r="C764" s="142" t="s">
        <v>1050</v>
      </c>
      <c r="D764" s="138" t="s">
        <v>1051</v>
      </c>
      <c r="E764" s="131" t="s">
        <v>123</v>
      </c>
      <c r="F764" s="131">
        <v>3</v>
      </c>
      <c r="G764" s="131">
        <f t="shared" si="41"/>
        <v>1</v>
      </c>
      <c r="H764" s="131">
        <v>1</v>
      </c>
      <c r="I764" s="85"/>
    </row>
    <row r="765" spans="1:9" ht="13.5" customHeight="1" x14ac:dyDescent="0.3">
      <c r="A765" s="131">
        <f t="shared" si="42"/>
        <v>26249</v>
      </c>
      <c r="B765" s="170"/>
      <c r="C765" s="142" t="s">
        <v>439</v>
      </c>
      <c r="D765" s="131"/>
      <c r="E765" s="131" t="s">
        <v>123</v>
      </c>
      <c r="F765" s="131">
        <v>3</v>
      </c>
      <c r="G765" s="131">
        <f t="shared" si="41"/>
        <v>1</v>
      </c>
      <c r="H765" s="131">
        <v>1</v>
      </c>
      <c r="I765" s="85"/>
    </row>
    <row r="766" spans="1:9" ht="13.5" customHeight="1" x14ac:dyDescent="0.3">
      <c r="A766" s="131">
        <f t="shared" si="42"/>
        <v>26250</v>
      </c>
      <c r="B766" s="170"/>
      <c r="C766" s="142" t="s">
        <v>440</v>
      </c>
      <c r="D766" s="131"/>
      <c r="E766" s="131" t="s">
        <v>436</v>
      </c>
      <c r="F766" s="131">
        <v>3</v>
      </c>
      <c r="G766" s="131">
        <f t="shared" si="41"/>
        <v>2</v>
      </c>
      <c r="H766" s="131">
        <v>1</v>
      </c>
      <c r="I766" s="85"/>
    </row>
    <row r="767" spans="1:9" ht="13.5" customHeight="1" x14ac:dyDescent="0.3">
      <c r="A767" s="131">
        <f t="shared" si="42"/>
        <v>26252</v>
      </c>
      <c r="B767" s="170"/>
      <c r="C767" s="142" t="s">
        <v>271</v>
      </c>
      <c r="D767" s="131"/>
      <c r="E767" s="131" t="s">
        <v>436</v>
      </c>
      <c r="F767" s="131">
        <v>3</v>
      </c>
      <c r="G767" s="131">
        <f t="shared" si="41"/>
        <v>2</v>
      </c>
      <c r="H767" s="131">
        <v>1</v>
      </c>
      <c r="I767" s="85"/>
    </row>
    <row r="768" spans="1:9" ht="13.5" customHeight="1" x14ac:dyDescent="0.3">
      <c r="A768" s="131">
        <f t="shared" si="42"/>
        <v>26254</v>
      </c>
      <c r="B768" s="170"/>
      <c r="C768" s="142" t="s">
        <v>272</v>
      </c>
      <c r="D768" s="131"/>
      <c r="E768" s="131" t="s">
        <v>436</v>
      </c>
      <c r="F768" s="131">
        <v>3</v>
      </c>
      <c r="G768" s="131">
        <f t="shared" si="41"/>
        <v>2</v>
      </c>
      <c r="H768" s="131">
        <v>1</v>
      </c>
      <c r="I768" s="85"/>
    </row>
    <row r="769" spans="1:9" ht="13.5" customHeight="1" x14ac:dyDescent="0.3">
      <c r="A769" s="131">
        <f t="shared" si="42"/>
        <v>26256</v>
      </c>
      <c r="B769" s="170"/>
      <c r="C769" s="142" t="s">
        <v>1052</v>
      </c>
      <c r="D769" s="131"/>
      <c r="E769" s="131" t="s">
        <v>436</v>
      </c>
      <c r="F769" s="131">
        <v>3</v>
      </c>
      <c r="G769" s="131">
        <f t="shared" si="41"/>
        <v>2</v>
      </c>
      <c r="H769" s="131">
        <v>1</v>
      </c>
      <c r="I769" s="85"/>
    </row>
    <row r="770" spans="1:9" ht="13.5" customHeight="1" x14ac:dyDescent="0.3">
      <c r="A770" s="131">
        <f t="shared" si="42"/>
        <v>26258</v>
      </c>
      <c r="B770" s="138" t="s">
        <v>1053</v>
      </c>
      <c r="C770" s="138"/>
      <c r="D770" s="131"/>
      <c r="E770" s="131" t="s">
        <v>123</v>
      </c>
      <c r="F770" s="15">
        <v>3</v>
      </c>
      <c r="G770" s="131">
        <v>1</v>
      </c>
      <c r="H770" s="131">
        <v>14</v>
      </c>
      <c r="I770" s="85"/>
    </row>
    <row r="771" spans="1:9" ht="13.5" customHeight="1" x14ac:dyDescent="0.3">
      <c r="A771" s="131">
        <f t="shared" si="42"/>
        <v>26272</v>
      </c>
      <c r="B771" s="138" t="s">
        <v>1054</v>
      </c>
      <c r="C771" s="138"/>
      <c r="D771" s="131"/>
      <c r="E771" s="131" t="s">
        <v>123</v>
      </c>
      <c r="F771" s="15">
        <v>3</v>
      </c>
      <c r="G771" s="131">
        <v>1</v>
      </c>
      <c r="H771" s="131">
        <v>14</v>
      </c>
      <c r="I771" s="85"/>
    </row>
    <row r="772" spans="1:9" ht="13.5" customHeight="1" x14ac:dyDescent="0.3">
      <c r="A772" s="131">
        <f t="shared" si="42"/>
        <v>26286</v>
      </c>
      <c r="B772" s="138" t="s">
        <v>1055</v>
      </c>
      <c r="C772" s="138"/>
      <c r="D772" s="131"/>
      <c r="E772" s="131" t="s">
        <v>123</v>
      </c>
      <c r="F772" s="15">
        <v>3</v>
      </c>
      <c r="G772" s="131">
        <v>1</v>
      </c>
      <c r="H772" s="131">
        <v>14</v>
      </c>
      <c r="I772" s="85"/>
    </row>
    <row r="773" spans="1:9" ht="13.5" customHeight="1" x14ac:dyDescent="0.3">
      <c r="A773" s="131">
        <f t="shared" si="42"/>
        <v>26300</v>
      </c>
      <c r="B773" s="138" t="s">
        <v>1056</v>
      </c>
      <c r="C773" s="138"/>
      <c r="D773" s="131"/>
      <c r="E773" s="131" t="s">
        <v>123</v>
      </c>
      <c r="F773" s="15">
        <v>3</v>
      </c>
      <c r="G773" s="131">
        <v>1</v>
      </c>
      <c r="H773" s="131">
        <v>14</v>
      </c>
      <c r="I773" s="85"/>
    </row>
    <row r="774" spans="1:9" ht="13.5" customHeight="1" x14ac:dyDescent="0.3">
      <c r="A774" s="131">
        <f t="shared" si="42"/>
        <v>26314</v>
      </c>
      <c r="B774" s="138" t="s">
        <v>1057</v>
      </c>
      <c r="C774" s="138"/>
      <c r="D774" s="131"/>
      <c r="E774" s="131" t="s">
        <v>123</v>
      </c>
      <c r="F774" s="15">
        <v>3</v>
      </c>
      <c r="G774" s="131">
        <v>1</v>
      </c>
      <c r="H774" s="131">
        <v>14</v>
      </c>
      <c r="I774" s="85"/>
    </row>
    <row r="775" spans="1:9" ht="13.5" customHeight="1" x14ac:dyDescent="0.3">
      <c r="A775" s="131">
        <f t="shared" si="42"/>
        <v>26328</v>
      </c>
      <c r="B775" s="138" t="s">
        <v>1058</v>
      </c>
      <c r="C775" s="138"/>
      <c r="D775" s="131"/>
      <c r="E775" s="131" t="s">
        <v>123</v>
      </c>
      <c r="F775" s="15">
        <v>3</v>
      </c>
      <c r="G775" s="131">
        <v>1</v>
      </c>
      <c r="H775" s="131">
        <v>14</v>
      </c>
      <c r="I775" s="85"/>
    </row>
    <row r="776" spans="1:9" ht="13.5" customHeight="1" x14ac:dyDescent="0.3">
      <c r="A776" s="131">
        <f t="shared" si="42"/>
        <v>26342</v>
      </c>
      <c r="B776" s="138" t="s">
        <v>1059</v>
      </c>
      <c r="C776" s="138"/>
      <c r="D776" s="131"/>
      <c r="E776" s="131" t="s">
        <v>123</v>
      </c>
      <c r="F776" s="15">
        <v>3</v>
      </c>
      <c r="G776" s="131">
        <v>1</v>
      </c>
      <c r="H776" s="131">
        <v>14</v>
      </c>
      <c r="I776" s="85"/>
    </row>
    <row r="777" spans="1:9" ht="13.5" customHeight="1" x14ac:dyDescent="0.3">
      <c r="A777" s="131">
        <f t="shared" si="42"/>
        <v>26356</v>
      </c>
      <c r="B777" s="138" t="s">
        <v>1060</v>
      </c>
      <c r="C777" s="138"/>
      <c r="D777" s="131"/>
      <c r="E777" s="131" t="s">
        <v>123</v>
      </c>
      <c r="F777" s="15">
        <v>3</v>
      </c>
      <c r="G777" s="131">
        <v>1</v>
      </c>
      <c r="H777" s="131">
        <v>14</v>
      </c>
      <c r="I777" s="85"/>
    </row>
    <row r="778" spans="1:9" ht="13.5" customHeight="1" x14ac:dyDescent="0.3">
      <c r="A778" s="131">
        <f t="shared" si="42"/>
        <v>26370</v>
      </c>
      <c r="B778" s="138" t="s">
        <v>1061</v>
      </c>
      <c r="C778" s="138"/>
      <c r="D778" s="131"/>
      <c r="E778" s="131" t="s">
        <v>123</v>
      </c>
      <c r="F778" s="15">
        <v>3</v>
      </c>
      <c r="G778" s="131">
        <v>1</v>
      </c>
      <c r="H778" s="131">
        <v>14</v>
      </c>
      <c r="I778" s="85"/>
    </row>
    <row r="779" spans="1:9" ht="13.5" customHeight="1" x14ac:dyDescent="0.3">
      <c r="A779" s="131">
        <f t="shared" si="42"/>
        <v>26384</v>
      </c>
      <c r="B779" s="138" t="s">
        <v>1062</v>
      </c>
      <c r="C779" s="138"/>
      <c r="D779" s="131"/>
      <c r="E779" s="131" t="s">
        <v>123</v>
      </c>
      <c r="F779" s="15">
        <v>3</v>
      </c>
      <c r="G779" s="131">
        <v>1</v>
      </c>
      <c r="H779" s="131">
        <v>14</v>
      </c>
      <c r="I779" s="85"/>
    </row>
    <row r="780" spans="1:9" ht="13.5" customHeight="1" x14ac:dyDescent="0.3">
      <c r="A780" s="131">
        <f t="shared" si="42"/>
        <v>26398</v>
      </c>
      <c r="B780" s="138" t="s">
        <v>1063</v>
      </c>
      <c r="C780" s="138"/>
      <c r="D780" s="131"/>
      <c r="E780" s="131" t="s">
        <v>123</v>
      </c>
      <c r="F780" s="15">
        <v>3</v>
      </c>
      <c r="G780" s="131">
        <v>1</v>
      </c>
      <c r="H780" s="131">
        <v>14</v>
      </c>
      <c r="I780" s="85"/>
    </row>
    <row r="781" spans="1:9" ht="13.5" customHeight="1" x14ac:dyDescent="0.3">
      <c r="A781" s="131">
        <f t="shared" si="42"/>
        <v>26412</v>
      </c>
      <c r="B781" s="138" t="s">
        <v>1064</v>
      </c>
      <c r="C781" s="138"/>
      <c r="D781" s="131"/>
      <c r="E781" s="131" t="s">
        <v>123</v>
      </c>
      <c r="F781" s="15">
        <v>3</v>
      </c>
      <c r="G781" s="131">
        <v>1</v>
      </c>
      <c r="H781" s="131">
        <v>14</v>
      </c>
      <c r="I781" s="85"/>
    </row>
    <row r="782" spans="1:9" ht="13.5" customHeight="1" x14ac:dyDescent="0.3">
      <c r="A782" s="131">
        <f t="shared" si="42"/>
        <v>26426</v>
      </c>
      <c r="B782" s="138" t="s">
        <v>1065</v>
      </c>
      <c r="C782" s="138"/>
      <c r="D782" s="131"/>
      <c r="E782" s="131" t="s">
        <v>123</v>
      </c>
      <c r="F782" s="15">
        <v>3</v>
      </c>
      <c r="G782" s="131">
        <v>1</v>
      </c>
      <c r="H782" s="131">
        <v>14</v>
      </c>
      <c r="I782" s="85"/>
    </row>
    <row r="783" spans="1:9" ht="13.5" customHeight="1" x14ac:dyDescent="0.3">
      <c r="A783" s="131">
        <f t="shared" si="42"/>
        <v>26440</v>
      </c>
      <c r="B783" s="138" t="s">
        <v>1066</v>
      </c>
      <c r="C783" s="138"/>
      <c r="D783" s="131"/>
      <c r="E783" s="131" t="s">
        <v>123</v>
      </c>
      <c r="F783" s="15">
        <v>3</v>
      </c>
      <c r="G783" s="131">
        <v>1</v>
      </c>
      <c r="H783" s="131">
        <v>14</v>
      </c>
      <c r="I783" s="85"/>
    </row>
    <row r="784" spans="1:9" ht="13.5" customHeight="1" x14ac:dyDescent="0.3">
      <c r="A784" s="131">
        <f t="shared" si="42"/>
        <v>26454</v>
      </c>
      <c r="B784" s="138" t="s">
        <v>1067</v>
      </c>
      <c r="C784" s="138"/>
      <c r="D784" s="131"/>
      <c r="E784" s="131" t="s">
        <v>123</v>
      </c>
      <c r="F784" s="15">
        <v>3</v>
      </c>
      <c r="G784" s="131">
        <v>1</v>
      </c>
      <c r="H784" s="131">
        <v>14</v>
      </c>
      <c r="I784" s="85"/>
    </row>
    <row r="785" spans="1:9" ht="13.5" customHeight="1" x14ac:dyDescent="0.3">
      <c r="A785" s="131">
        <f t="shared" si="42"/>
        <v>26468</v>
      </c>
      <c r="B785" s="138" t="s">
        <v>1068</v>
      </c>
      <c r="C785" s="138"/>
      <c r="D785" s="131"/>
      <c r="E785" s="131" t="s">
        <v>123</v>
      </c>
      <c r="F785" s="15">
        <v>3</v>
      </c>
      <c r="G785" s="131">
        <v>1</v>
      </c>
      <c r="H785" s="131">
        <v>14</v>
      </c>
      <c r="I785" s="85"/>
    </row>
    <row r="786" spans="1:9" ht="13.5" customHeight="1" x14ac:dyDescent="0.3">
      <c r="A786" s="131">
        <f t="shared" si="42"/>
        <v>26482</v>
      </c>
      <c r="B786" s="138" t="s">
        <v>1069</v>
      </c>
      <c r="C786" s="138"/>
      <c r="D786" s="131"/>
      <c r="E786" s="131" t="s">
        <v>123</v>
      </c>
      <c r="F786" s="15">
        <v>3</v>
      </c>
      <c r="G786" s="131">
        <v>1</v>
      </c>
      <c r="H786" s="131">
        <v>14</v>
      </c>
      <c r="I786" s="85"/>
    </row>
    <row r="787" spans="1:9" ht="13.5" customHeight="1" x14ac:dyDescent="0.3">
      <c r="A787" s="131">
        <f t="shared" si="42"/>
        <v>26496</v>
      </c>
      <c r="B787" s="138" t="s">
        <v>1070</v>
      </c>
      <c r="C787" s="138"/>
      <c r="D787" s="131"/>
      <c r="E787" s="131" t="s">
        <v>123</v>
      </c>
      <c r="F787" s="15">
        <v>3</v>
      </c>
      <c r="G787" s="131">
        <v>1</v>
      </c>
      <c r="H787" s="131">
        <v>14</v>
      </c>
      <c r="I787" s="85"/>
    </row>
    <row r="788" spans="1:9" ht="13.5" customHeight="1" x14ac:dyDescent="0.3">
      <c r="A788" s="131">
        <f t="shared" si="42"/>
        <v>26510</v>
      </c>
      <c r="B788" s="138" t="s">
        <v>1071</v>
      </c>
      <c r="C788" s="138"/>
      <c r="D788" s="131"/>
      <c r="E788" s="131" t="s">
        <v>123</v>
      </c>
      <c r="F788" s="15">
        <v>3</v>
      </c>
      <c r="G788" s="131">
        <v>1</v>
      </c>
      <c r="H788" s="131">
        <v>14</v>
      </c>
      <c r="I788" s="85"/>
    </row>
    <row r="789" spans="1:9" ht="13.5" customHeight="1" x14ac:dyDescent="0.3">
      <c r="A789" s="131">
        <f t="shared" si="42"/>
        <v>26524</v>
      </c>
      <c r="B789" s="138" t="s">
        <v>1072</v>
      </c>
      <c r="C789" s="138"/>
      <c r="D789" s="131"/>
      <c r="E789" s="131" t="s">
        <v>123</v>
      </c>
      <c r="F789" s="15">
        <v>3</v>
      </c>
      <c r="G789" s="131">
        <v>1</v>
      </c>
      <c r="H789" s="131">
        <v>14</v>
      </c>
      <c r="I789" s="85"/>
    </row>
    <row r="790" spans="1:9" ht="13.5" customHeight="1" x14ac:dyDescent="0.3">
      <c r="A790" s="131">
        <f t="shared" si="42"/>
        <v>26538</v>
      </c>
      <c r="B790" s="138" t="s">
        <v>1073</v>
      </c>
      <c r="C790" s="138"/>
      <c r="D790" s="131"/>
      <c r="E790" s="131" t="s">
        <v>123</v>
      </c>
      <c r="F790" s="15">
        <v>3</v>
      </c>
      <c r="G790" s="131">
        <v>1</v>
      </c>
      <c r="H790" s="131">
        <v>14</v>
      </c>
      <c r="I790" s="85"/>
    </row>
    <row r="791" spans="1:9" ht="13.5" customHeight="1" x14ac:dyDescent="0.3">
      <c r="A791" s="131">
        <f t="shared" si="42"/>
        <v>26552</v>
      </c>
      <c r="B791" s="138" t="s">
        <v>1074</v>
      </c>
      <c r="C791" s="138"/>
      <c r="D791" s="131"/>
      <c r="E791" s="131" t="s">
        <v>123</v>
      </c>
      <c r="F791" s="15">
        <v>3</v>
      </c>
      <c r="G791" s="131">
        <v>1</v>
      </c>
      <c r="H791" s="131">
        <v>14</v>
      </c>
      <c r="I791" s="85"/>
    </row>
    <row r="792" spans="1:9" ht="13.5" customHeight="1" x14ac:dyDescent="0.3">
      <c r="A792" s="131">
        <f t="shared" si="42"/>
        <v>26566</v>
      </c>
      <c r="B792" s="138" t="s">
        <v>1075</v>
      </c>
      <c r="C792" s="138"/>
      <c r="D792" s="131"/>
      <c r="E792" s="131" t="s">
        <v>123</v>
      </c>
      <c r="F792" s="15">
        <v>3</v>
      </c>
      <c r="G792" s="131">
        <v>1</v>
      </c>
      <c r="H792" s="131">
        <v>14</v>
      </c>
      <c r="I792" s="85"/>
    </row>
    <row r="793" spans="1:9" ht="13.5" customHeight="1" x14ac:dyDescent="0.3">
      <c r="A793" s="131">
        <f t="shared" si="42"/>
        <v>26580</v>
      </c>
      <c r="B793" s="138" t="s">
        <v>1076</v>
      </c>
      <c r="C793" s="138"/>
      <c r="D793" s="131"/>
      <c r="E793" s="131" t="s">
        <v>123</v>
      </c>
      <c r="F793" s="15">
        <v>3</v>
      </c>
      <c r="G793" s="131">
        <v>1</v>
      </c>
      <c r="H793" s="131">
        <v>14</v>
      </c>
      <c r="I793" s="85"/>
    </row>
    <row r="794" spans="1:9" ht="13.5" customHeight="1" x14ac:dyDescent="0.3">
      <c r="A794" s="131">
        <f t="shared" si="42"/>
        <v>26594</v>
      </c>
      <c r="B794" s="138" t="s">
        <v>1077</v>
      </c>
      <c r="C794" s="138"/>
      <c r="D794" s="131"/>
      <c r="E794" s="131" t="s">
        <v>123</v>
      </c>
      <c r="F794" s="15">
        <v>3</v>
      </c>
      <c r="G794" s="131">
        <v>1</v>
      </c>
      <c r="H794" s="131">
        <v>14</v>
      </c>
      <c r="I794" s="85"/>
    </row>
    <row r="795" spans="1:9" ht="13.5" customHeight="1" x14ac:dyDescent="0.3">
      <c r="A795" s="131">
        <f t="shared" si="42"/>
        <v>26608</v>
      </c>
      <c r="B795" s="138" t="s">
        <v>1078</v>
      </c>
      <c r="C795" s="138"/>
      <c r="D795" s="131"/>
      <c r="E795" s="131" t="s">
        <v>123</v>
      </c>
      <c r="F795" s="15">
        <v>3</v>
      </c>
      <c r="G795" s="131">
        <v>1</v>
      </c>
      <c r="H795" s="131">
        <v>14</v>
      </c>
      <c r="I795" s="85"/>
    </row>
    <row r="796" spans="1:9" ht="13.5" customHeight="1" x14ac:dyDescent="0.3">
      <c r="A796" s="131">
        <f t="shared" si="42"/>
        <v>26622</v>
      </c>
      <c r="B796" s="138" t="s">
        <v>1079</v>
      </c>
      <c r="C796" s="138"/>
      <c r="D796" s="131"/>
      <c r="E796" s="131" t="s">
        <v>123</v>
      </c>
      <c r="F796" s="15">
        <v>3</v>
      </c>
      <c r="G796" s="131">
        <v>1</v>
      </c>
      <c r="H796" s="131">
        <v>14</v>
      </c>
      <c r="I796" s="85"/>
    </row>
    <row r="797" spans="1:9" ht="13.5" customHeight="1" x14ac:dyDescent="0.3">
      <c r="A797" s="131">
        <f t="shared" si="42"/>
        <v>26636</v>
      </c>
      <c r="B797" s="138" t="s">
        <v>1080</v>
      </c>
      <c r="C797" s="138"/>
      <c r="D797" s="131"/>
      <c r="E797" s="131" t="s">
        <v>123</v>
      </c>
      <c r="F797" s="15">
        <v>3</v>
      </c>
      <c r="G797" s="131">
        <v>1</v>
      </c>
      <c r="H797" s="131">
        <v>14</v>
      </c>
      <c r="I797" s="85"/>
    </row>
    <row r="798" spans="1:9" ht="13.5" customHeight="1" x14ac:dyDescent="0.3">
      <c r="A798" s="131">
        <f t="shared" si="42"/>
        <v>26650</v>
      </c>
      <c r="B798" s="138" t="s">
        <v>1081</v>
      </c>
      <c r="C798" s="138"/>
      <c r="D798" s="131"/>
      <c r="E798" s="131" t="s">
        <v>123</v>
      </c>
      <c r="F798" s="15">
        <v>3</v>
      </c>
      <c r="G798" s="131">
        <v>1</v>
      </c>
      <c r="H798" s="131">
        <v>14</v>
      </c>
      <c r="I798" s="85"/>
    </row>
    <row r="799" spans="1:9" ht="13.5" customHeight="1" x14ac:dyDescent="0.3">
      <c r="A799" s="131">
        <f t="shared" si="42"/>
        <v>26664</v>
      </c>
      <c r="B799" s="138" t="s">
        <v>1082</v>
      </c>
      <c r="C799" s="138"/>
      <c r="D799" s="131"/>
      <c r="E799" s="131" t="s">
        <v>123</v>
      </c>
      <c r="F799" s="15">
        <v>3</v>
      </c>
      <c r="G799" s="131">
        <v>1</v>
      </c>
      <c r="H799" s="131">
        <v>14</v>
      </c>
      <c r="I799" s="85"/>
    </row>
    <row r="800" spans="1:9" ht="13.5" customHeight="1" x14ac:dyDescent="0.3">
      <c r="A800" s="131">
        <f t="shared" si="42"/>
        <v>26678</v>
      </c>
      <c r="B800" s="138" t="s">
        <v>1083</v>
      </c>
      <c r="C800" s="138"/>
      <c r="D800" s="131"/>
      <c r="E800" s="131" t="s">
        <v>123</v>
      </c>
      <c r="F800" s="15">
        <v>3</v>
      </c>
      <c r="G800" s="131">
        <v>1</v>
      </c>
      <c r="H800" s="131">
        <v>14</v>
      </c>
      <c r="I800" s="85"/>
    </row>
    <row r="801" spans="1:10" ht="13.5" customHeight="1" x14ac:dyDescent="0.3">
      <c r="A801" s="131">
        <f t="shared" si="42"/>
        <v>26692</v>
      </c>
      <c r="B801" s="138"/>
      <c r="C801" s="138"/>
      <c r="D801" s="131"/>
      <c r="E801" s="131" t="s">
        <v>123</v>
      </c>
      <c r="F801" s="15">
        <v>3</v>
      </c>
      <c r="G801" s="131">
        <v>1</v>
      </c>
      <c r="H801" s="131">
        <v>8</v>
      </c>
      <c r="I801" s="85"/>
    </row>
    <row r="802" spans="1:10" ht="15.95" customHeight="1" x14ac:dyDescent="0.3">
      <c r="A802" s="169" t="s">
        <v>645</v>
      </c>
      <c r="B802" s="169"/>
      <c r="C802" s="169"/>
      <c r="D802" s="169"/>
      <c r="E802" s="169"/>
      <c r="F802" s="169"/>
      <c r="G802" s="169"/>
      <c r="H802" s="169"/>
      <c r="I802" s="94"/>
    </row>
    <row r="803" spans="1:10" ht="13.5" customHeight="1" thickBot="1" x14ac:dyDescent="0.35">
      <c r="A803" s="179" t="s">
        <v>514</v>
      </c>
      <c r="B803" s="179"/>
      <c r="C803" s="179"/>
      <c r="D803" s="179"/>
      <c r="E803" s="179"/>
      <c r="F803" s="179"/>
      <c r="G803" s="179"/>
      <c r="H803" s="179"/>
      <c r="I803" s="88"/>
    </row>
    <row r="804" spans="1:10" ht="15" customHeight="1" x14ac:dyDescent="0.3">
      <c r="A804" s="71">
        <f>A801+(G801*H801)</f>
        <v>26700</v>
      </c>
      <c r="B804" s="72" t="s">
        <v>203</v>
      </c>
      <c r="C804" s="119" t="s">
        <v>572</v>
      </c>
      <c r="D804" s="73"/>
      <c r="E804" s="74" t="s">
        <v>123</v>
      </c>
      <c r="F804" s="74" t="s">
        <v>1045</v>
      </c>
      <c r="G804" s="74">
        <f t="shared" ref="G804:G818" si="43">IF(OR(E804="U16", E804="S16"),1,IF(E804="TS",6,2))</f>
        <v>1</v>
      </c>
      <c r="H804" s="75">
        <v>1</v>
      </c>
      <c r="I804" s="85"/>
    </row>
    <row r="805" spans="1:10" ht="15" customHeight="1" x14ac:dyDescent="0.3">
      <c r="A805" s="76">
        <f t="shared" ref="A805:A823" si="44">A804+(G804*H804)</f>
        <v>26701</v>
      </c>
      <c r="B805" s="11" t="s">
        <v>204</v>
      </c>
      <c r="C805" s="138" t="s">
        <v>577</v>
      </c>
      <c r="D805" s="33"/>
      <c r="E805" s="15" t="s">
        <v>123</v>
      </c>
      <c r="F805" s="15" t="s">
        <v>1045</v>
      </c>
      <c r="G805" s="15">
        <f t="shared" si="43"/>
        <v>1</v>
      </c>
      <c r="H805" s="77">
        <v>1</v>
      </c>
      <c r="I805" s="85"/>
    </row>
    <row r="806" spans="1:10" ht="48.75" customHeight="1" x14ac:dyDescent="0.3">
      <c r="A806" s="76">
        <f t="shared" si="44"/>
        <v>26702</v>
      </c>
      <c r="B806" s="11" t="s">
        <v>207</v>
      </c>
      <c r="C806" s="138" t="s">
        <v>586</v>
      </c>
      <c r="D806" s="33"/>
      <c r="E806" s="15" t="s">
        <v>123</v>
      </c>
      <c r="F806" s="15" t="s">
        <v>1044</v>
      </c>
      <c r="G806" s="15">
        <f t="shared" si="43"/>
        <v>1</v>
      </c>
      <c r="H806" s="77">
        <v>1</v>
      </c>
      <c r="I806" s="85"/>
    </row>
    <row r="807" spans="1:10" ht="15" customHeight="1" x14ac:dyDescent="0.3">
      <c r="A807" s="76">
        <f t="shared" si="44"/>
        <v>26703</v>
      </c>
      <c r="B807" s="11" t="s">
        <v>578</v>
      </c>
      <c r="C807" s="138"/>
      <c r="D807" s="33"/>
      <c r="E807" s="15" t="s">
        <v>123</v>
      </c>
      <c r="F807" s="15" t="s">
        <v>1044</v>
      </c>
      <c r="G807" s="15">
        <f>IF(OR(E807="U16", E807="S16"),1,IF(E807="TS",6,2))</f>
        <v>1</v>
      </c>
      <c r="H807" s="77">
        <v>1</v>
      </c>
      <c r="I807" s="85"/>
    </row>
    <row r="808" spans="1:10" ht="15" customHeight="1" thickBot="1" x14ac:dyDescent="0.35">
      <c r="A808" s="78">
        <f t="shared" si="44"/>
        <v>26704</v>
      </c>
      <c r="B808" s="79" t="s">
        <v>41</v>
      </c>
      <c r="C808" s="126"/>
      <c r="D808" s="80"/>
      <c r="E808" s="81" t="s">
        <v>123</v>
      </c>
      <c r="F808" s="81" t="s">
        <v>1044</v>
      </c>
      <c r="G808" s="81">
        <f>IF(OR(E808="U16", E808="S16"),1,IF(E808="TS",6,2))</f>
        <v>1</v>
      </c>
      <c r="H808" s="82">
        <v>2</v>
      </c>
      <c r="I808" s="85"/>
    </row>
    <row r="809" spans="1:10" ht="15" customHeight="1" x14ac:dyDescent="0.3">
      <c r="A809" s="71">
        <f t="shared" si="44"/>
        <v>26706</v>
      </c>
      <c r="B809" s="72" t="s">
        <v>217</v>
      </c>
      <c r="C809" s="119" t="s">
        <v>574</v>
      </c>
      <c r="D809" s="73"/>
      <c r="E809" s="74" t="s">
        <v>123</v>
      </c>
      <c r="F809" s="74" t="s">
        <v>1044</v>
      </c>
      <c r="G809" s="74">
        <f t="shared" si="43"/>
        <v>1</v>
      </c>
      <c r="H809" s="75">
        <v>1</v>
      </c>
      <c r="I809" s="85"/>
    </row>
    <row r="810" spans="1:10" ht="15" customHeight="1" x14ac:dyDescent="0.3">
      <c r="A810" s="76">
        <f t="shared" si="44"/>
        <v>26707</v>
      </c>
      <c r="B810" s="11" t="s">
        <v>205</v>
      </c>
      <c r="C810" s="138" t="s">
        <v>577</v>
      </c>
      <c r="D810" s="33"/>
      <c r="E810" s="15" t="s">
        <v>123</v>
      </c>
      <c r="F810" s="15" t="s">
        <v>1044</v>
      </c>
      <c r="G810" s="15">
        <f t="shared" si="43"/>
        <v>1</v>
      </c>
      <c r="H810" s="77">
        <v>1</v>
      </c>
      <c r="I810" s="85"/>
    </row>
    <row r="811" spans="1:10" ht="58.5" customHeight="1" x14ac:dyDescent="0.3">
      <c r="A811" s="76">
        <f t="shared" si="44"/>
        <v>26708</v>
      </c>
      <c r="B811" s="11" t="s">
        <v>207</v>
      </c>
      <c r="C811" s="138" t="s">
        <v>586</v>
      </c>
      <c r="D811" s="33"/>
      <c r="E811" s="15" t="s">
        <v>123</v>
      </c>
      <c r="F811" s="15" t="s">
        <v>1044</v>
      </c>
      <c r="G811" s="15">
        <f t="shared" si="43"/>
        <v>1</v>
      </c>
      <c r="H811" s="77">
        <v>1</v>
      </c>
      <c r="I811" s="85"/>
    </row>
    <row r="812" spans="1:10" ht="15" customHeight="1" x14ac:dyDescent="0.3">
      <c r="A812" s="76">
        <f t="shared" si="44"/>
        <v>26709</v>
      </c>
      <c r="B812" s="11" t="s">
        <v>578</v>
      </c>
      <c r="C812" s="138"/>
      <c r="D812" s="33"/>
      <c r="E812" s="15" t="s">
        <v>123</v>
      </c>
      <c r="F812" s="15" t="s">
        <v>1044</v>
      </c>
      <c r="G812" s="15">
        <f t="shared" si="43"/>
        <v>1</v>
      </c>
      <c r="H812" s="77">
        <v>1</v>
      </c>
      <c r="I812" s="85"/>
    </row>
    <row r="813" spans="1:10" ht="15" customHeight="1" thickBot="1" x14ac:dyDescent="0.35">
      <c r="A813" s="78">
        <f t="shared" si="44"/>
        <v>26710</v>
      </c>
      <c r="B813" s="79"/>
      <c r="C813" s="126"/>
      <c r="D813" s="80"/>
      <c r="E813" s="81" t="s">
        <v>123</v>
      </c>
      <c r="F813" s="81" t="s">
        <v>1044</v>
      </c>
      <c r="G813" s="81">
        <f t="shared" si="43"/>
        <v>1</v>
      </c>
      <c r="H813" s="82">
        <v>2</v>
      </c>
      <c r="I813" s="85"/>
    </row>
    <row r="814" spans="1:10" ht="15" customHeight="1" x14ac:dyDescent="0.3">
      <c r="A814" s="71">
        <f t="shared" si="44"/>
        <v>26712</v>
      </c>
      <c r="B814" s="72" t="s">
        <v>573</v>
      </c>
      <c r="C814" s="119" t="s">
        <v>575</v>
      </c>
      <c r="D814" s="73"/>
      <c r="E814" s="74" t="s">
        <v>123</v>
      </c>
      <c r="F814" s="74" t="s">
        <v>1044</v>
      </c>
      <c r="G814" s="74">
        <f t="shared" si="43"/>
        <v>1</v>
      </c>
      <c r="H814" s="75">
        <v>1</v>
      </c>
      <c r="I814" s="85"/>
      <c r="J814" s="139" t="s">
        <v>41</v>
      </c>
    </row>
    <row r="815" spans="1:10" ht="15" customHeight="1" x14ac:dyDescent="0.3">
      <c r="A815" s="76">
        <f t="shared" si="44"/>
        <v>26713</v>
      </c>
      <c r="B815" s="11" t="s">
        <v>206</v>
      </c>
      <c r="C815" s="138" t="s">
        <v>577</v>
      </c>
      <c r="D815" s="33"/>
      <c r="E815" s="15" t="s">
        <v>123</v>
      </c>
      <c r="F815" s="15" t="s">
        <v>1044</v>
      </c>
      <c r="G815" s="15">
        <f t="shared" si="43"/>
        <v>1</v>
      </c>
      <c r="H815" s="77">
        <v>1</v>
      </c>
      <c r="I815" s="85"/>
    </row>
    <row r="816" spans="1:10" ht="50.25" customHeight="1" x14ac:dyDescent="0.3">
      <c r="A816" s="76">
        <f t="shared" si="44"/>
        <v>26714</v>
      </c>
      <c r="B816" s="11" t="s">
        <v>207</v>
      </c>
      <c r="C816" s="138" t="s">
        <v>586</v>
      </c>
      <c r="D816" s="33"/>
      <c r="E816" s="15" t="s">
        <v>123</v>
      </c>
      <c r="F816" s="15" t="s">
        <v>1044</v>
      </c>
      <c r="G816" s="15">
        <f t="shared" si="43"/>
        <v>1</v>
      </c>
      <c r="H816" s="77">
        <v>1</v>
      </c>
      <c r="I816" s="85"/>
    </row>
    <row r="817" spans="1:9" ht="15" customHeight="1" x14ac:dyDescent="0.3">
      <c r="A817" s="76">
        <f t="shared" si="44"/>
        <v>26715</v>
      </c>
      <c r="B817" s="11" t="s">
        <v>578</v>
      </c>
      <c r="C817" s="138"/>
      <c r="D817" s="33"/>
      <c r="E817" s="15" t="s">
        <v>123</v>
      </c>
      <c r="F817" s="15" t="s">
        <v>1044</v>
      </c>
      <c r="G817" s="15">
        <f t="shared" si="43"/>
        <v>1</v>
      </c>
      <c r="H817" s="77">
        <v>1</v>
      </c>
      <c r="I817" s="85"/>
    </row>
    <row r="818" spans="1:9" ht="15" customHeight="1" thickBot="1" x14ac:dyDescent="0.35">
      <c r="A818" s="78">
        <f t="shared" si="44"/>
        <v>26716</v>
      </c>
      <c r="B818" s="79"/>
      <c r="C818" s="126"/>
      <c r="D818" s="80"/>
      <c r="E818" s="81" t="s">
        <v>123</v>
      </c>
      <c r="F818" s="81" t="s">
        <v>1044</v>
      </c>
      <c r="G818" s="81">
        <f t="shared" si="43"/>
        <v>1</v>
      </c>
      <c r="H818" s="82">
        <v>2</v>
      </c>
      <c r="I818" s="85"/>
    </row>
    <row r="819" spans="1:9" ht="15" customHeight="1" x14ac:dyDescent="0.3">
      <c r="A819" s="71">
        <f t="shared" si="44"/>
        <v>26718</v>
      </c>
      <c r="B819" s="72" t="s">
        <v>218</v>
      </c>
      <c r="C819" s="119" t="s">
        <v>576</v>
      </c>
      <c r="D819" s="73"/>
      <c r="E819" s="74" t="s">
        <v>123</v>
      </c>
      <c r="F819" s="74" t="s">
        <v>1044</v>
      </c>
      <c r="G819" s="74">
        <f>IF(OR(E819="U16", E819="S16"),1,IF(E819="TS",6,2))</f>
        <v>1</v>
      </c>
      <c r="H819" s="75">
        <v>1</v>
      </c>
      <c r="I819" s="85"/>
    </row>
    <row r="820" spans="1:9" ht="15" customHeight="1" x14ac:dyDescent="0.3">
      <c r="A820" s="76">
        <f t="shared" si="44"/>
        <v>26719</v>
      </c>
      <c r="B820" s="11" t="s">
        <v>219</v>
      </c>
      <c r="C820" s="138" t="s">
        <v>577</v>
      </c>
      <c r="D820" s="33"/>
      <c r="E820" s="15" t="s">
        <v>123</v>
      </c>
      <c r="F820" s="15" t="s">
        <v>1044</v>
      </c>
      <c r="G820" s="15">
        <f>IF(OR(E820="U16", E820="S16"),1,IF(E820="TS",6,2))</f>
        <v>1</v>
      </c>
      <c r="H820" s="77">
        <v>1</v>
      </c>
      <c r="I820" s="85"/>
    </row>
    <row r="821" spans="1:9" ht="42" customHeight="1" x14ac:dyDescent="0.3">
      <c r="A821" s="76">
        <f t="shared" si="44"/>
        <v>26720</v>
      </c>
      <c r="B821" s="11" t="s">
        <v>207</v>
      </c>
      <c r="C821" s="138" t="s">
        <v>586</v>
      </c>
      <c r="D821" s="33"/>
      <c r="E821" s="15" t="s">
        <v>123</v>
      </c>
      <c r="F821" s="15" t="s">
        <v>1044</v>
      </c>
      <c r="G821" s="15">
        <f>IF(OR(E821="U16", E821="S16"),1,IF(E821="TS",6,2))</f>
        <v>1</v>
      </c>
      <c r="H821" s="77">
        <v>1</v>
      </c>
      <c r="I821" s="85"/>
    </row>
    <row r="822" spans="1:9" ht="15" customHeight="1" x14ac:dyDescent="0.3">
      <c r="A822" s="76">
        <f t="shared" si="44"/>
        <v>26721</v>
      </c>
      <c r="B822" s="11" t="s">
        <v>578</v>
      </c>
      <c r="C822" s="138"/>
      <c r="D822" s="33"/>
      <c r="E822" s="15" t="s">
        <v>123</v>
      </c>
      <c r="F822" s="15" t="s">
        <v>1044</v>
      </c>
      <c r="G822" s="15">
        <f>IF(OR(E822="U16", E822="S16"),1,IF(E822="TS",6,2))</f>
        <v>1</v>
      </c>
      <c r="H822" s="77">
        <v>1</v>
      </c>
      <c r="I822" s="85"/>
    </row>
    <row r="823" spans="1:9" ht="15" customHeight="1" thickBot="1" x14ac:dyDescent="0.35">
      <c r="A823" s="78">
        <f t="shared" si="44"/>
        <v>26722</v>
      </c>
      <c r="B823" s="79"/>
      <c r="C823" s="126"/>
      <c r="D823" s="83"/>
      <c r="E823" s="81" t="s">
        <v>123</v>
      </c>
      <c r="F823" s="81" t="s">
        <v>1044</v>
      </c>
      <c r="G823" s="81">
        <f>IF(OR(E823="U16", E823="S16"),1,IF(E823="TS",6,2))</f>
        <v>1</v>
      </c>
      <c r="H823" s="82">
        <v>2</v>
      </c>
      <c r="I823" s="85"/>
    </row>
    <row r="824" spans="1:9" ht="13.5" customHeight="1" x14ac:dyDescent="0.3">
      <c r="A824" s="178" t="s">
        <v>384</v>
      </c>
      <c r="B824" s="178"/>
      <c r="C824" s="178"/>
      <c r="D824" s="178"/>
      <c r="E824" s="178"/>
      <c r="F824" s="178"/>
      <c r="G824" s="178"/>
      <c r="H824" s="178"/>
      <c r="I824" s="88"/>
    </row>
    <row r="825" spans="1:9" ht="13.5" customHeight="1" x14ac:dyDescent="0.3">
      <c r="A825" s="131">
        <f>A823+(G823*H823)</f>
        <v>26724</v>
      </c>
      <c r="B825" s="11" t="s">
        <v>389</v>
      </c>
      <c r="C825" s="138" t="s">
        <v>571</v>
      </c>
      <c r="D825" s="33"/>
      <c r="E825" s="15" t="s">
        <v>123</v>
      </c>
      <c r="F825" s="15" t="s">
        <v>1044</v>
      </c>
      <c r="G825" s="15">
        <f t="shared" ref="G825:G833" si="45">IF(OR(E825="U16", E825="S16"),1,IF(E825="TS",6,2))</f>
        <v>1</v>
      </c>
      <c r="H825" s="131">
        <v>1</v>
      </c>
      <c r="I825" s="85"/>
    </row>
    <row r="826" spans="1:9" ht="13.5" customHeight="1" x14ac:dyDescent="0.3">
      <c r="A826" s="131">
        <f>A825+(G825*H825)</f>
        <v>26725</v>
      </c>
      <c r="B826" s="11" t="s">
        <v>390</v>
      </c>
      <c r="C826" s="138" t="s">
        <v>569</v>
      </c>
      <c r="D826" s="33"/>
      <c r="E826" s="15" t="s">
        <v>123</v>
      </c>
      <c r="F826" s="15" t="s">
        <v>1044</v>
      </c>
      <c r="G826" s="15">
        <f t="shared" si="45"/>
        <v>1</v>
      </c>
      <c r="H826" s="131">
        <v>1</v>
      </c>
      <c r="I826" s="85"/>
    </row>
    <row r="827" spans="1:9" ht="13.5" customHeight="1" x14ac:dyDescent="0.3">
      <c r="A827" s="131">
        <f t="shared" ref="A827:A833" si="46">A826+(G826*H826)</f>
        <v>26726</v>
      </c>
      <c r="B827" s="11" t="s">
        <v>391</v>
      </c>
      <c r="C827" s="138" t="s">
        <v>570</v>
      </c>
      <c r="D827" s="33"/>
      <c r="E827" s="15" t="s">
        <v>123</v>
      </c>
      <c r="F827" s="15" t="s">
        <v>1044</v>
      </c>
      <c r="G827" s="15">
        <f t="shared" si="45"/>
        <v>1</v>
      </c>
      <c r="H827" s="131">
        <v>1</v>
      </c>
      <c r="I827" s="85"/>
    </row>
    <row r="828" spans="1:9" ht="13.5" customHeight="1" x14ac:dyDescent="0.3">
      <c r="A828" s="131">
        <f t="shared" si="46"/>
        <v>26727</v>
      </c>
      <c r="B828" s="11" t="s">
        <v>392</v>
      </c>
      <c r="C828" s="138" t="s">
        <v>584</v>
      </c>
      <c r="D828" s="33"/>
      <c r="E828" s="15" t="s">
        <v>123</v>
      </c>
      <c r="F828" s="15" t="s">
        <v>1044</v>
      </c>
      <c r="G828" s="15">
        <f t="shared" si="45"/>
        <v>1</v>
      </c>
      <c r="H828" s="131">
        <v>1</v>
      </c>
      <c r="I828" s="85"/>
    </row>
    <row r="829" spans="1:9" ht="13.5" customHeight="1" x14ac:dyDescent="0.3">
      <c r="A829" s="131">
        <f t="shared" si="46"/>
        <v>26728</v>
      </c>
      <c r="B829" s="11" t="s">
        <v>385</v>
      </c>
      <c r="C829" s="138" t="s">
        <v>571</v>
      </c>
      <c r="D829" s="33"/>
      <c r="E829" s="15" t="s">
        <v>123</v>
      </c>
      <c r="F829" s="15" t="s">
        <v>1044</v>
      </c>
      <c r="G829" s="15">
        <f t="shared" si="45"/>
        <v>1</v>
      </c>
      <c r="H829" s="131">
        <v>1</v>
      </c>
      <c r="I829" s="85"/>
    </row>
    <row r="830" spans="1:9" ht="13.5" customHeight="1" x14ac:dyDescent="0.3">
      <c r="A830" s="131">
        <f t="shared" si="46"/>
        <v>26729</v>
      </c>
      <c r="B830" s="11" t="s">
        <v>386</v>
      </c>
      <c r="C830" s="138" t="s">
        <v>569</v>
      </c>
      <c r="D830" s="33"/>
      <c r="E830" s="15" t="s">
        <v>123</v>
      </c>
      <c r="F830" s="15" t="s">
        <v>1044</v>
      </c>
      <c r="G830" s="15">
        <f t="shared" si="45"/>
        <v>1</v>
      </c>
      <c r="H830" s="131">
        <v>1</v>
      </c>
      <c r="I830" s="85"/>
    </row>
    <row r="831" spans="1:9" ht="13.5" customHeight="1" x14ac:dyDescent="0.3">
      <c r="A831" s="131">
        <f t="shared" si="46"/>
        <v>26730</v>
      </c>
      <c r="B831" s="11" t="s">
        <v>387</v>
      </c>
      <c r="C831" s="138" t="s">
        <v>570</v>
      </c>
      <c r="D831" s="33"/>
      <c r="E831" s="15" t="s">
        <v>123</v>
      </c>
      <c r="F831" s="15" t="s">
        <v>1044</v>
      </c>
      <c r="G831" s="15">
        <f t="shared" si="45"/>
        <v>1</v>
      </c>
      <c r="H831" s="131">
        <v>1</v>
      </c>
      <c r="I831" s="85"/>
    </row>
    <row r="832" spans="1:9" ht="13.5" customHeight="1" x14ac:dyDescent="0.3">
      <c r="A832" s="131">
        <f t="shared" si="46"/>
        <v>26731</v>
      </c>
      <c r="B832" s="11" t="s">
        <v>388</v>
      </c>
      <c r="C832" s="138" t="s">
        <v>584</v>
      </c>
      <c r="D832" s="33"/>
      <c r="E832" s="15" t="s">
        <v>123</v>
      </c>
      <c r="F832" s="15" t="s">
        <v>1044</v>
      </c>
      <c r="G832" s="15">
        <f t="shared" si="45"/>
        <v>1</v>
      </c>
      <c r="H832" s="131">
        <v>1</v>
      </c>
      <c r="I832" s="85"/>
    </row>
    <row r="833" spans="1:9" ht="13.5" customHeight="1" x14ac:dyDescent="0.3">
      <c r="A833" s="131">
        <f t="shared" si="46"/>
        <v>26732</v>
      </c>
      <c r="B833" s="11"/>
      <c r="C833" s="138"/>
      <c r="D833" s="131"/>
      <c r="E833" s="15" t="s">
        <v>123</v>
      </c>
      <c r="F833" s="15" t="s">
        <v>1044</v>
      </c>
      <c r="G833" s="15">
        <f t="shared" si="45"/>
        <v>1</v>
      </c>
      <c r="H833" s="131">
        <v>12</v>
      </c>
      <c r="I833" s="85"/>
    </row>
    <row r="834" spans="1:9" ht="13.5" customHeight="1" x14ac:dyDescent="0.3">
      <c r="A834" s="162" t="s">
        <v>511</v>
      </c>
      <c r="B834" s="162"/>
      <c r="C834" s="162"/>
      <c r="D834" s="162"/>
      <c r="E834" s="162"/>
      <c r="F834" s="162"/>
      <c r="G834" s="162"/>
      <c r="H834" s="162"/>
      <c r="I834" s="88"/>
    </row>
    <row r="835" spans="1:9" ht="13.5" customHeight="1" x14ac:dyDescent="0.3">
      <c r="A835" s="181" t="s">
        <v>512</v>
      </c>
      <c r="B835" s="181"/>
      <c r="C835" s="181"/>
      <c r="D835" s="181"/>
      <c r="E835" s="181"/>
      <c r="F835" s="181"/>
      <c r="G835" s="181"/>
      <c r="H835" s="181"/>
      <c r="I835" s="95"/>
    </row>
    <row r="836" spans="1:9" ht="13.5" customHeight="1" x14ac:dyDescent="0.3">
      <c r="A836" s="131">
        <f>A833+G833*H833</f>
        <v>26744</v>
      </c>
      <c r="B836" s="12" t="s">
        <v>223</v>
      </c>
      <c r="C836" s="138"/>
      <c r="D836" s="131"/>
      <c r="E836" s="15" t="s">
        <v>123</v>
      </c>
      <c r="F836" s="15" t="s">
        <v>1044</v>
      </c>
      <c r="G836" s="15">
        <f>IF(OR(E836="U16", E836="S16"),1,IF(E836="TS",6,2))</f>
        <v>1</v>
      </c>
      <c r="H836" s="131">
        <v>1</v>
      </c>
      <c r="I836" s="85"/>
    </row>
    <row r="837" spans="1:9" ht="13.5" customHeight="1" x14ac:dyDescent="0.3">
      <c r="A837" s="131">
        <f>A836+(G836*H836)</f>
        <v>26745</v>
      </c>
      <c r="B837" s="12" t="s">
        <v>224</v>
      </c>
      <c r="C837" s="138"/>
      <c r="D837" s="131"/>
      <c r="E837" s="15" t="s">
        <v>123</v>
      </c>
      <c r="F837" s="15" t="s">
        <v>1044</v>
      </c>
      <c r="G837" s="15">
        <f>IF(OR(E837="U16", E837="S16"),1,IF(E837="TS",6,2))</f>
        <v>1</v>
      </c>
      <c r="H837" s="131">
        <v>1</v>
      </c>
      <c r="I837" s="85"/>
    </row>
    <row r="838" spans="1:9" ht="13.5" customHeight="1" x14ac:dyDescent="0.3">
      <c r="A838" s="131">
        <f>A837+(G837*H837)</f>
        <v>26746</v>
      </c>
      <c r="B838" s="12" t="s">
        <v>225</v>
      </c>
      <c r="C838" s="138"/>
      <c r="D838" s="131"/>
      <c r="E838" s="15" t="s">
        <v>123</v>
      </c>
      <c r="F838" s="15" t="s">
        <v>1044</v>
      </c>
      <c r="G838" s="15">
        <f>IF(OR(E838="U16", E838="S16"),1,IF(E838="TS",6,2))</f>
        <v>1</v>
      </c>
      <c r="H838" s="131">
        <v>1</v>
      </c>
      <c r="I838" s="85"/>
    </row>
    <row r="839" spans="1:9" ht="13.5" customHeight="1" x14ac:dyDescent="0.3">
      <c r="A839" s="131">
        <f>A838+(G838*H838)</f>
        <v>26747</v>
      </c>
      <c r="B839" s="12" t="s">
        <v>226</v>
      </c>
      <c r="C839" s="138"/>
      <c r="D839" s="131"/>
      <c r="E839" s="15" t="s">
        <v>123</v>
      </c>
      <c r="F839" s="15" t="s">
        <v>1044</v>
      </c>
      <c r="G839" s="15">
        <f>IF(OR(E839="U16", E839="S16"),1,IF(E839="TS",6,2))</f>
        <v>1</v>
      </c>
      <c r="H839" s="131">
        <v>1</v>
      </c>
      <c r="I839" s="85"/>
    </row>
    <row r="840" spans="1:9" ht="13.5" customHeight="1" x14ac:dyDescent="0.3">
      <c r="A840" s="181" t="s">
        <v>513</v>
      </c>
      <c r="B840" s="181"/>
      <c r="C840" s="181"/>
      <c r="D840" s="181"/>
      <c r="E840" s="181"/>
      <c r="F840" s="181"/>
      <c r="G840" s="181"/>
      <c r="H840" s="181"/>
      <c r="I840" s="95"/>
    </row>
    <row r="841" spans="1:9" ht="13.5" customHeight="1" x14ac:dyDescent="0.3">
      <c r="A841" s="131">
        <f>A839+(G839*H839)</f>
        <v>26748</v>
      </c>
      <c r="B841" s="12" t="s">
        <v>227</v>
      </c>
      <c r="C841" s="138"/>
      <c r="D841" s="131"/>
      <c r="E841" s="15" t="s">
        <v>123</v>
      </c>
      <c r="F841" s="15" t="s">
        <v>1044</v>
      </c>
      <c r="G841" s="15">
        <f>IF(OR(E841="U16", E841="S16"),1,IF(E841="TS",6,2))</f>
        <v>1</v>
      </c>
      <c r="H841" s="131">
        <v>1</v>
      </c>
      <c r="I841" s="85"/>
    </row>
    <row r="842" spans="1:9" ht="13.5" customHeight="1" x14ac:dyDescent="0.3">
      <c r="A842" s="131">
        <f>A841+(G841*H841)</f>
        <v>26749</v>
      </c>
      <c r="B842" s="12" t="s">
        <v>228</v>
      </c>
      <c r="C842" s="138"/>
      <c r="D842" s="131"/>
      <c r="E842" s="15" t="s">
        <v>123</v>
      </c>
      <c r="F842" s="15" t="s">
        <v>1044</v>
      </c>
      <c r="G842" s="15">
        <f>IF(OR(E842="U16", E842="S16"),1,IF(E842="TS",6,2))</f>
        <v>1</v>
      </c>
      <c r="H842" s="131">
        <v>1</v>
      </c>
      <c r="I842" s="85"/>
    </row>
    <row r="843" spans="1:9" ht="13.5" customHeight="1" x14ac:dyDescent="0.3">
      <c r="A843" s="131">
        <f>A842+(G842*H842)</f>
        <v>26750</v>
      </c>
      <c r="B843" s="12" t="s">
        <v>229</v>
      </c>
      <c r="C843" s="138"/>
      <c r="D843" s="131"/>
      <c r="E843" s="15" t="s">
        <v>123</v>
      </c>
      <c r="F843" s="15" t="s">
        <v>1044</v>
      </c>
      <c r="G843" s="15">
        <f>IF(OR(E843="U16", E843="S16"),1,IF(E843="TS",6,2))</f>
        <v>1</v>
      </c>
      <c r="H843" s="131">
        <v>1</v>
      </c>
      <c r="I843" s="85"/>
    </row>
    <row r="844" spans="1:9" ht="13.5" customHeight="1" x14ac:dyDescent="0.3">
      <c r="A844" s="131">
        <f>A843+(G843*H843)</f>
        <v>26751</v>
      </c>
      <c r="B844" s="12" t="s">
        <v>230</v>
      </c>
      <c r="C844" s="138"/>
      <c r="D844" s="131"/>
      <c r="E844" s="15" t="s">
        <v>123</v>
      </c>
      <c r="F844" s="15" t="s">
        <v>1044</v>
      </c>
      <c r="G844" s="15">
        <f>IF(OR(E844="U16", E844="S16"),1,IF(E844="TS",6,2))</f>
        <v>1</v>
      </c>
      <c r="H844" s="131">
        <v>1</v>
      </c>
      <c r="I844" s="85"/>
    </row>
    <row r="845" spans="1:9" ht="13.5" customHeight="1" x14ac:dyDescent="0.3">
      <c r="A845" s="131">
        <f>A844+(G844*H844)</f>
        <v>26752</v>
      </c>
      <c r="B845" s="12"/>
      <c r="C845" s="138"/>
      <c r="D845" s="131"/>
      <c r="E845" s="15" t="s">
        <v>123</v>
      </c>
      <c r="F845" s="15" t="s">
        <v>1044</v>
      </c>
      <c r="G845" s="15">
        <f>IF(OR(E845="U16", E845="S16"),1,IF(E845="TS",6,2))</f>
        <v>1</v>
      </c>
      <c r="H845" s="131">
        <v>12</v>
      </c>
      <c r="I845" s="85"/>
    </row>
    <row r="846" spans="1:9" ht="13.5" customHeight="1" x14ac:dyDescent="0.3">
      <c r="A846" s="162" t="s">
        <v>393</v>
      </c>
      <c r="B846" s="162"/>
      <c r="C846" s="162"/>
      <c r="D846" s="162"/>
      <c r="E846" s="162"/>
      <c r="F846" s="162"/>
      <c r="G846" s="162"/>
      <c r="H846" s="162"/>
      <c r="I846" s="88"/>
    </row>
    <row r="847" spans="1:9" ht="13.5" customHeight="1" x14ac:dyDescent="0.3">
      <c r="A847" s="131">
        <f>A845+(G845*H845)</f>
        <v>26764</v>
      </c>
      <c r="B847" s="138" t="s">
        <v>475</v>
      </c>
      <c r="C847" s="138"/>
      <c r="D847" s="131"/>
      <c r="E847" s="15" t="s">
        <v>123</v>
      </c>
      <c r="F847" s="15" t="s">
        <v>1044</v>
      </c>
      <c r="G847" s="15">
        <f t="shared" ref="G847:G910" si="47">IF(OR(E847="U16", E847="S16"),1,IF(E847="TS",6,2))</f>
        <v>1</v>
      </c>
      <c r="H847" s="131">
        <v>1</v>
      </c>
      <c r="I847" s="85"/>
    </row>
    <row r="848" spans="1:9" ht="13.5" customHeight="1" x14ac:dyDescent="0.3">
      <c r="A848" s="131">
        <f t="shared" ref="A848:A911" si="48">A847+(G847*H847)</f>
        <v>26765</v>
      </c>
      <c r="B848" s="138" t="s">
        <v>476</v>
      </c>
      <c r="C848" s="138"/>
      <c r="D848" s="131"/>
      <c r="E848" s="15" t="s">
        <v>123</v>
      </c>
      <c r="F848" s="15" t="s">
        <v>1044</v>
      </c>
      <c r="G848" s="15">
        <f>IF(OR(E848="U16", E848="S16"),1,IF(E848="TS",6,2))</f>
        <v>1</v>
      </c>
      <c r="H848" s="131">
        <v>1</v>
      </c>
      <c r="I848" s="85"/>
    </row>
    <row r="849" spans="1:9" ht="13.5" customHeight="1" x14ac:dyDescent="0.3">
      <c r="A849" s="131">
        <f t="shared" si="48"/>
        <v>26766</v>
      </c>
      <c r="B849" s="138" t="s">
        <v>525</v>
      </c>
      <c r="C849" s="138"/>
      <c r="D849" s="33"/>
      <c r="E849" s="15" t="s">
        <v>123</v>
      </c>
      <c r="F849" s="15" t="s">
        <v>1044</v>
      </c>
      <c r="G849" s="15">
        <f t="shared" si="47"/>
        <v>1</v>
      </c>
      <c r="H849" s="131">
        <v>1</v>
      </c>
      <c r="I849" s="85"/>
    </row>
    <row r="850" spans="1:9" ht="13.5" customHeight="1" x14ac:dyDescent="0.3">
      <c r="A850" s="131">
        <f t="shared" si="48"/>
        <v>26767</v>
      </c>
      <c r="B850" s="138" t="s">
        <v>443</v>
      </c>
      <c r="C850" s="138"/>
      <c r="D850" s="33"/>
      <c r="E850" s="15" t="s">
        <v>123</v>
      </c>
      <c r="F850" s="15" t="s">
        <v>1044</v>
      </c>
      <c r="G850" s="15">
        <f t="shared" si="47"/>
        <v>1</v>
      </c>
      <c r="H850" s="131">
        <v>1</v>
      </c>
      <c r="I850" s="85"/>
    </row>
    <row r="851" spans="1:9" ht="13.5" customHeight="1" x14ac:dyDescent="0.3">
      <c r="A851" s="131">
        <f t="shared" si="48"/>
        <v>26768</v>
      </c>
      <c r="B851" s="138" t="s">
        <v>444</v>
      </c>
      <c r="C851" s="138"/>
      <c r="D851" s="33"/>
      <c r="E851" s="15" t="s">
        <v>123</v>
      </c>
      <c r="F851" s="15" t="s">
        <v>1044</v>
      </c>
      <c r="G851" s="15">
        <f t="shared" si="47"/>
        <v>1</v>
      </c>
      <c r="H851" s="131">
        <v>1</v>
      </c>
      <c r="I851" s="85"/>
    </row>
    <row r="852" spans="1:9" ht="13.5" customHeight="1" x14ac:dyDescent="0.3">
      <c r="A852" s="131">
        <f t="shared" si="48"/>
        <v>26769</v>
      </c>
      <c r="B852" s="138" t="s">
        <v>445</v>
      </c>
      <c r="C852" s="138"/>
      <c r="D852" s="33"/>
      <c r="E852" s="15" t="s">
        <v>123</v>
      </c>
      <c r="F852" s="15" t="s">
        <v>1044</v>
      </c>
      <c r="G852" s="15">
        <f t="shared" si="47"/>
        <v>1</v>
      </c>
      <c r="H852" s="131">
        <v>1</v>
      </c>
      <c r="I852" s="85"/>
    </row>
    <row r="853" spans="1:9" ht="13.5" customHeight="1" x14ac:dyDescent="0.3">
      <c r="A853" s="131">
        <f t="shared" si="48"/>
        <v>26770</v>
      </c>
      <c r="B853" s="138" t="s">
        <v>446</v>
      </c>
      <c r="C853" s="138"/>
      <c r="D853" s="33"/>
      <c r="E853" s="15" t="s">
        <v>123</v>
      </c>
      <c r="F853" s="15" t="s">
        <v>1044</v>
      </c>
      <c r="G853" s="15">
        <f t="shared" si="47"/>
        <v>1</v>
      </c>
      <c r="H853" s="131">
        <v>1</v>
      </c>
      <c r="I853" s="85"/>
    </row>
    <row r="854" spans="1:9" ht="13.5" customHeight="1" x14ac:dyDescent="0.3">
      <c r="A854" s="131">
        <f t="shared" si="48"/>
        <v>26771</v>
      </c>
      <c r="B854" s="138" t="s">
        <v>447</v>
      </c>
      <c r="C854" s="138"/>
      <c r="D854" s="33"/>
      <c r="E854" s="15" t="s">
        <v>123</v>
      </c>
      <c r="F854" s="15" t="s">
        <v>1044</v>
      </c>
      <c r="G854" s="15">
        <f t="shared" si="47"/>
        <v>1</v>
      </c>
      <c r="H854" s="131">
        <v>1</v>
      </c>
      <c r="I854" s="85"/>
    </row>
    <row r="855" spans="1:9" ht="13.5" customHeight="1" x14ac:dyDescent="0.3">
      <c r="A855" s="131">
        <f t="shared" si="48"/>
        <v>26772</v>
      </c>
      <c r="B855" s="138" t="s">
        <v>448</v>
      </c>
      <c r="C855" s="138"/>
      <c r="D855" s="33"/>
      <c r="E855" s="15" t="s">
        <v>123</v>
      </c>
      <c r="F855" s="15" t="s">
        <v>1044</v>
      </c>
      <c r="G855" s="15">
        <f t="shared" si="47"/>
        <v>1</v>
      </c>
      <c r="H855" s="131">
        <v>1</v>
      </c>
      <c r="I855" s="85"/>
    </row>
    <row r="856" spans="1:9" ht="13.5" customHeight="1" x14ac:dyDescent="0.3">
      <c r="A856" s="131">
        <f t="shared" si="48"/>
        <v>26773</v>
      </c>
      <c r="B856" s="138" t="s">
        <v>449</v>
      </c>
      <c r="C856" s="138"/>
      <c r="D856" s="33"/>
      <c r="E856" s="15" t="s">
        <v>123</v>
      </c>
      <c r="F856" s="15" t="s">
        <v>1044</v>
      </c>
      <c r="G856" s="15">
        <f t="shared" si="47"/>
        <v>1</v>
      </c>
      <c r="H856" s="131">
        <v>1</v>
      </c>
      <c r="I856" s="85"/>
    </row>
    <row r="857" spans="1:9" ht="13.5" customHeight="1" x14ac:dyDescent="0.3">
      <c r="A857" s="131">
        <f t="shared" si="48"/>
        <v>26774</v>
      </c>
      <c r="B857" s="138" t="s">
        <v>450</v>
      </c>
      <c r="C857" s="138"/>
      <c r="D857" s="33"/>
      <c r="E857" s="15" t="s">
        <v>123</v>
      </c>
      <c r="F857" s="15" t="s">
        <v>1044</v>
      </c>
      <c r="G857" s="15">
        <f t="shared" si="47"/>
        <v>1</v>
      </c>
      <c r="H857" s="131">
        <v>1</v>
      </c>
      <c r="I857" s="85"/>
    </row>
    <row r="858" spans="1:9" ht="13.5" customHeight="1" x14ac:dyDescent="0.3">
      <c r="A858" s="131">
        <f t="shared" si="48"/>
        <v>26775</v>
      </c>
      <c r="B858" s="138" t="s">
        <v>451</v>
      </c>
      <c r="C858" s="138"/>
      <c r="D858" s="33"/>
      <c r="E858" s="15" t="s">
        <v>123</v>
      </c>
      <c r="F858" s="15" t="s">
        <v>1044</v>
      </c>
      <c r="G858" s="15">
        <f t="shared" si="47"/>
        <v>1</v>
      </c>
      <c r="H858" s="131">
        <v>1</v>
      </c>
      <c r="I858" s="85"/>
    </row>
    <row r="859" spans="1:9" ht="13.5" customHeight="1" x14ac:dyDescent="0.3">
      <c r="A859" s="131">
        <f t="shared" si="48"/>
        <v>26776</v>
      </c>
      <c r="B859" s="138" t="s">
        <v>452</v>
      </c>
      <c r="C859" s="138"/>
      <c r="D859" s="33"/>
      <c r="E859" s="15" t="s">
        <v>123</v>
      </c>
      <c r="F859" s="15" t="s">
        <v>1044</v>
      </c>
      <c r="G859" s="15">
        <f t="shared" si="47"/>
        <v>1</v>
      </c>
      <c r="H859" s="131">
        <v>1</v>
      </c>
      <c r="I859" s="85"/>
    </row>
    <row r="860" spans="1:9" ht="13.5" customHeight="1" x14ac:dyDescent="0.3">
      <c r="A860" s="131">
        <f t="shared" si="48"/>
        <v>26777</v>
      </c>
      <c r="B860" s="138" t="s">
        <v>453</v>
      </c>
      <c r="C860" s="138"/>
      <c r="D860" s="33"/>
      <c r="E860" s="15" t="s">
        <v>123</v>
      </c>
      <c r="F860" s="15" t="s">
        <v>1044</v>
      </c>
      <c r="G860" s="15">
        <f t="shared" si="47"/>
        <v>1</v>
      </c>
      <c r="H860" s="131">
        <v>1</v>
      </c>
      <c r="I860" s="85"/>
    </row>
    <row r="861" spans="1:9" ht="13.5" customHeight="1" x14ac:dyDescent="0.3">
      <c r="A861" s="131">
        <f t="shared" si="48"/>
        <v>26778</v>
      </c>
      <c r="B861" s="138" t="s">
        <v>454</v>
      </c>
      <c r="C861" s="138"/>
      <c r="D861" s="33"/>
      <c r="E861" s="15" t="s">
        <v>123</v>
      </c>
      <c r="F861" s="15" t="s">
        <v>1044</v>
      </c>
      <c r="G861" s="15">
        <f t="shared" si="47"/>
        <v>1</v>
      </c>
      <c r="H861" s="131">
        <v>1</v>
      </c>
      <c r="I861" s="85"/>
    </row>
    <row r="862" spans="1:9" ht="13.5" customHeight="1" x14ac:dyDescent="0.3">
      <c r="A862" s="131">
        <f t="shared" si="48"/>
        <v>26779</v>
      </c>
      <c r="B862" s="138" t="s">
        <v>455</v>
      </c>
      <c r="C862" s="138"/>
      <c r="D862" s="33"/>
      <c r="E862" s="15" t="s">
        <v>123</v>
      </c>
      <c r="F862" s="15" t="s">
        <v>1044</v>
      </c>
      <c r="G862" s="15">
        <f t="shared" si="47"/>
        <v>1</v>
      </c>
      <c r="H862" s="131">
        <v>1</v>
      </c>
      <c r="I862" s="85"/>
    </row>
    <row r="863" spans="1:9" ht="13.5" customHeight="1" x14ac:dyDescent="0.3">
      <c r="A863" s="131">
        <f t="shared" si="48"/>
        <v>26780</v>
      </c>
      <c r="B863" s="138" t="s">
        <v>456</v>
      </c>
      <c r="C863" s="138"/>
      <c r="D863" s="33"/>
      <c r="E863" s="15" t="s">
        <v>123</v>
      </c>
      <c r="F863" s="15" t="s">
        <v>1044</v>
      </c>
      <c r="G863" s="15">
        <f t="shared" si="47"/>
        <v>1</v>
      </c>
      <c r="H863" s="131">
        <v>1</v>
      </c>
      <c r="I863" s="85"/>
    </row>
    <row r="864" spans="1:9" ht="13.5" customHeight="1" x14ac:dyDescent="0.3">
      <c r="A864" s="131">
        <f t="shared" si="48"/>
        <v>26781</v>
      </c>
      <c r="B864" s="138" t="s">
        <v>457</v>
      </c>
      <c r="C864" s="138"/>
      <c r="D864" s="33"/>
      <c r="E864" s="15" t="s">
        <v>123</v>
      </c>
      <c r="F864" s="15" t="s">
        <v>1044</v>
      </c>
      <c r="G864" s="15">
        <f t="shared" si="47"/>
        <v>1</v>
      </c>
      <c r="H864" s="131">
        <v>1</v>
      </c>
      <c r="I864" s="85"/>
    </row>
    <row r="865" spans="1:9" ht="13.5" customHeight="1" x14ac:dyDescent="0.3">
      <c r="A865" s="131">
        <f t="shared" si="48"/>
        <v>26782</v>
      </c>
      <c r="B865" s="138" t="s">
        <v>458</v>
      </c>
      <c r="C865" s="138"/>
      <c r="D865" s="33"/>
      <c r="E865" s="15" t="s">
        <v>123</v>
      </c>
      <c r="F865" s="15" t="s">
        <v>1044</v>
      </c>
      <c r="G865" s="15">
        <f t="shared" si="47"/>
        <v>1</v>
      </c>
      <c r="H865" s="131">
        <v>1</v>
      </c>
      <c r="I865" s="85"/>
    </row>
    <row r="866" spans="1:9" ht="13.5" customHeight="1" x14ac:dyDescent="0.3">
      <c r="A866" s="131">
        <f t="shared" si="48"/>
        <v>26783</v>
      </c>
      <c r="B866" s="138" t="s">
        <v>520</v>
      </c>
      <c r="C866" s="138"/>
      <c r="D866" s="33"/>
      <c r="E866" s="15" t="s">
        <v>123</v>
      </c>
      <c r="F866" s="15" t="s">
        <v>1044</v>
      </c>
      <c r="G866" s="15">
        <f t="shared" si="47"/>
        <v>1</v>
      </c>
      <c r="H866" s="131">
        <v>1</v>
      </c>
      <c r="I866" s="85"/>
    </row>
    <row r="867" spans="1:9" ht="13.5" customHeight="1" x14ac:dyDescent="0.3">
      <c r="A867" s="131">
        <f t="shared" si="48"/>
        <v>26784</v>
      </c>
      <c r="B867" s="138" t="s">
        <v>521</v>
      </c>
      <c r="C867" s="138"/>
      <c r="D867" s="33"/>
      <c r="E867" s="15" t="s">
        <v>123</v>
      </c>
      <c r="F867" s="15" t="s">
        <v>1044</v>
      </c>
      <c r="G867" s="15">
        <f t="shared" si="47"/>
        <v>1</v>
      </c>
      <c r="H867" s="131">
        <v>1</v>
      </c>
      <c r="I867" s="85"/>
    </row>
    <row r="868" spans="1:9" ht="13.5" customHeight="1" x14ac:dyDescent="0.3">
      <c r="A868" s="131">
        <f t="shared" si="48"/>
        <v>26785</v>
      </c>
      <c r="B868" s="138" t="s">
        <v>525</v>
      </c>
      <c r="C868" s="138"/>
      <c r="D868" s="33"/>
      <c r="E868" s="15" t="s">
        <v>123</v>
      </c>
      <c r="F868" s="15" t="s">
        <v>1044</v>
      </c>
      <c r="G868" s="15">
        <f>IF(OR(E868="U16", E868="S16"),1,IF(E868="TS",6,2))</f>
        <v>1</v>
      </c>
      <c r="H868" s="131">
        <v>1</v>
      </c>
      <c r="I868" s="85"/>
    </row>
    <row r="869" spans="1:9" ht="13.5" customHeight="1" x14ac:dyDescent="0.3">
      <c r="A869" s="131">
        <f t="shared" si="48"/>
        <v>26786</v>
      </c>
      <c r="B869" s="138" t="s">
        <v>459</v>
      </c>
      <c r="C869" s="138"/>
      <c r="D869" s="33"/>
      <c r="E869" s="15" t="s">
        <v>123</v>
      </c>
      <c r="F869" s="15" t="s">
        <v>1044</v>
      </c>
      <c r="G869" s="15">
        <f t="shared" si="47"/>
        <v>1</v>
      </c>
      <c r="H869" s="131">
        <v>1</v>
      </c>
      <c r="I869" s="85"/>
    </row>
    <row r="870" spans="1:9" ht="13.5" customHeight="1" x14ac:dyDescent="0.3">
      <c r="A870" s="131">
        <f t="shared" si="48"/>
        <v>26787</v>
      </c>
      <c r="B870" s="138" t="s">
        <v>460</v>
      </c>
      <c r="C870" s="138"/>
      <c r="D870" s="33"/>
      <c r="E870" s="15" t="s">
        <v>123</v>
      </c>
      <c r="F870" s="15" t="s">
        <v>1044</v>
      </c>
      <c r="G870" s="15">
        <f t="shared" si="47"/>
        <v>1</v>
      </c>
      <c r="H870" s="131">
        <v>1</v>
      </c>
      <c r="I870" s="85"/>
    </row>
    <row r="871" spans="1:9" ht="13.5" customHeight="1" x14ac:dyDescent="0.3">
      <c r="A871" s="131">
        <f t="shared" si="48"/>
        <v>26788</v>
      </c>
      <c r="B871" s="138" t="s">
        <v>461</v>
      </c>
      <c r="C871" s="138"/>
      <c r="D871" s="33"/>
      <c r="E871" s="15" t="s">
        <v>123</v>
      </c>
      <c r="F871" s="15" t="s">
        <v>1044</v>
      </c>
      <c r="G871" s="15">
        <f t="shared" si="47"/>
        <v>1</v>
      </c>
      <c r="H871" s="131">
        <v>1</v>
      </c>
      <c r="I871" s="85"/>
    </row>
    <row r="872" spans="1:9" ht="13.5" customHeight="1" x14ac:dyDescent="0.3">
      <c r="A872" s="131">
        <f t="shared" si="48"/>
        <v>26789</v>
      </c>
      <c r="B872" s="138" t="s">
        <v>462</v>
      </c>
      <c r="C872" s="138"/>
      <c r="D872" s="33"/>
      <c r="E872" s="15" t="s">
        <v>123</v>
      </c>
      <c r="F872" s="15" t="s">
        <v>1044</v>
      </c>
      <c r="G872" s="15">
        <f t="shared" si="47"/>
        <v>1</v>
      </c>
      <c r="H872" s="131">
        <v>1</v>
      </c>
      <c r="I872" s="85"/>
    </row>
    <row r="873" spans="1:9" ht="13.5" customHeight="1" x14ac:dyDescent="0.3">
      <c r="A873" s="131">
        <f t="shared" si="48"/>
        <v>26790</v>
      </c>
      <c r="B873" s="138" t="s">
        <v>463</v>
      </c>
      <c r="C873" s="138"/>
      <c r="D873" s="33"/>
      <c r="E873" s="15" t="s">
        <v>123</v>
      </c>
      <c r="F873" s="15" t="s">
        <v>1044</v>
      </c>
      <c r="G873" s="15">
        <f t="shared" si="47"/>
        <v>1</v>
      </c>
      <c r="H873" s="131">
        <v>1</v>
      </c>
      <c r="I873" s="85"/>
    </row>
    <row r="874" spans="1:9" ht="13.5" customHeight="1" x14ac:dyDescent="0.3">
      <c r="A874" s="131">
        <f t="shared" si="48"/>
        <v>26791</v>
      </c>
      <c r="B874" s="138" t="s">
        <v>464</v>
      </c>
      <c r="C874" s="138"/>
      <c r="D874" s="33"/>
      <c r="E874" s="15" t="s">
        <v>123</v>
      </c>
      <c r="F874" s="15" t="s">
        <v>1044</v>
      </c>
      <c r="G874" s="15">
        <f t="shared" si="47"/>
        <v>1</v>
      </c>
      <c r="H874" s="131">
        <v>1</v>
      </c>
      <c r="I874" s="85"/>
    </row>
    <row r="875" spans="1:9" ht="13.5" customHeight="1" x14ac:dyDescent="0.3">
      <c r="A875" s="131">
        <f t="shared" si="48"/>
        <v>26792</v>
      </c>
      <c r="B875" s="138" t="s">
        <v>465</v>
      </c>
      <c r="C875" s="138"/>
      <c r="D875" s="33"/>
      <c r="E875" s="15" t="s">
        <v>123</v>
      </c>
      <c r="F875" s="15" t="s">
        <v>1044</v>
      </c>
      <c r="G875" s="15">
        <f t="shared" si="47"/>
        <v>1</v>
      </c>
      <c r="H875" s="131">
        <v>1</v>
      </c>
      <c r="I875" s="85"/>
    </row>
    <row r="876" spans="1:9" ht="13.5" customHeight="1" x14ac:dyDescent="0.3">
      <c r="A876" s="131">
        <f t="shared" si="48"/>
        <v>26793</v>
      </c>
      <c r="B876" s="138" t="s">
        <v>466</v>
      </c>
      <c r="C876" s="138"/>
      <c r="D876" s="33"/>
      <c r="E876" s="15" t="s">
        <v>123</v>
      </c>
      <c r="F876" s="15" t="s">
        <v>1044</v>
      </c>
      <c r="G876" s="15">
        <f t="shared" si="47"/>
        <v>1</v>
      </c>
      <c r="H876" s="131">
        <v>1</v>
      </c>
      <c r="I876" s="85"/>
    </row>
    <row r="877" spans="1:9" ht="13.5" customHeight="1" x14ac:dyDescent="0.3">
      <c r="A877" s="131">
        <f t="shared" si="48"/>
        <v>26794</v>
      </c>
      <c r="B877" s="138" t="s">
        <v>467</v>
      </c>
      <c r="C877" s="138"/>
      <c r="D877" s="33"/>
      <c r="E877" s="15" t="s">
        <v>123</v>
      </c>
      <c r="F877" s="15" t="s">
        <v>1044</v>
      </c>
      <c r="G877" s="15">
        <f t="shared" si="47"/>
        <v>1</v>
      </c>
      <c r="H877" s="131">
        <v>1</v>
      </c>
      <c r="I877" s="85"/>
    </row>
    <row r="878" spans="1:9" ht="15" customHeight="1" x14ac:dyDescent="0.3">
      <c r="A878" s="131">
        <f t="shared" si="48"/>
        <v>26795</v>
      </c>
      <c r="B878" s="138" t="s">
        <v>468</v>
      </c>
      <c r="C878" s="138"/>
      <c r="D878" s="33"/>
      <c r="E878" s="15" t="s">
        <v>123</v>
      </c>
      <c r="F878" s="15" t="s">
        <v>1044</v>
      </c>
      <c r="G878" s="15">
        <f t="shared" si="47"/>
        <v>1</v>
      </c>
      <c r="H878" s="131">
        <v>1</v>
      </c>
      <c r="I878" s="85"/>
    </row>
    <row r="879" spans="1:9" ht="15" customHeight="1" x14ac:dyDescent="0.3">
      <c r="A879" s="131">
        <f t="shared" si="48"/>
        <v>26796</v>
      </c>
      <c r="B879" s="138" t="s">
        <v>469</v>
      </c>
      <c r="C879" s="138"/>
      <c r="D879" s="33"/>
      <c r="E879" s="15" t="s">
        <v>123</v>
      </c>
      <c r="F879" s="15" t="s">
        <v>1044</v>
      </c>
      <c r="G879" s="15">
        <f t="shared" si="47"/>
        <v>1</v>
      </c>
      <c r="H879" s="131">
        <v>1</v>
      </c>
      <c r="I879" s="85"/>
    </row>
    <row r="880" spans="1:9" ht="15" customHeight="1" x14ac:dyDescent="0.3">
      <c r="A880" s="131">
        <f t="shared" si="48"/>
        <v>26797</v>
      </c>
      <c r="B880" s="138" t="s">
        <v>470</v>
      </c>
      <c r="C880" s="138"/>
      <c r="D880" s="33"/>
      <c r="E880" s="15" t="s">
        <v>123</v>
      </c>
      <c r="F880" s="15" t="s">
        <v>1044</v>
      </c>
      <c r="G880" s="15">
        <f t="shared" si="47"/>
        <v>1</v>
      </c>
      <c r="H880" s="131">
        <v>1</v>
      </c>
      <c r="I880" s="85"/>
    </row>
    <row r="881" spans="1:9" ht="15" customHeight="1" x14ac:dyDescent="0.3">
      <c r="A881" s="131">
        <f t="shared" si="48"/>
        <v>26798</v>
      </c>
      <c r="B881" s="138" t="s">
        <v>471</v>
      </c>
      <c r="C881" s="138"/>
      <c r="D881" s="33"/>
      <c r="E881" s="15" t="s">
        <v>123</v>
      </c>
      <c r="F881" s="15" t="s">
        <v>1044</v>
      </c>
      <c r="G881" s="15">
        <f t="shared" si="47"/>
        <v>1</v>
      </c>
      <c r="H881" s="131">
        <v>1</v>
      </c>
      <c r="I881" s="85"/>
    </row>
    <row r="882" spans="1:9" ht="15" customHeight="1" x14ac:dyDescent="0.3">
      <c r="A882" s="131">
        <f t="shared" si="48"/>
        <v>26799</v>
      </c>
      <c r="B882" s="138" t="s">
        <v>472</v>
      </c>
      <c r="C882" s="138"/>
      <c r="D882" s="33"/>
      <c r="E882" s="15" t="s">
        <v>123</v>
      </c>
      <c r="F882" s="15" t="s">
        <v>1044</v>
      </c>
      <c r="G882" s="15">
        <f t="shared" si="47"/>
        <v>1</v>
      </c>
      <c r="H882" s="131">
        <v>1</v>
      </c>
      <c r="I882" s="85"/>
    </row>
    <row r="883" spans="1:9" ht="15" customHeight="1" x14ac:dyDescent="0.3">
      <c r="A883" s="131">
        <f t="shared" si="48"/>
        <v>26800</v>
      </c>
      <c r="B883" s="138" t="s">
        <v>473</v>
      </c>
      <c r="C883" s="138"/>
      <c r="D883" s="33"/>
      <c r="E883" s="15" t="s">
        <v>123</v>
      </c>
      <c r="F883" s="15" t="s">
        <v>1044</v>
      </c>
      <c r="G883" s="15">
        <f t="shared" si="47"/>
        <v>1</v>
      </c>
      <c r="H883" s="131">
        <v>1</v>
      </c>
      <c r="I883" s="85"/>
    </row>
    <row r="884" spans="1:9" ht="15" customHeight="1" x14ac:dyDescent="0.3">
      <c r="A884" s="131">
        <f t="shared" si="48"/>
        <v>26801</v>
      </c>
      <c r="B884" s="138" t="s">
        <v>474</v>
      </c>
      <c r="C884" s="138"/>
      <c r="D884" s="33"/>
      <c r="E884" s="15" t="s">
        <v>123</v>
      </c>
      <c r="F884" s="15" t="s">
        <v>1044</v>
      </c>
      <c r="G884" s="15">
        <f t="shared" si="47"/>
        <v>1</v>
      </c>
      <c r="H884" s="131">
        <v>1</v>
      </c>
      <c r="I884" s="85"/>
    </row>
    <row r="885" spans="1:9" ht="15" customHeight="1" x14ac:dyDescent="0.3">
      <c r="A885" s="131">
        <f t="shared" si="48"/>
        <v>26802</v>
      </c>
      <c r="B885" s="138" t="s">
        <v>523</v>
      </c>
      <c r="C885" s="138"/>
      <c r="D885" s="33"/>
      <c r="E885" s="15" t="s">
        <v>123</v>
      </c>
      <c r="F885" s="15" t="s">
        <v>1044</v>
      </c>
      <c r="G885" s="15">
        <f t="shared" si="47"/>
        <v>1</v>
      </c>
      <c r="H885" s="131">
        <v>1</v>
      </c>
      <c r="I885" s="85"/>
    </row>
    <row r="886" spans="1:9" ht="15" customHeight="1" x14ac:dyDescent="0.3">
      <c r="A886" s="131">
        <f t="shared" si="48"/>
        <v>26803</v>
      </c>
      <c r="B886" s="138" t="s">
        <v>524</v>
      </c>
      <c r="C886" s="138"/>
      <c r="D886" s="33"/>
      <c r="E886" s="15" t="s">
        <v>123</v>
      </c>
      <c r="F886" s="15" t="s">
        <v>1044</v>
      </c>
      <c r="G886" s="15">
        <f t="shared" si="47"/>
        <v>1</v>
      </c>
      <c r="H886" s="131">
        <v>1</v>
      </c>
      <c r="I886" s="85"/>
    </row>
    <row r="887" spans="1:9" ht="15" customHeight="1" x14ac:dyDescent="0.3">
      <c r="A887" s="131">
        <f t="shared" si="48"/>
        <v>26804</v>
      </c>
      <c r="B887" s="138" t="s">
        <v>41</v>
      </c>
      <c r="C887" s="138"/>
      <c r="D887" s="33"/>
      <c r="E887" s="15" t="s">
        <v>123</v>
      </c>
      <c r="F887" s="15" t="s">
        <v>1044</v>
      </c>
      <c r="G887" s="15">
        <f t="shared" si="47"/>
        <v>1</v>
      </c>
      <c r="H887" s="131">
        <v>1</v>
      </c>
      <c r="I887" s="85"/>
    </row>
    <row r="888" spans="1:9" ht="15" customHeight="1" x14ac:dyDescent="0.3">
      <c r="A888" s="131">
        <f t="shared" si="48"/>
        <v>26805</v>
      </c>
      <c r="B888" s="138" t="s">
        <v>477</v>
      </c>
      <c r="C888" s="138"/>
      <c r="D888" s="33"/>
      <c r="E888" s="15" t="s">
        <v>123</v>
      </c>
      <c r="F888" s="15" t="s">
        <v>1044</v>
      </c>
      <c r="G888" s="15">
        <f t="shared" si="47"/>
        <v>1</v>
      </c>
      <c r="H888" s="131">
        <v>1</v>
      </c>
      <c r="I888" s="85"/>
    </row>
    <row r="889" spans="1:9" ht="15" customHeight="1" x14ac:dyDescent="0.3">
      <c r="A889" s="131">
        <f t="shared" si="48"/>
        <v>26806</v>
      </c>
      <c r="B889" s="138" t="s">
        <v>478</v>
      </c>
      <c r="C889" s="138"/>
      <c r="D889" s="33"/>
      <c r="E889" s="15" t="s">
        <v>123</v>
      </c>
      <c r="F889" s="15" t="s">
        <v>1044</v>
      </c>
      <c r="G889" s="15">
        <f t="shared" si="47"/>
        <v>1</v>
      </c>
      <c r="H889" s="131">
        <v>1</v>
      </c>
      <c r="I889" s="85"/>
    </row>
    <row r="890" spans="1:9" ht="15" customHeight="1" x14ac:dyDescent="0.3">
      <c r="A890" s="131">
        <f t="shared" si="48"/>
        <v>26807</v>
      </c>
      <c r="B890" s="138" t="s">
        <v>479</v>
      </c>
      <c r="C890" s="138"/>
      <c r="D890" s="33"/>
      <c r="E890" s="15" t="s">
        <v>123</v>
      </c>
      <c r="F890" s="15" t="s">
        <v>1044</v>
      </c>
      <c r="G890" s="15">
        <f t="shared" si="47"/>
        <v>1</v>
      </c>
      <c r="H890" s="131">
        <v>1</v>
      </c>
      <c r="I890" s="85"/>
    </row>
    <row r="891" spans="1:9" ht="15" customHeight="1" x14ac:dyDescent="0.3">
      <c r="A891" s="131">
        <f t="shared" si="48"/>
        <v>26808</v>
      </c>
      <c r="B891" s="138" t="s">
        <v>480</v>
      </c>
      <c r="C891" s="138"/>
      <c r="D891" s="33"/>
      <c r="E891" s="15" t="s">
        <v>123</v>
      </c>
      <c r="F891" s="15" t="s">
        <v>1044</v>
      </c>
      <c r="G891" s="15">
        <f t="shared" si="47"/>
        <v>1</v>
      </c>
      <c r="H891" s="131">
        <v>1</v>
      </c>
      <c r="I891" s="85"/>
    </row>
    <row r="892" spans="1:9" ht="15" customHeight="1" x14ac:dyDescent="0.3">
      <c r="A892" s="131">
        <f t="shared" si="48"/>
        <v>26809</v>
      </c>
      <c r="B892" s="138" t="s">
        <v>481</v>
      </c>
      <c r="C892" s="138"/>
      <c r="D892" s="33"/>
      <c r="E892" s="15" t="s">
        <v>123</v>
      </c>
      <c r="F892" s="15" t="s">
        <v>1044</v>
      </c>
      <c r="G892" s="15">
        <f t="shared" si="47"/>
        <v>1</v>
      </c>
      <c r="H892" s="131">
        <v>1</v>
      </c>
      <c r="I892" s="85"/>
    </row>
    <row r="893" spans="1:9" ht="15" customHeight="1" x14ac:dyDescent="0.3">
      <c r="A893" s="131">
        <f t="shared" si="48"/>
        <v>26810</v>
      </c>
      <c r="B893" s="138" t="s">
        <v>482</v>
      </c>
      <c r="C893" s="138"/>
      <c r="D893" s="33"/>
      <c r="E893" s="15" t="s">
        <v>123</v>
      </c>
      <c r="F893" s="15" t="s">
        <v>1044</v>
      </c>
      <c r="G893" s="15">
        <f t="shared" si="47"/>
        <v>1</v>
      </c>
      <c r="H893" s="131">
        <v>1</v>
      </c>
      <c r="I893" s="85"/>
    </row>
    <row r="894" spans="1:9" ht="15" customHeight="1" x14ac:dyDescent="0.3">
      <c r="A894" s="131">
        <f t="shared" si="48"/>
        <v>26811</v>
      </c>
      <c r="B894" s="138" t="s">
        <v>483</v>
      </c>
      <c r="C894" s="138"/>
      <c r="D894" s="33"/>
      <c r="E894" s="15" t="s">
        <v>123</v>
      </c>
      <c r="F894" s="15" t="s">
        <v>1044</v>
      </c>
      <c r="G894" s="15">
        <f t="shared" si="47"/>
        <v>1</v>
      </c>
      <c r="H894" s="131">
        <v>1</v>
      </c>
      <c r="I894" s="85"/>
    </row>
    <row r="895" spans="1:9" ht="15" customHeight="1" x14ac:dyDescent="0.3">
      <c r="A895" s="131">
        <f t="shared" si="48"/>
        <v>26812</v>
      </c>
      <c r="B895" s="138" t="s">
        <v>484</v>
      </c>
      <c r="C895" s="138"/>
      <c r="D895" s="33"/>
      <c r="E895" s="15" t="s">
        <v>123</v>
      </c>
      <c r="F895" s="15" t="s">
        <v>1044</v>
      </c>
      <c r="G895" s="15">
        <f t="shared" si="47"/>
        <v>1</v>
      </c>
      <c r="H895" s="131">
        <v>1</v>
      </c>
      <c r="I895" s="85"/>
    </row>
    <row r="896" spans="1:9" ht="15" customHeight="1" x14ac:dyDescent="0.3">
      <c r="A896" s="131">
        <f t="shared" si="48"/>
        <v>26813</v>
      </c>
      <c r="B896" s="138" t="s">
        <v>485</v>
      </c>
      <c r="C896" s="138"/>
      <c r="D896" s="33"/>
      <c r="E896" s="15" t="s">
        <v>123</v>
      </c>
      <c r="F896" s="15" t="s">
        <v>1044</v>
      </c>
      <c r="G896" s="15">
        <f t="shared" si="47"/>
        <v>1</v>
      </c>
      <c r="H896" s="131">
        <v>1</v>
      </c>
      <c r="I896" s="85"/>
    </row>
    <row r="897" spans="1:9" ht="15" customHeight="1" x14ac:dyDescent="0.3">
      <c r="A897" s="131">
        <f t="shared" si="48"/>
        <v>26814</v>
      </c>
      <c r="B897" s="138" t="s">
        <v>486</v>
      </c>
      <c r="C897" s="138"/>
      <c r="D897" s="33"/>
      <c r="E897" s="15" t="s">
        <v>123</v>
      </c>
      <c r="F897" s="15" t="s">
        <v>1044</v>
      </c>
      <c r="G897" s="15">
        <f t="shared" si="47"/>
        <v>1</v>
      </c>
      <c r="H897" s="131">
        <v>1</v>
      </c>
      <c r="I897" s="85"/>
    </row>
    <row r="898" spans="1:9" ht="15" customHeight="1" x14ac:dyDescent="0.3">
      <c r="A898" s="131">
        <f t="shared" si="48"/>
        <v>26815</v>
      </c>
      <c r="B898" s="138" t="s">
        <v>487</v>
      </c>
      <c r="C898" s="138"/>
      <c r="D898" s="33"/>
      <c r="E898" s="15" t="s">
        <v>123</v>
      </c>
      <c r="F898" s="15" t="s">
        <v>1044</v>
      </c>
      <c r="G898" s="15">
        <f t="shared" si="47"/>
        <v>1</v>
      </c>
      <c r="H898" s="131">
        <v>1</v>
      </c>
      <c r="I898" s="85"/>
    </row>
    <row r="899" spans="1:9" ht="15" customHeight="1" x14ac:dyDescent="0.3">
      <c r="A899" s="131">
        <f t="shared" si="48"/>
        <v>26816</v>
      </c>
      <c r="B899" s="138" t="s">
        <v>488</v>
      </c>
      <c r="C899" s="138"/>
      <c r="D899" s="33"/>
      <c r="E899" s="15" t="s">
        <v>123</v>
      </c>
      <c r="F899" s="15" t="s">
        <v>1044</v>
      </c>
      <c r="G899" s="15">
        <f t="shared" si="47"/>
        <v>1</v>
      </c>
      <c r="H899" s="131">
        <v>1</v>
      </c>
      <c r="I899" s="85"/>
    </row>
    <row r="900" spans="1:9" ht="15" customHeight="1" x14ac:dyDescent="0.3">
      <c r="A900" s="131">
        <f t="shared" si="48"/>
        <v>26817</v>
      </c>
      <c r="B900" s="138" t="s">
        <v>489</v>
      </c>
      <c r="C900" s="138"/>
      <c r="D900" s="33"/>
      <c r="E900" s="15" t="s">
        <v>123</v>
      </c>
      <c r="F900" s="15" t="s">
        <v>1044</v>
      </c>
      <c r="G900" s="15">
        <f t="shared" si="47"/>
        <v>1</v>
      </c>
      <c r="H900" s="131">
        <v>1</v>
      </c>
      <c r="I900" s="85"/>
    </row>
    <row r="901" spans="1:9" ht="15" customHeight="1" x14ac:dyDescent="0.3">
      <c r="A901" s="131">
        <f t="shared" si="48"/>
        <v>26818</v>
      </c>
      <c r="B901" s="138" t="s">
        <v>490</v>
      </c>
      <c r="C901" s="138"/>
      <c r="D901" s="33"/>
      <c r="E901" s="15" t="s">
        <v>123</v>
      </c>
      <c r="F901" s="15" t="s">
        <v>1044</v>
      </c>
      <c r="G901" s="15">
        <f t="shared" si="47"/>
        <v>1</v>
      </c>
      <c r="H901" s="131">
        <v>1</v>
      </c>
      <c r="I901" s="85"/>
    </row>
    <row r="902" spans="1:9" ht="15" customHeight="1" x14ac:dyDescent="0.3">
      <c r="A902" s="131">
        <f t="shared" si="48"/>
        <v>26819</v>
      </c>
      <c r="B902" s="138" t="s">
        <v>491</v>
      </c>
      <c r="C902" s="138"/>
      <c r="D902" s="33"/>
      <c r="E902" s="15" t="s">
        <v>123</v>
      </c>
      <c r="F902" s="15" t="s">
        <v>1044</v>
      </c>
      <c r="G902" s="15">
        <f t="shared" si="47"/>
        <v>1</v>
      </c>
      <c r="H902" s="131">
        <v>1</v>
      </c>
      <c r="I902" s="85"/>
    </row>
    <row r="903" spans="1:9" ht="15" customHeight="1" x14ac:dyDescent="0.3">
      <c r="A903" s="131">
        <f t="shared" si="48"/>
        <v>26820</v>
      </c>
      <c r="B903" s="138" t="s">
        <v>492</v>
      </c>
      <c r="C903" s="138"/>
      <c r="D903" s="33"/>
      <c r="E903" s="15" t="s">
        <v>123</v>
      </c>
      <c r="F903" s="15" t="s">
        <v>1044</v>
      </c>
      <c r="G903" s="15">
        <f t="shared" si="47"/>
        <v>1</v>
      </c>
      <c r="H903" s="131">
        <v>1</v>
      </c>
      <c r="I903" s="85"/>
    </row>
    <row r="904" spans="1:9" ht="15" customHeight="1" x14ac:dyDescent="0.3">
      <c r="A904" s="131">
        <f t="shared" si="48"/>
        <v>26821</v>
      </c>
      <c r="B904" s="138" t="s">
        <v>509</v>
      </c>
      <c r="C904" s="138"/>
      <c r="D904" s="33"/>
      <c r="E904" s="15" t="s">
        <v>123</v>
      </c>
      <c r="F904" s="15" t="s">
        <v>1044</v>
      </c>
      <c r="G904" s="15">
        <f t="shared" si="47"/>
        <v>1</v>
      </c>
      <c r="H904" s="131">
        <v>1</v>
      </c>
      <c r="I904" s="85"/>
    </row>
    <row r="905" spans="1:9" ht="15" customHeight="1" x14ac:dyDescent="0.3">
      <c r="A905" s="131">
        <f t="shared" si="48"/>
        <v>26822</v>
      </c>
      <c r="B905" s="138" t="s">
        <v>510</v>
      </c>
      <c r="C905" s="138"/>
      <c r="D905" s="33"/>
      <c r="E905" s="15" t="s">
        <v>123</v>
      </c>
      <c r="F905" s="15" t="s">
        <v>1044</v>
      </c>
      <c r="G905" s="15">
        <f t="shared" si="47"/>
        <v>1</v>
      </c>
      <c r="H905" s="131">
        <v>1</v>
      </c>
      <c r="I905" s="85"/>
    </row>
    <row r="906" spans="1:9" ht="15" customHeight="1" x14ac:dyDescent="0.3">
      <c r="A906" s="131">
        <f t="shared" si="48"/>
        <v>26823</v>
      </c>
      <c r="B906" s="138" t="s">
        <v>41</v>
      </c>
      <c r="C906" s="138"/>
      <c r="D906" s="33"/>
      <c r="E906" s="15" t="s">
        <v>123</v>
      </c>
      <c r="F906" s="15" t="s">
        <v>1044</v>
      </c>
      <c r="G906" s="15">
        <f t="shared" si="47"/>
        <v>1</v>
      </c>
      <c r="H906" s="131">
        <v>1</v>
      </c>
      <c r="I906" s="85"/>
    </row>
    <row r="907" spans="1:9" ht="15" customHeight="1" x14ac:dyDescent="0.3">
      <c r="A907" s="131">
        <f t="shared" si="48"/>
        <v>26824</v>
      </c>
      <c r="B907" s="138" t="s">
        <v>493</v>
      </c>
      <c r="C907" s="138"/>
      <c r="D907" s="33"/>
      <c r="E907" s="15" t="s">
        <v>123</v>
      </c>
      <c r="F907" s="15" t="s">
        <v>1044</v>
      </c>
      <c r="G907" s="15">
        <f t="shared" si="47"/>
        <v>1</v>
      </c>
      <c r="H907" s="131">
        <v>1</v>
      </c>
      <c r="I907" s="85"/>
    </row>
    <row r="908" spans="1:9" ht="15" customHeight="1" x14ac:dyDescent="0.3">
      <c r="A908" s="131">
        <f t="shared" si="48"/>
        <v>26825</v>
      </c>
      <c r="B908" s="138" t="s">
        <v>494</v>
      </c>
      <c r="C908" s="138"/>
      <c r="D908" s="33"/>
      <c r="E908" s="15" t="s">
        <v>123</v>
      </c>
      <c r="F908" s="15" t="s">
        <v>1044</v>
      </c>
      <c r="G908" s="15">
        <f t="shared" si="47"/>
        <v>1</v>
      </c>
      <c r="H908" s="131">
        <v>1</v>
      </c>
      <c r="I908" s="85"/>
    </row>
    <row r="909" spans="1:9" ht="15" customHeight="1" x14ac:dyDescent="0.3">
      <c r="A909" s="131">
        <f t="shared" si="48"/>
        <v>26826</v>
      </c>
      <c r="B909" s="138" t="s">
        <v>495</v>
      </c>
      <c r="C909" s="138"/>
      <c r="D909" s="33"/>
      <c r="E909" s="15" t="s">
        <v>123</v>
      </c>
      <c r="F909" s="15" t="s">
        <v>1044</v>
      </c>
      <c r="G909" s="15">
        <f t="shared" si="47"/>
        <v>1</v>
      </c>
      <c r="H909" s="131">
        <v>1</v>
      </c>
      <c r="I909" s="85"/>
    </row>
    <row r="910" spans="1:9" ht="15" customHeight="1" x14ac:dyDescent="0.3">
      <c r="A910" s="131">
        <f t="shared" si="48"/>
        <v>26827</v>
      </c>
      <c r="B910" s="138" t="s">
        <v>496</v>
      </c>
      <c r="C910" s="138"/>
      <c r="D910" s="33"/>
      <c r="E910" s="15" t="s">
        <v>123</v>
      </c>
      <c r="F910" s="15" t="s">
        <v>1044</v>
      </c>
      <c r="G910" s="15">
        <f t="shared" si="47"/>
        <v>1</v>
      </c>
      <c r="H910" s="131">
        <v>1</v>
      </c>
      <c r="I910" s="85"/>
    </row>
    <row r="911" spans="1:9" ht="15" customHeight="1" x14ac:dyDescent="0.3">
      <c r="A911" s="131">
        <f t="shared" si="48"/>
        <v>26828</v>
      </c>
      <c r="B911" s="138" t="s">
        <v>497</v>
      </c>
      <c r="C911" s="138"/>
      <c r="D911" s="33"/>
      <c r="E911" s="15" t="s">
        <v>123</v>
      </c>
      <c r="F911" s="15" t="s">
        <v>1044</v>
      </c>
      <c r="G911" s="15">
        <f t="shared" ref="G911:G912" si="49">IF(OR(E911="U16", E911="S16"),1,IF(E911="TS",6,2))</f>
        <v>1</v>
      </c>
      <c r="H911" s="131">
        <v>1</v>
      </c>
      <c r="I911" s="85"/>
    </row>
    <row r="912" spans="1:9" ht="15" customHeight="1" x14ac:dyDescent="0.3">
      <c r="A912" s="131">
        <f t="shared" ref="A912:A923" si="50">A911+(G911*H911)</f>
        <v>26829</v>
      </c>
      <c r="B912" s="138" t="s">
        <v>498</v>
      </c>
      <c r="C912" s="138"/>
      <c r="D912" s="33"/>
      <c r="E912" s="15" t="s">
        <v>123</v>
      </c>
      <c r="F912" s="15" t="s">
        <v>1044</v>
      </c>
      <c r="G912" s="15">
        <f t="shared" si="49"/>
        <v>1</v>
      </c>
      <c r="H912" s="131">
        <v>1</v>
      </c>
      <c r="I912" s="85"/>
    </row>
    <row r="913" spans="1:9" ht="15" customHeight="1" x14ac:dyDescent="0.3">
      <c r="A913" s="131">
        <f t="shared" si="50"/>
        <v>26830</v>
      </c>
      <c r="B913" s="138" t="s">
        <v>499</v>
      </c>
      <c r="C913" s="138"/>
      <c r="D913" s="33"/>
      <c r="E913" s="15" t="s">
        <v>123</v>
      </c>
      <c r="F913" s="15" t="s">
        <v>1044</v>
      </c>
      <c r="G913" s="15">
        <f>IF(OR(E913="U16", E913="S16"),1,IF(E913="TS",6,2))</f>
        <v>1</v>
      </c>
      <c r="H913" s="131">
        <v>1</v>
      </c>
      <c r="I913" s="85"/>
    </row>
    <row r="914" spans="1:9" ht="15" customHeight="1" x14ac:dyDescent="0.3">
      <c r="A914" s="131">
        <f t="shared" si="50"/>
        <v>26831</v>
      </c>
      <c r="B914" s="138" t="s">
        <v>500</v>
      </c>
      <c r="C914" s="138"/>
      <c r="D914" s="131"/>
      <c r="E914" s="15" t="s">
        <v>123</v>
      </c>
      <c r="F914" s="15" t="s">
        <v>1044</v>
      </c>
      <c r="G914" s="15">
        <f t="shared" ref="G914:G919" si="51">IF(OR(E914="U16", E914="S16"),1,IF(E914="TS",6,2))</f>
        <v>1</v>
      </c>
      <c r="H914" s="131">
        <v>1</v>
      </c>
      <c r="I914" s="85"/>
    </row>
    <row r="915" spans="1:9" ht="15" customHeight="1" x14ac:dyDescent="0.3">
      <c r="A915" s="131">
        <f t="shared" si="50"/>
        <v>26832</v>
      </c>
      <c r="B915" s="138" t="s">
        <v>501</v>
      </c>
      <c r="C915" s="138"/>
      <c r="D915" s="131"/>
      <c r="E915" s="15" t="s">
        <v>123</v>
      </c>
      <c r="F915" s="15" t="s">
        <v>1044</v>
      </c>
      <c r="G915" s="15">
        <f t="shared" si="51"/>
        <v>1</v>
      </c>
      <c r="H915" s="131">
        <v>1</v>
      </c>
      <c r="I915" s="85"/>
    </row>
    <row r="916" spans="1:9" ht="15" customHeight="1" x14ac:dyDescent="0.3">
      <c r="A916" s="131">
        <f t="shared" si="50"/>
        <v>26833</v>
      </c>
      <c r="B916" s="138" t="s">
        <v>502</v>
      </c>
      <c r="C916" s="138"/>
      <c r="D916" s="131"/>
      <c r="E916" s="15" t="s">
        <v>123</v>
      </c>
      <c r="F916" s="15" t="s">
        <v>1044</v>
      </c>
      <c r="G916" s="15">
        <f t="shared" si="51"/>
        <v>1</v>
      </c>
      <c r="H916" s="131">
        <v>1</v>
      </c>
      <c r="I916" s="85"/>
    </row>
    <row r="917" spans="1:9" ht="15" customHeight="1" x14ac:dyDescent="0.3">
      <c r="A917" s="131">
        <f t="shared" si="50"/>
        <v>26834</v>
      </c>
      <c r="B917" s="138" t="s">
        <v>503</v>
      </c>
      <c r="C917" s="138"/>
      <c r="D917" s="131"/>
      <c r="E917" s="15" t="s">
        <v>123</v>
      </c>
      <c r="F917" s="15" t="s">
        <v>1044</v>
      </c>
      <c r="G917" s="15">
        <f t="shared" si="51"/>
        <v>1</v>
      </c>
      <c r="H917" s="131">
        <v>1</v>
      </c>
      <c r="I917" s="85"/>
    </row>
    <row r="918" spans="1:9" ht="15" customHeight="1" x14ac:dyDescent="0.3">
      <c r="A918" s="131">
        <f t="shared" si="50"/>
        <v>26835</v>
      </c>
      <c r="B918" s="138" t="s">
        <v>504</v>
      </c>
      <c r="C918" s="138"/>
      <c r="D918" s="131"/>
      <c r="E918" s="15" t="s">
        <v>123</v>
      </c>
      <c r="F918" s="15" t="s">
        <v>1044</v>
      </c>
      <c r="G918" s="15">
        <f t="shared" si="51"/>
        <v>1</v>
      </c>
      <c r="H918" s="131">
        <v>1</v>
      </c>
      <c r="I918" s="85"/>
    </row>
    <row r="919" spans="1:9" ht="15" customHeight="1" x14ac:dyDescent="0.3">
      <c r="A919" s="131">
        <f t="shared" si="50"/>
        <v>26836</v>
      </c>
      <c r="B919" s="138" t="s">
        <v>505</v>
      </c>
      <c r="C919" s="138"/>
      <c r="D919" s="131"/>
      <c r="E919" s="15" t="s">
        <v>123</v>
      </c>
      <c r="F919" s="15" t="s">
        <v>1044</v>
      </c>
      <c r="G919" s="15">
        <f t="shared" si="51"/>
        <v>1</v>
      </c>
      <c r="H919" s="131">
        <v>1</v>
      </c>
      <c r="I919" s="85"/>
    </row>
    <row r="920" spans="1:9" ht="15" customHeight="1" x14ac:dyDescent="0.3">
      <c r="A920" s="131">
        <f t="shared" si="50"/>
        <v>26837</v>
      </c>
      <c r="B920" s="138" t="s">
        <v>506</v>
      </c>
      <c r="C920" s="138"/>
      <c r="D920" s="131"/>
      <c r="E920" s="15" t="s">
        <v>123</v>
      </c>
      <c r="F920" s="15" t="s">
        <v>1044</v>
      </c>
      <c r="G920" s="15">
        <f>IF(OR(E920="U16", E920="S16"),1,IF(E920="TS",6,2))</f>
        <v>1</v>
      </c>
      <c r="H920" s="131">
        <v>1</v>
      </c>
      <c r="I920" s="85"/>
    </row>
    <row r="921" spans="1:9" ht="15" customHeight="1" x14ac:dyDescent="0.3">
      <c r="A921" s="131">
        <f t="shared" si="50"/>
        <v>26838</v>
      </c>
      <c r="B921" s="138" t="s">
        <v>507</v>
      </c>
      <c r="C921" s="138"/>
      <c r="D921" s="131"/>
      <c r="E921" s="15" t="s">
        <v>123</v>
      </c>
      <c r="F921" s="15" t="s">
        <v>1044</v>
      </c>
      <c r="G921" s="15">
        <f>IF(OR(E921="U16", E921="S16"),1,IF(E921="TS",6,2))</f>
        <v>1</v>
      </c>
      <c r="H921" s="131">
        <v>1</v>
      </c>
      <c r="I921" s="85"/>
    </row>
    <row r="922" spans="1:9" ht="15" customHeight="1" x14ac:dyDescent="0.3">
      <c r="A922" s="131">
        <f t="shared" si="50"/>
        <v>26839</v>
      </c>
      <c r="B922" s="138" t="s">
        <v>508</v>
      </c>
      <c r="C922" s="138"/>
      <c r="D922" s="131"/>
      <c r="E922" s="15" t="s">
        <v>123</v>
      </c>
      <c r="F922" s="15" t="s">
        <v>1044</v>
      </c>
      <c r="G922" s="15">
        <f>IF(OR(E922="U16", E922="S16"),1,IF(E922="TS",6,2))</f>
        <v>1</v>
      </c>
      <c r="H922" s="131">
        <v>1</v>
      </c>
      <c r="I922" s="85"/>
    </row>
    <row r="923" spans="1:9" ht="15" customHeight="1" x14ac:dyDescent="0.3">
      <c r="A923" s="131">
        <f t="shared" si="50"/>
        <v>26840</v>
      </c>
      <c r="B923" s="138"/>
      <c r="C923" s="138"/>
      <c r="D923" s="131"/>
      <c r="E923" s="15" t="s">
        <v>123</v>
      </c>
      <c r="F923" s="15" t="s">
        <v>1044</v>
      </c>
      <c r="G923" s="15">
        <f>IF(OR(E923="U16", E923="S16"),1,IF(E923="TS",6,2))</f>
        <v>1</v>
      </c>
      <c r="H923" s="131">
        <v>4</v>
      </c>
      <c r="I923" s="85"/>
    </row>
    <row r="924" spans="1:9" ht="15" customHeight="1" x14ac:dyDescent="0.3">
      <c r="A924" s="162" t="s">
        <v>221</v>
      </c>
      <c r="B924" s="162"/>
      <c r="C924" s="162"/>
      <c r="D924" s="162"/>
      <c r="E924" s="162"/>
      <c r="F924" s="162"/>
      <c r="G924" s="162"/>
      <c r="H924" s="162"/>
      <c r="I924" s="88"/>
    </row>
    <row r="925" spans="1:9" ht="15" customHeight="1" x14ac:dyDescent="0.3">
      <c r="A925" s="131">
        <f>A923+(G923*H923)</f>
        <v>26844</v>
      </c>
      <c r="B925" s="12" t="s">
        <v>220</v>
      </c>
      <c r="C925" s="138"/>
      <c r="D925" s="131"/>
      <c r="E925" s="15" t="s">
        <v>123</v>
      </c>
      <c r="F925" s="15" t="s">
        <v>1044</v>
      </c>
      <c r="G925" s="15">
        <f>IF(OR(E925="U16", E925="S16"),1,IF(E925="TS",6,2))</f>
        <v>1</v>
      </c>
      <c r="H925" s="131">
        <v>1</v>
      </c>
      <c r="I925" s="85"/>
    </row>
    <row r="926" spans="1:9" ht="15" customHeight="1" x14ac:dyDescent="0.3">
      <c r="A926" s="131">
        <f>A925+(G925*H925)</f>
        <v>26845</v>
      </c>
      <c r="B926" s="12" t="s">
        <v>222</v>
      </c>
      <c r="C926" s="138"/>
      <c r="D926" s="131"/>
      <c r="E926" s="15" t="s">
        <v>123</v>
      </c>
      <c r="F926" s="15" t="s">
        <v>1044</v>
      </c>
      <c r="G926" s="15">
        <f>IF(OR(E926="U16", E926="S16"),1,IF(E926="TS",6,2))</f>
        <v>1</v>
      </c>
      <c r="H926" s="131">
        <v>1</v>
      </c>
      <c r="I926" s="85"/>
    </row>
    <row r="927" spans="1:9" ht="15" customHeight="1" x14ac:dyDescent="0.3">
      <c r="A927" s="131">
        <f>A926+(G926*H926)</f>
        <v>26846</v>
      </c>
      <c r="B927" s="12" t="s">
        <v>41</v>
      </c>
      <c r="C927" s="138"/>
      <c r="D927" s="131"/>
      <c r="E927" s="15" t="s">
        <v>123</v>
      </c>
      <c r="F927" s="15"/>
      <c r="G927" s="15">
        <f>IF(OR(E927="U16", E927="S16"),1,IF(E927="TS",6,2))</f>
        <v>1</v>
      </c>
      <c r="H927" s="131">
        <v>8</v>
      </c>
      <c r="I927" s="85"/>
    </row>
    <row r="928" spans="1:9" ht="15" customHeight="1" x14ac:dyDescent="0.3">
      <c r="A928" s="162" t="s">
        <v>235</v>
      </c>
      <c r="B928" s="162"/>
      <c r="C928" s="162"/>
      <c r="D928" s="162"/>
      <c r="E928" s="162"/>
      <c r="F928" s="162"/>
      <c r="G928" s="162"/>
      <c r="H928" s="162"/>
      <c r="I928" s="88"/>
    </row>
    <row r="929" spans="1:9" ht="15" customHeight="1" x14ac:dyDescent="0.3">
      <c r="A929" s="131">
        <f>A927+(G927*H927)</f>
        <v>26854</v>
      </c>
      <c r="B929" s="138" t="s">
        <v>432</v>
      </c>
      <c r="C929" s="138"/>
      <c r="D929" s="131"/>
      <c r="E929" s="15" t="s">
        <v>123</v>
      </c>
      <c r="F929" s="15" t="s">
        <v>1044</v>
      </c>
      <c r="G929" s="15">
        <f t="shared" ref="G929:G969" si="52">IF(OR(E929="U16", E929="S16"),1,IF(E929="TS",6,2))</f>
        <v>1</v>
      </c>
      <c r="H929" s="131">
        <v>1</v>
      </c>
      <c r="I929" s="85"/>
    </row>
    <row r="930" spans="1:9" ht="15" customHeight="1" x14ac:dyDescent="0.3">
      <c r="A930" s="131">
        <f t="shared" ref="A930:A970" si="53">A929+(G929*H929)</f>
        <v>26855</v>
      </c>
      <c r="B930" s="138" t="s">
        <v>196</v>
      </c>
      <c r="C930" s="138"/>
      <c r="D930" s="131"/>
      <c r="E930" s="15" t="s">
        <v>123</v>
      </c>
      <c r="F930" s="15"/>
      <c r="G930" s="15">
        <f t="shared" si="52"/>
        <v>1</v>
      </c>
      <c r="H930" s="131">
        <v>1</v>
      </c>
      <c r="I930" s="85"/>
    </row>
    <row r="931" spans="1:9" ht="15" customHeight="1" x14ac:dyDescent="0.3">
      <c r="A931" s="131">
        <f t="shared" si="53"/>
        <v>26856</v>
      </c>
      <c r="B931" s="138"/>
      <c r="C931" s="138"/>
      <c r="D931" s="131"/>
      <c r="E931" s="15" t="s">
        <v>123</v>
      </c>
      <c r="F931" s="15"/>
      <c r="G931" s="15">
        <f>IF(OR(E931="U16", E931="S16"),1,IF(E931="TS",6,2))</f>
        <v>1</v>
      </c>
      <c r="H931" s="131">
        <v>1</v>
      </c>
      <c r="I931" s="85"/>
    </row>
    <row r="932" spans="1:9" ht="15" customHeight="1" x14ac:dyDescent="0.3">
      <c r="A932" s="131">
        <f t="shared" si="53"/>
        <v>26857</v>
      </c>
      <c r="B932" s="138"/>
      <c r="C932" s="138"/>
      <c r="D932" s="131"/>
      <c r="E932" s="15" t="s">
        <v>123</v>
      </c>
      <c r="F932" s="15"/>
      <c r="G932" s="15">
        <f>IF(OR(E932="U16", E932="S16"),1,IF(E932="TS",6,2))</f>
        <v>1</v>
      </c>
      <c r="H932" s="131">
        <v>1</v>
      </c>
      <c r="I932" s="85"/>
    </row>
    <row r="933" spans="1:9" ht="15" customHeight="1" x14ac:dyDescent="0.3">
      <c r="A933" s="181" t="s">
        <v>350</v>
      </c>
      <c r="B933" s="181"/>
      <c r="C933" s="181"/>
      <c r="D933" s="181"/>
      <c r="E933" s="181"/>
      <c r="F933" s="181"/>
      <c r="G933" s="181"/>
      <c r="H933" s="181"/>
      <c r="I933" s="95"/>
    </row>
    <row r="934" spans="1:9" ht="15" customHeight="1" x14ac:dyDescent="0.3">
      <c r="A934" s="145">
        <f>A932+(G932*H932)</f>
        <v>26858</v>
      </c>
      <c r="B934" s="141" t="s">
        <v>435</v>
      </c>
      <c r="C934" s="180"/>
      <c r="D934" s="145"/>
      <c r="E934" s="145" t="s">
        <v>123</v>
      </c>
      <c r="F934" s="145" t="s">
        <v>1045</v>
      </c>
      <c r="G934" s="145">
        <f t="shared" si="52"/>
        <v>1</v>
      </c>
      <c r="H934" s="145">
        <v>1</v>
      </c>
      <c r="I934" s="96"/>
    </row>
    <row r="935" spans="1:9" ht="15" customHeight="1" x14ac:dyDescent="0.3">
      <c r="A935" s="145">
        <f t="shared" si="53"/>
        <v>26859</v>
      </c>
      <c r="B935" s="141" t="s">
        <v>518</v>
      </c>
      <c r="C935" s="180"/>
      <c r="D935" s="145"/>
      <c r="E935" s="145" t="s">
        <v>123</v>
      </c>
      <c r="F935" s="145" t="s">
        <v>1045</v>
      </c>
      <c r="G935" s="145">
        <f t="shared" si="52"/>
        <v>1</v>
      </c>
      <c r="H935" s="145">
        <v>1</v>
      </c>
      <c r="I935" s="96"/>
    </row>
    <row r="936" spans="1:9" ht="15" customHeight="1" x14ac:dyDescent="0.3">
      <c r="A936" s="145">
        <f t="shared" si="53"/>
        <v>26860</v>
      </c>
      <c r="B936" s="141" t="s">
        <v>519</v>
      </c>
      <c r="C936" s="180"/>
      <c r="D936" s="145"/>
      <c r="E936" s="145" t="s">
        <v>123</v>
      </c>
      <c r="F936" s="145" t="s">
        <v>1044</v>
      </c>
      <c r="G936" s="145">
        <f t="shared" si="52"/>
        <v>1</v>
      </c>
      <c r="H936" s="145">
        <v>1</v>
      </c>
      <c r="I936" s="96"/>
    </row>
    <row r="937" spans="1:9" ht="15" customHeight="1" x14ac:dyDescent="0.3">
      <c r="A937" s="145">
        <f t="shared" si="53"/>
        <v>26861</v>
      </c>
      <c r="B937" s="141" t="s">
        <v>434</v>
      </c>
      <c r="C937" s="180"/>
      <c r="D937" s="145"/>
      <c r="E937" s="145" t="s">
        <v>123</v>
      </c>
      <c r="F937" s="145" t="s">
        <v>1044</v>
      </c>
      <c r="G937" s="145">
        <f t="shared" si="52"/>
        <v>1</v>
      </c>
      <c r="H937" s="145">
        <v>1</v>
      </c>
      <c r="I937" s="96"/>
    </row>
    <row r="938" spans="1:9" ht="15" customHeight="1" x14ac:dyDescent="0.3">
      <c r="A938" s="145">
        <f t="shared" si="53"/>
        <v>26862</v>
      </c>
      <c r="B938" s="141" t="s">
        <v>517</v>
      </c>
      <c r="C938" s="180"/>
      <c r="D938" s="145"/>
      <c r="E938" s="145" t="s">
        <v>58</v>
      </c>
      <c r="F938" s="145" t="s">
        <v>1044</v>
      </c>
      <c r="G938" s="145">
        <f t="shared" si="52"/>
        <v>2</v>
      </c>
      <c r="H938" s="145">
        <v>1</v>
      </c>
      <c r="I938" s="96"/>
    </row>
    <row r="939" spans="1:9" ht="15" customHeight="1" x14ac:dyDescent="0.3">
      <c r="A939" s="131">
        <f t="shared" si="53"/>
        <v>26864</v>
      </c>
      <c r="B939" s="138" t="s">
        <v>349</v>
      </c>
      <c r="C939" s="138"/>
      <c r="D939" s="131"/>
      <c r="E939" s="15" t="s">
        <v>123</v>
      </c>
      <c r="F939" s="15" t="s">
        <v>1044</v>
      </c>
      <c r="G939" s="15">
        <f t="shared" si="52"/>
        <v>1</v>
      </c>
      <c r="H939" s="131">
        <v>6</v>
      </c>
      <c r="I939" s="85"/>
    </row>
    <row r="940" spans="1:9" ht="15" customHeight="1" x14ac:dyDescent="0.3">
      <c r="A940" s="131">
        <f t="shared" si="53"/>
        <v>26870</v>
      </c>
      <c r="B940" s="138" t="s">
        <v>351</v>
      </c>
      <c r="C940" s="138"/>
      <c r="D940" s="131"/>
      <c r="E940" s="15" t="s">
        <v>123</v>
      </c>
      <c r="F940" s="15" t="s">
        <v>1044</v>
      </c>
      <c r="G940" s="15">
        <f t="shared" si="52"/>
        <v>1</v>
      </c>
      <c r="H940" s="131">
        <v>6</v>
      </c>
      <c r="I940" s="85"/>
    </row>
    <row r="941" spans="1:9" ht="15" customHeight="1" x14ac:dyDescent="0.3">
      <c r="A941" s="131">
        <f t="shared" si="53"/>
        <v>26876</v>
      </c>
      <c r="B941" s="138" t="s">
        <v>352</v>
      </c>
      <c r="C941" s="138"/>
      <c r="D941" s="131"/>
      <c r="E941" s="15" t="s">
        <v>123</v>
      </c>
      <c r="F941" s="15" t="s">
        <v>1044</v>
      </c>
      <c r="G941" s="15">
        <f t="shared" si="52"/>
        <v>1</v>
      </c>
      <c r="H941" s="131">
        <v>6</v>
      </c>
      <c r="I941" s="85"/>
    </row>
    <row r="942" spans="1:9" ht="15" customHeight="1" x14ac:dyDescent="0.3">
      <c r="A942" s="131">
        <f t="shared" si="53"/>
        <v>26882</v>
      </c>
      <c r="B942" s="138" t="s">
        <v>353</v>
      </c>
      <c r="C942" s="138"/>
      <c r="D942" s="131"/>
      <c r="E942" s="15" t="s">
        <v>123</v>
      </c>
      <c r="F942" s="15" t="s">
        <v>1044</v>
      </c>
      <c r="G942" s="15">
        <f t="shared" si="52"/>
        <v>1</v>
      </c>
      <c r="H942" s="131">
        <v>6</v>
      </c>
      <c r="I942" s="85"/>
    </row>
    <row r="943" spans="1:9" ht="15" customHeight="1" x14ac:dyDescent="0.3">
      <c r="A943" s="131">
        <f t="shared" si="53"/>
        <v>26888</v>
      </c>
      <c r="B943" s="138" t="s">
        <v>354</v>
      </c>
      <c r="C943" s="138"/>
      <c r="D943" s="131"/>
      <c r="E943" s="15" t="s">
        <v>123</v>
      </c>
      <c r="F943" s="15" t="s">
        <v>1044</v>
      </c>
      <c r="G943" s="15">
        <f t="shared" si="52"/>
        <v>1</v>
      </c>
      <c r="H943" s="131">
        <v>6</v>
      </c>
      <c r="I943" s="85"/>
    </row>
    <row r="944" spans="1:9" ht="15" customHeight="1" x14ac:dyDescent="0.3">
      <c r="A944" s="131">
        <f t="shared" si="53"/>
        <v>26894</v>
      </c>
      <c r="B944" s="138" t="s">
        <v>355</v>
      </c>
      <c r="C944" s="138"/>
      <c r="D944" s="131"/>
      <c r="E944" s="15" t="s">
        <v>123</v>
      </c>
      <c r="F944" s="15" t="s">
        <v>1044</v>
      </c>
      <c r="G944" s="15">
        <f t="shared" si="52"/>
        <v>1</v>
      </c>
      <c r="H944" s="131">
        <v>6</v>
      </c>
      <c r="I944" s="85"/>
    </row>
    <row r="945" spans="1:9" ht="15" customHeight="1" x14ac:dyDescent="0.3">
      <c r="A945" s="131">
        <f t="shared" si="53"/>
        <v>26900</v>
      </c>
      <c r="B945" s="138" t="s">
        <v>356</v>
      </c>
      <c r="C945" s="138"/>
      <c r="D945" s="131"/>
      <c r="E945" s="15" t="s">
        <v>123</v>
      </c>
      <c r="F945" s="15" t="s">
        <v>1044</v>
      </c>
      <c r="G945" s="15">
        <f t="shared" si="52"/>
        <v>1</v>
      </c>
      <c r="H945" s="131">
        <v>6</v>
      </c>
      <c r="I945" s="85"/>
    </row>
    <row r="946" spans="1:9" ht="15" customHeight="1" x14ac:dyDescent="0.3">
      <c r="A946" s="131">
        <f t="shared" si="53"/>
        <v>26906</v>
      </c>
      <c r="B946" s="138" t="s">
        <v>357</v>
      </c>
      <c r="C946" s="138"/>
      <c r="D946" s="131"/>
      <c r="E946" s="15" t="s">
        <v>123</v>
      </c>
      <c r="F946" s="15" t="s">
        <v>1044</v>
      </c>
      <c r="G946" s="15">
        <f t="shared" si="52"/>
        <v>1</v>
      </c>
      <c r="H946" s="131">
        <v>6</v>
      </c>
      <c r="I946" s="85"/>
    </row>
    <row r="947" spans="1:9" ht="15" customHeight="1" x14ac:dyDescent="0.3">
      <c r="A947" s="131">
        <f t="shared" si="53"/>
        <v>26912</v>
      </c>
      <c r="B947" s="138" t="s">
        <v>358</v>
      </c>
      <c r="C947" s="138"/>
      <c r="D947" s="131"/>
      <c r="E947" s="15" t="s">
        <v>123</v>
      </c>
      <c r="F947" s="15" t="s">
        <v>1044</v>
      </c>
      <c r="G947" s="15">
        <f t="shared" si="52"/>
        <v>1</v>
      </c>
      <c r="H947" s="131">
        <v>6</v>
      </c>
      <c r="I947" s="85"/>
    </row>
    <row r="948" spans="1:9" ht="15" customHeight="1" x14ac:dyDescent="0.3">
      <c r="A948" s="131">
        <f t="shared" si="53"/>
        <v>26918</v>
      </c>
      <c r="B948" s="138" t="s">
        <v>359</v>
      </c>
      <c r="C948" s="138"/>
      <c r="D948" s="131"/>
      <c r="E948" s="15" t="s">
        <v>123</v>
      </c>
      <c r="F948" s="15" t="s">
        <v>1044</v>
      </c>
      <c r="G948" s="15">
        <f t="shared" si="52"/>
        <v>1</v>
      </c>
      <c r="H948" s="131">
        <v>6</v>
      </c>
      <c r="I948" s="85"/>
    </row>
    <row r="949" spans="1:9" ht="15" customHeight="1" x14ac:dyDescent="0.3">
      <c r="A949" s="131">
        <f t="shared" si="53"/>
        <v>26924</v>
      </c>
      <c r="B949" s="138" t="s">
        <v>360</v>
      </c>
      <c r="C949" s="138"/>
      <c r="D949" s="131"/>
      <c r="E949" s="15" t="s">
        <v>123</v>
      </c>
      <c r="F949" s="15" t="s">
        <v>1044</v>
      </c>
      <c r="G949" s="15">
        <f t="shared" si="52"/>
        <v>1</v>
      </c>
      <c r="H949" s="131">
        <v>6</v>
      </c>
      <c r="I949" s="85"/>
    </row>
    <row r="950" spans="1:9" ht="15" customHeight="1" x14ac:dyDescent="0.3">
      <c r="A950" s="131">
        <f t="shared" si="53"/>
        <v>26930</v>
      </c>
      <c r="B950" s="138" t="s">
        <v>361</v>
      </c>
      <c r="C950" s="138"/>
      <c r="D950" s="131"/>
      <c r="E950" s="15" t="s">
        <v>123</v>
      </c>
      <c r="F950" s="15" t="s">
        <v>1044</v>
      </c>
      <c r="G950" s="15">
        <f t="shared" si="52"/>
        <v>1</v>
      </c>
      <c r="H950" s="131">
        <v>6</v>
      </c>
      <c r="I950" s="85"/>
    </row>
    <row r="951" spans="1:9" ht="15" customHeight="1" x14ac:dyDescent="0.3">
      <c r="A951" s="131">
        <f t="shared" si="53"/>
        <v>26936</v>
      </c>
      <c r="B951" s="138" t="s">
        <v>362</v>
      </c>
      <c r="C951" s="138"/>
      <c r="D951" s="131"/>
      <c r="E951" s="15" t="s">
        <v>123</v>
      </c>
      <c r="F951" s="15" t="s">
        <v>1044</v>
      </c>
      <c r="G951" s="15">
        <f t="shared" si="52"/>
        <v>1</v>
      </c>
      <c r="H951" s="131">
        <v>6</v>
      </c>
      <c r="I951" s="85"/>
    </row>
    <row r="952" spans="1:9" ht="15" customHeight="1" x14ac:dyDescent="0.3">
      <c r="A952" s="131">
        <f t="shared" si="53"/>
        <v>26942</v>
      </c>
      <c r="B952" s="138" t="s">
        <v>363</v>
      </c>
      <c r="C952" s="138"/>
      <c r="D952" s="131"/>
      <c r="E952" s="15" t="s">
        <v>123</v>
      </c>
      <c r="F952" s="15" t="s">
        <v>1044</v>
      </c>
      <c r="G952" s="15">
        <f t="shared" si="52"/>
        <v>1</v>
      </c>
      <c r="H952" s="131">
        <v>6</v>
      </c>
      <c r="I952" s="85"/>
    </row>
    <row r="953" spans="1:9" ht="15" customHeight="1" x14ac:dyDescent="0.3">
      <c r="A953" s="131">
        <f t="shared" si="53"/>
        <v>26948</v>
      </c>
      <c r="B953" s="138" t="s">
        <v>364</v>
      </c>
      <c r="C953" s="138"/>
      <c r="D953" s="131"/>
      <c r="E953" s="15" t="s">
        <v>123</v>
      </c>
      <c r="F953" s="15" t="s">
        <v>1044</v>
      </c>
      <c r="G953" s="15">
        <f t="shared" si="52"/>
        <v>1</v>
      </c>
      <c r="H953" s="131">
        <v>6</v>
      </c>
      <c r="I953" s="85"/>
    </row>
    <row r="954" spans="1:9" ht="15" customHeight="1" x14ac:dyDescent="0.3">
      <c r="A954" s="131">
        <f t="shared" si="53"/>
        <v>26954</v>
      </c>
      <c r="B954" s="138" t="s">
        <v>365</v>
      </c>
      <c r="C954" s="138"/>
      <c r="D954" s="131"/>
      <c r="E954" s="15" t="s">
        <v>123</v>
      </c>
      <c r="F954" s="15" t="s">
        <v>1044</v>
      </c>
      <c r="G954" s="15">
        <f t="shared" si="52"/>
        <v>1</v>
      </c>
      <c r="H954" s="131">
        <v>6</v>
      </c>
      <c r="I954" s="85"/>
    </row>
    <row r="955" spans="1:9" ht="15" customHeight="1" x14ac:dyDescent="0.3">
      <c r="A955" s="131">
        <f t="shared" si="53"/>
        <v>26960</v>
      </c>
      <c r="B955" s="138" t="s">
        <v>366</v>
      </c>
      <c r="C955" s="138"/>
      <c r="D955" s="131"/>
      <c r="E955" s="15" t="s">
        <v>123</v>
      </c>
      <c r="F955" s="15" t="s">
        <v>1044</v>
      </c>
      <c r="G955" s="15">
        <f t="shared" si="52"/>
        <v>1</v>
      </c>
      <c r="H955" s="131">
        <v>6</v>
      </c>
      <c r="I955" s="85"/>
    </row>
    <row r="956" spans="1:9" ht="15" customHeight="1" x14ac:dyDescent="0.3">
      <c r="A956" s="131">
        <f t="shared" si="53"/>
        <v>26966</v>
      </c>
      <c r="B956" s="138" t="s">
        <v>367</v>
      </c>
      <c r="C956" s="138"/>
      <c r="D956" s="131"/>
      <c r="E956" s="15" t="s">
        <v>123</v>
      </c>
      <c r="F956" s="15" t="s">
        <v>1044</v>
      </c>
      <c r="G956" s="15">
        <f t="shared" si="52"/>
        <v>1</v>
      </c>
      <c r="H956" s="131">
        <v>6</v>
      </c>
      <c r="I956" s="85"/>
    </row>
    <row r="957" spans="1:9" ht="15" customHeight="1" x14ac:dyDescent="0.3">
      <c r="A957" s="131">
        <f t="shared" si="53"/>
        <v>26972</v>
      </c>
      <c r="B957" s="138" t="s">
        <v>368</v>
      </c>
      <c r="C957" s="138"/>
      <c r="D957" s="131"/>
      <c r="E957" s="15" t="s">
        <v>123</v>
      </c>
      <c r="F957" s="15" t="s">
        <v>1044</v>
      </c>
      <c r="G957" s="15">
        <f t="shared" si="52"/>
        <v>1</v>
      </c>
      <c r="H957" s="131">
        <v>6</v>
      </c>
      <c r="I957" s="85"/>
    </row>
    <row r="958" spans="1:9" ht="15" customHeight="1" x14ac:dyDescent="0.3">
      <c r="A958" s="131">
        <f t="shared" si="53"/>
        <v>26978</v>
      </c>
      <c r="B958" s="138" t="s">
        <v>369</v>
      </c>
      <c r="C958" s="138"/>
      <c r="D958" s="131"/>
      <c r="E958" s="15" t="s">
        <v>123</v>
      </c>
      <c r="F958" s="15" t="s">
        <v>1044</v>
      </c>
      <c r="G958" s="15">
        <f t="shared" si="52"/>
        <v>1</v>
      </c>
      <c r="H958" s="131">
        <v>6</v>
      </c>
      <c r="I958" s="85"/>
    </row>
    <row r="959" spans="1:9" ht="15" customHeight="1" x14ac:dyDescent="0.3">
      <c r="A959" s="131">
        <f t="shared" si="53"/>
        <v>26984</v>
      </c>
      <c r="B959" s="138" t="s">
        <v>370</v>
      </c>
      <c r="C959" s="138"/>
      <c r="D959" s="131"/>
      <c r="E959" s="15" t="s">
        <v>123</v>
      </c>
      <c r="F959" s="15" t="s">
        <v>1044</v>
      </c>
      <c r="G959" s="15">
        <f t="shared" si="52"/>
        <v>1</v>
      </c>
      <c r="H959" s="131">
        <v>6</v>
      </c>
      <c r="I959" s="85"/>
    </row>
    <row r="960" spans="1:9" ht="15" customHeight="1" x14ac:dyDescent="0.3">
      <c r="A960" s="131">
        <f t="shared" si="53"/>
        <v>26990</v>
      </c>
      <c r="B960" s="138" t="s">
        <v>371</v>
      </c>
      <c r="C960" s="138"/>
      <c r="D960" s="131"/>
      <c r="E960" s="15" t="s">
        <v>123</v>
      </c>
      <c r="F960" s="15" t="s">
        <v>1044</v>
      </c>
      <c r="G960" s="15">
        <f t="shared" si="52"/>
        <v>1</v>
      </c>
      <c r="H960" s="131">
        <v>6</v>
      </c>
      <c r="I960" s="85"/>
    </row>
    <row r="961" spans="1:9" ht="15" customHeight="1" x14ac:dyDescent="0.3">
      <c r="A961" s="131">
        <f t="shared" si="53"/>
        <v>26996</v>
      </c>
      <c r="B961" s="138" t="s">
        <v>372</v>
      </c>
      <c r="C961" s="138"/>
      <c r="D961" s="131"/>
      <c r="E961" s="15" t="s">
        <v>123</v>
      </c>
      <c r="F961" s="15" t="s">
        <v>1044</v>
      </c>
      <c r="G961" s="15">
        <f t="shared" si="52"/>
        <v>1</v>
      </c>
      <c r="H961" s="131">
        <v>6</v>
      </c>
      <c r="I961" s="85"/>
    </row>
    <row r="962" spans="1:9" ht="15" customHeight="1" x14ac:dyDescent="0.3">
      <c r="A962" s="131">
        <f t="shared" si="53"/>
        <v>27002</v>
      </c>
      <c r="B962" s="138" t="s">
        <v>373</v>
      </c>
      <c r="C962" s="138"/>
      <c r="D962" s="131"/>
      <c r="E962" s="15" t="s">
        <v>123</v>
      </c>
      <c r="F962" s="15" t="s">
        <v>1044</v>
      </c>
      <c r="G962" s="15">
        <f t="shared" si="52"/>
        <v>1</v>
      </c>
      <c r="H962" s="131">
        <v>6</v>
      </c>
      <c r="I962" s="85"/>
    </row>
    <row r="963" spans="1:9" ht="15" customHeight="1" x14ac:dyDescent="0.3">
      <c r="A963" s="131">
        <f t="shared" si="53"/>
        <v>27008</v>
      </c>
      <c r="B963" s="138" t="s">
        <v>374</v>
      </c>
      <c r="C963" s="138"/>
      <c r="D963" s="131"/>
      <c r="E963" s="15" t="s">
        <v>123</v>
      </c>
      <c r="F963" s="15" t="s">
        <v>1044</v>
      </c>
      <c r="G963" s="15">
        <f t="shared" si="52"/>
        <v>1</v>
      </c>
      <c r="H963" s="131">
        <v>6</v>
      </c>
      <c r="I963" s="85"/>
    </row>
    <row r="964" spans="1:9" ht="15" customHeight="1" x14ac:dyDescent="0.3">
      <c r="A964" s="131">
        <f t="shared" si="53"/>
        <v>27014</v>
      </c>
      <c r="B964" s="138" t="s">
        <v>375</v>
      </c>
      <c r="C964" s="138"/>
      <c r="D964" s="131"/>
      <c r="E964" s="15" t="s">
        <v>123</v>
      </c>
      <c r="F964" s="15" t="s">
        <v>1044</v>
      </c>
      <c r="G964" s="15">
        <f t="shared" si="52"/>
        <v>1</v>
      </c>
      <c r="H964" s="131">
        <v>6</v>
      </c>
      <c r="I964" s="85"/>
    </row>
    <row r="965" spans="1:9" ht="15" customHeight="1" x14ac:dyDescent="0.3">
      <c r="A965" s="131">
        <f t="shared" si="53"/>
        <v>27020</v>
      </c>
      <c r="B965" s="138" t="s">
        <v>376</v>
      </c>
      <c r="C965" s="138"/>
      <c r="D965" s="131"/>
      <c r="E965" s="15" t="s">
        <v>123</v>
      </c>
      <c r="F965" s="15" t="s">
        <v>1044</v>
      </c>
      <c r="G965" s="15">
        <f t="shared" si="52"/>
        <v>1</v>
      </c>
      <c r="H965" s="131">
        <v>6</v>
      </c>
      <c r="I965" s="85"/>
    </row>
    <row r="966" spans="1:9" ht="15" customHeight="1" x14ac:dyDescent="0.3">
      <c r="A966" s="131">
        <f t="shared" si="53"/>
        <v>27026</v>
      </c>
      <c r="B966" s="138" t="s">
        <v>377</v>
      </c>
      <c r="C966" s="138"/>
      <c r="D966" s="131"/>
      <c r="E966" s="15" t="s">
        <v>123</v>
      </c>
      <c r="F966" s="15" t="s">
        <v>1044</v>
      </c>
      <c r="G966" s="15">
        <f t="shared" si="52"/>
        <v>1</v>
      </c>
      <c r="H966" s="131">
        <v>6</v>
      </c>
      <c r="I966" s="85"/>
    </row>
    <row r="967" spans="1:9" ht="15" customHeight="1" x14ac:dyDescent="0.3">
      <c r="A967" s="131">
        <f t="shared" si="53"/>
        <v>27032</v>
      </c>
      <c r="B967" s="138" t="s">
        <v>378</v>
      </c>
      <c r="C967" s="138"/>
      <c r="D967" s="131"/>
      <c r="E967" s="15" t="s">
        <v>123</v>
      </c>
      <c r="F967" s="15" t="s">
        <v>1044</v>
      </c>
      <c r="G967" s="15">
        <f t="shared" si="52"/>
        <v>1</v>
      </c>
      <c r="H967" s="131">
        <v>6</v>
      </c>
      <c r="I967" s="85"/>
    </row>
    <row r="968" spans="1:9" ht="15" customHeight="1" x14ac:dyDescent="0.3">
      <c r="A968" s="131">
        <f t="shared" si="53"/>
        <v>27038</v>
      </c>
      <c r="B968" s="138" t="s">
        <v>379</v>
      </c>
      <c r="C968" s="138"/>
      <c r="D968" s="131"/>
      <c r="E968" s="15" t="s">
        <v>123</v>
      </c>
      <c r="F968" s="15" t="s">
        <v>1044</v>
      </c>
      <c r="G968" s="15">
        <f t="shared" si="52"/>
        <v>1</v>
      </c>
      <c r="H968" s="131">
        <v>6</v>
      </c>
      <c r="I968" s="85"/>
    </row>
    <row r="969" spans="1:9" ht="15" customHeight="1" x14ac:dyDescent="0.3">
      <c r="A969" s="131">
        <f t="shared" si="53"/>
        <v>27044</v>
      </c>
      <c r="B969" s="138" t="s">
        <v>380</v>
      </c>
      <c r="C969" s="138"/>
      <c r="D969" s="131"/>
      <c r="E969" s="15" t="s">
        <v>123</v>
      </c>
      <c r="F969" s="15" t="s">
        <v>1044</v>
      </c>
      <c r="G969" s="15">
        <f t="shared" si="52"/>
        <v>1</v>
      </c>
      <c r="H969" s="131">
        <v>6</v>
      </c>
      <c r="I969" s="85"/>
    </row>
    <row r="970" spans="1:9" ht="13.5" customHeight="1" x14ac:dyDescent="0.3">
      <c r="A970" s="131">
        <f t="shared" si="53"/>
        <v>27050</v>
      </c>
      <c r="B970" s="8"/>
      <c r="E970" s="8"/>
      <c r="F970" s="8"/>
      <c r="G970" s="8"/>
    </row>
    <row r="971" spans="1:9" ht="13.5" customHeight="1" x14ac:dyDescent="0.3">
      <c r="B971" s="8"/>
      <c r="E971" s="8"/>
      <c r="F971" s="8"/>
      <c r="G971" s="8"/>
    </row>
  </sheetData>
  <mergeCells count="101">
    <mergeCell ref="A2:H2"/>
    <mergeCell ref="D8:D15"/>
    <mergeCell ref="D16:D17"/>
    <mergeCell ref="C18:C20"/>
    <mergeCell ref="C21:C23"/>
    <mergeCell ref="C24:C25"/>
    <mergeCell ref="D76:D79"/>
    <mergeCell ref="C80:C83"/>
    <mergeCell ref="D80:D83"/>
    <mergeCell ref="C47:C49"/>
    <mergeCell ref="D50:D51"/>
    <mergeCell ref="D52:D59"/>
    <mergeCell ref="C26:C27"/>
    <mergeCell ref="C28:C29"/>
    <mergeCell ref="D33:D37"/>
    <mergeCell ref="C41:C42"/>
    <mergeCell ref="C43:C44"/>
    <mergeCell ref="C45:C46"/>
    <mergeCell ref="C84:C87"/>
    <mergeCell ref="D84:D87"/>
    <mergeCell ref="J84:J87"/>
    <mergeCell ref="D60:D67"/>
    <mergeCell ref="C64:C67"/>
    <mergeCell ref="D68:D75"/>
    <mergeCell ref="C72:C75"/>
    <mergeCell ref="A241:H241"/>
    <mergeCell ref="D116:D119"/>
    <mergeCell ref="D120:D123"/>
    <mergeCell ref="A124:H124"/>
    <mergeCell ref="C88:C91"/>
    <mergeCell ref="D88:D90"/>
    <mergeCell ref="J88:J90"/>
    <mergeCell ref="C92:C94"/>
    <mergeCell ref="D92:D115"/>
    <mergeCell ref="C95:C97"/>
    <mergeCell ref="A203:H203"/>
    <mergeCell ref="C204:C205"/>
    <mergeCell ref="C206:C207"/>
    <mergeCell ref="C208:C209"/>
    <mergeCell ref="C210:C211"/>
    <mergeCell ref="C212:C213"/>
    <mergeCell ref="C214:C215"/>
    <mergeCell ref="C216:C217"/>
    <mergeCell ref="C218:C219"/>
    <mergeCell ref="C332:C334"/>
    <mergeCell ref="C335:C337"/>
    <mergeCell ref="A270:H270"/>
    <mergeCell ref="C276:C278"/>
    <mergeCell ref="C279:C281"/>
    <mergeCell ref="C283:C285"/>
    <mergeCell ref="C286:C288"/>
    <mergeCell ref="C289:C291"/>
    <mergeCell ref="C292:C294"/>
    <mergeCell ref="C295:C297"/>
    <mergeCell ref="C298:C301"/>
    <mergeCell ref="C302:C305"/>
    <mergeCell ref="C306:C309"/>
    <mergeCell ref="C310:C313"/>
    <mergeCell ref="C314:C317"/>
    <mergeCell ref="A318:H318"/>
    <mergeCell ref="C325:C327"/>
    <mergeCell ref="C328:C330"/>
    <mergeCell ref="C338:C340"/>
    <mergeCell ref="C341:C343"/>
    <mergeCell ref="C344:C346"/>
    <mergeCell ref="C347:C350"/>
    <mergeCell ref="C351:C354"/>
    <mergeCell ref="C355:C358"/>
    <mergeCell ref="C359:C362"/>
    <mergeCell ref="C363:C366"/>
    <mergeCell ref="A367:H367"/>
    <mergeCell ref="A378:H378"/>
    <mergeCell ref="A389:H389"/>
    <mergeCell ref="B393:B396"/>
    <mergeCell ref="A442:H442"/>
    <mergeCell ref="B446:B450"/>
    <mergeCell ref="A485:H485"/>
    <mergeCell ref="B490:B494"/>
    <mergeCell ref="A532:H532"/>
    <mergeCell ref="A573:H573"/>
    <mergeCell ref="A527:H527"/>
    <mergeCell ref="A924:H924"/>
    <mergeCell ref="A928:H928"/>
    <mergeCell ref="A933:H933"/>
    <mergeCell ref="C934:C938"/>
    <mergeCell ref="J584:J595"/>
    <mergeCell ref="A597:H597"/>
    <mergeCell ref="A647:H647"/>
    <mergeCell ref="A706:H706"/>
    <mergeCell ref="A710:H710"/>
    <mergeCell ref="B715:B723"/>
    <mergeCell ref="A756:H756"/>
    <mergeCell ref="B761:B769"/>
    <mergeCell ref="A802:H802"/>
    <mergeCell ref="A803:H803"/>
    <mergeCell ref="A824:H824"/>
    <mergeCell ref="A834:H834"/>
    <mergeCell ref="A835:H835"/>
    <mergeCell ref="A840:H840"/>
    <mergeCell ref="A846:H846"/>
    <mergeCell ref="A584:H584"/>
  </mergeCells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1"/>
  <sheetViews>
    <sheetView topLeftCell="A67" workbookViewId="0">
      <selection activeCell="M87" sqref="M87"/>
    </sheetView>
  </sheetViews>
  <sheetFormatPr defaultRowHeight="16.5" x14ac:dyDescent="0.3"/>
  <cols>
    <col min="1" max="1" width="15.125" style="6" customWidth="1"/>
    <col min="2" max="2" width="22.375" customWidth="1"/>
  </cols>
  <sheetData>
    <row r="1" spans="1:2" x14ac:dyDescent="0.3">
      <c r="A1" s="192" t="s">
        <v>398</v>
      </c>
      <c r="B1" s="193"/>
    </row>
    <row r="2" spans="1:2" x14ac:dyDescent="0.3">
      <c r="A2" s="1">
        <v>1</v>
      </c>
      <c r="B2" s="3" t="s">
        <v>347</v>
      </c>
    </row>
    <row r="3" spans="1:2" x14ac:dyDescent="0.3">
      <c r="A3" s="1">
        <f>A2+1</f>
        <v>2</v>
      </c>
      <c r="B3" s="3" t="s">
        <v>348</v>
      </c>
    </row>
    <row r="4" spans="1:2" x14ac:dyDescent="0.3">
      <c r="A4" s="1">
        <f t="shared" ref="A4:A23" si="0">A3+1</f>
        <v>3</v>
      </c>
      <c r="B4" s="3" t="s">
        <v>303</v>
      </c>
    </row>
    <row r="5" spans="1:2" x14ac:dyDescent="0.3">
      <c r="A5" s="1">
        <f t="shared" si="0"/>
        <v>4</v>
      </c>
      <c r="B5" s="3" t="s">
        <v>155</v>
      </c>
    </row>
    <row r="6" spans="1:2" x14ac:dyDescent="0.3">
      <c r="A6" s="1">
        <f t="shared" si="0"/>
        <v>5</v>
      </c>
      <c r="B6" s="3" t="s">
        <v>156</v>
      </c>
    </row>
    <row r="7" spans="1:2" x14ac:dyDescent="0.3">
      <c r="A7" s="1">
        <f t="shared" si="0"/>
        <v>6</v>
      </c>
      <c r="B7" s="3" t="s">
        <v>304</v>
      </c>
    </row>
    <row r="8" spans="1:2" x14ac:dyDescent="0.3">
      <c r="A8" s="1">
        <f t="shared" si="0"/>
        <v>7</v>
      </c>
      <c r="B8" s="3" t="s">
        <v>305</v>
      </c>
    </row>
    <row r="9" spans="1:2" x14ac:dyDescent="0.3">
      <c r="A9" s="1">
        <f t="shared" si="0"/>
        <v>8</v>
      </c>
      <c r="B9" s="3" t="s">
        <v>306</v>
      </c>
    </row>
    <row r="10" spans="1:2" x14ac:dyDescent="0.3">
      <c r="A10" s="1">
        <f t="shared" si="0"/>
        <v>9</v>
      </c>
      <c r="B10" s="3" t="s">
        <v>307</v>
      </c>
    </row>
    <row r="11" spans="1:2" x14ac:dyDescent="0.3">
      <c r="A11" s="1">
        <f t="shared" si="0"/>
        <v>10</v>
      </c>
      <c r="B11" s="3" t="s">
        <v>308</v>
      </c>
    </row>
    <row r="12" spans="1:2" x14ac:dyDescent="0.3">
      <c r="A12" s="1">
        <f t="shared" si="0"/>
        <v>11</v>
      </c>
      <c r="B12" s="3" t="s">
        <v>309</v>
      </c>
    </row>
    <row r="13" spans="1:2" x14ac:dyDescent="0.3">
      <c r="A13" s="1">
        <f t="shared" si="0"/>
        <v>12</v>
      </c>
      <c r="B13" s="3" t="s">
        <v>310</v>
      </c>
    </row>
    <row r="14" spans="1:2" x14ac:dyDescent="0.3">
      <c r="A14" s="1">
        <f t="shared" si="0"/>
        <v>13</v>
      </c>
      <c r="B14" s="3" t="s">
        <v>311</v>
      </c>
    </row>
    <row r="15" spans="1:2" x14ac:dyDescent="0.3">
      <c r="A15" s="1">
        <f t="shared" si="0"/>
        <v>14</v>
      </c>
      <c r="B15" s="3" t="s">
        <v>1</v>
      </c>
    </row>
    <row r="16" spans="1:2" x14ac:dyDescent="0.3">
      <c r="A16" s="1">
        <f t="shared" si="0"/>
        <v>15</v>
      </c>
      <c r="B16" s="3" t="s">
        <v>2</v>
      </c>
    </row>
    <row r="17" spans="1:2" x14ac:dyDescent="0.3">
      <c r="A17" s="1">
        <f t="shared" si="0"/>
        <v>16</v>
      </c>
      <c r="B17" s="3" t="s">
        <v>402</v>
      </c>
    </row>
    <row r="18" spans="1:2" x14ac:dyDescent="0.3">
      <c r="A18" s="1">
        <f t="shared" si="0"/>
        <v>17</v>
      </c>
      <c r="B18" s="3" t="s">
        <v>403</v>
      </c>
    </row>
    <row r="19" spans="1:2" x14ac:dyDescent="0.3">
      <c r="A19" s="1">
        <f t="shared" si="0"/>
        <v>18</v>
      </c>
      <c r="B19" s="3" t="s">
        <v>404</v>
      </c>
    </row>
    <row r="20" spans="1:2" x14ac:dyDescent="0.3">
      <c r="A20" s="1">
        <f t="shared" si="0"/>
        <v>19</v>
      </c>
      <c r="B20" s="3" t="s">
        <v>312</v>
      </c>
    </row>
    <row r="21" spans="1:2" x14ac:dyDescent="0.3">
      <c r="A21" s="1">
        <f t="shared" si="0"/>
        <v>20</v>
      </c>
      <c r="B21" s="3" t="s">
        <v>3</v>
      </c>
    </row>
    <row r="22" spans="1:2" x14ac:dyDescent="0.3">
      <c r="A22" s="1">
        <f t="shared" si="0"/>
        <v>21</v>
      </c>
      <c r="B22" s="3" t="s">
        <v>4</v>
      </c>
    </row>
    <row r="23" spans="1:2" x14ac:dyDescent="0.3">
      <c r="A23" s="1">
        <f t="shared" si="0"/>
        <v>22</v>
      </c>
      <c r="B23" s="3" t="s">
        <v>313</v>
      </c>
    </row>
    <row r="24" spans="1:2" x14ac:dyDescent="0.3">
      <c r="A24" s="1">
        <f t="shared" ref="A24:A87" si="1">A23+1</f>
        <v>23</v>
      </c>
      <c r="B24" s="3" t="s">
        <v>314</v>
      </c>
    </row>
    <row r="25" spans="1:2" x14ac:dyDescent="0.3">
      <c r="A25" s="1">
        <f t="shared" si="1"/>
        <v>24</v>
      </c>
      <c r="B25" s="3" t="s">
        <v>315</v>
      </c>
    </row>
    <row r="26" spans="1:2" x14ac:dyDescent="0.3">
      <c r="A26" s="1">
        <f t="shared" si="1"/>
        <v>25</v>
      </c>
      <c r="B26" s="3" t="s">
        <v>316</v>
      </c>
    </row>
    <row r="27" spans="1:2" x14ac:dyDescent="0.3">
      <c r="A27" s="1">
        <f t="shared" si="1"/>
        <v>26</v>
      </c>
      <c r="B27" s="3" t="s">
        <v>317</v>
      </c>
    </row>
    <row r="28" spans="1:2" x14ac:dyDescent="0.3">
      <c r="A28" s="1">
        <f t="shared" si="1"/>
        <v>27</v>
      </c>
      <c r="B28" s="3" t="s">
        <v>318</v>
      </c>
    </row>
    <row r="29" spans="1:2" x14ac:dyDescent="0.3">
      <c r="A29" s="1">
        <f t="shared" si="1"/>
        <v>28</v>
      </c>
      <c r="B29" s="3" t="s">
        <v>319</v>
      </c>
    </row>
    <row r="30" spans="1:2" x14ac:dyDescent="0.3">
      <c r="A30" s="1">
        <f t="shared" si="1"/>
        <v>29</v>
      </c>
      <c r="B30" s="3" t="s">
        <v>320</v>
      </c>
    </row>
    <row r="31" spans="1:2" x14ac:dyDescent="0.3">
      <c r="A31" s="1">
        <f t="shared" si="1"/>
        <v>30</v>
      </c>
      <c r="B31" s="3" t="s">
        <v>321</v>
      </c>
    </row>
    <row r="32" spans="1:2" x14ac:dyDescent="0.3">
      <c r="A32" s="1">
        <f t="shared" si="1"/>
        <v>31</v>
      </c>
      <c r="B32" s="3" t="s">
        <v>322</v>
      </c>
    </row>
    <row r="33" spans="1:2" x14ac:dyDescent="0.3">
      <c r="A33" s="1">
        <f t="shared" si="1"/>
        <v>32</v>
      </c>
      <c r="B33" s="3" t="s">
        <v>6</v>
      </c>
    </row>
    <row r="34" spans="1:2" x14ac:dyDescent="0.3">
      <c r="A34" s="1">
        <f t="shared" si="1"/>
        <v>33</v>
      </c>
      <c r="B34" s="3" t="s">
        <v>7</v>
      </c>
    </row>
    <row r="35" spans="1:2" x14ac:dyDescent="0.3">
      <c r="A35" s="1">
        <f t="shared" si="1"/>
        <v>34</v>
      </c>
      <c r="B35" s="3" t="s">
        <v>323</v>
      </c>
    </row>
    <row r="36" spans="1:2" x14ac:dyDescent="0.3">
      <c r="A36" s="1">
        <f t="shared" si="1"/>
        <v>35</v>
      </c>
      <c r="B36" s="3" t="s">
        <v>324</v>
      </c>
    </row>
    <row r="37" spans="1:2" x14ac:dyDescent="0.3">
      <c r="A37" s="1">
        <f t="shared" si="1"/>
        <v>36</v>
      </c>
      <c r="B37" s="3" t="s">
        <v>8</v>
      </c>
    </row>
    <row r="38" spans="1:2" x14ac:dyDescent="0.3">
      <c r="A38" s="1">
        <f t="shared" si="1"/>
        <v>37</v>
      </c>
      <c r="B38" s="3" t="s">
        <v>9</v>
      </c>
    </row>
    <row r="39" spans="1:2" x14ac:dyDescent="0.3">
      <c r="A39" s="1">
        <f t="shared" si="1"/>
        <v>38</v>
      </c>
      <c r="B39" s="3" t="s">
        <v>325</v>
      </c>
    </row>
    <row r="40" spans="1:2" x14ac:dyDescent="0.3">
      <c r="A40" s="1">
        <f t="shared" si="1"/>
        <v>39</v>
      </c>
      <c r="B40" s="3" t="s">
        <v>326</v>
      </c>
    </row>
    <row r="41" spans="1:2" x14ac:dyDescent="0.3">
      <c r="A41" s="1">
        <f t="shared" si="1"/>
        <v>40</v>
      </c>
      <c r="B41" s="3" t="s">
        <v>237</v>
      </c>
    </row>
    <row r="42" spans="1:2" x14ac:dyDescent="0.3">
      <c r="A42" s="1">
        <f t="shared" si="1"/>
        <v>41</v>
      </c>
      <c r="B42" s="3" t="s">
        <v>238</v>
      </c>
    </row>
    <row r="43" spans="1:2" x14ac:dyDescent="0.3">
      <c r="A43" s="1">
        <f t="shared" si="1"/>
        <v>42</v>
      </c>
      <c r="B43" s="3" t="s">
        <v>327</v>
      </c>
    </row>
    <row r="44" spans="1:2" x14ac:dyDescent="0.3">
      <c r="A44" s="1">
        <f t="shared" si="1"/>
        <v>43</v>
      </c>
      <c r="B44" s="3" t="s">
        <v>328</v>
      </c>
    </row>
    <row r="45" spans="1:2" x14ac:dyDescent="0.3">
      <c r="A45" s="1">
        <f t="shared" si="1"/>
        <v>44</v>
      </c>
      <c r="B45" s="3" t="s">
        <v>329</v>
      </c>
    </row>
    <row r="46" spans="1:2" x14ac:dyDescent="0.3">
      <c r="A46" s="1">
        <f t="shared" si="1"/>
        <v>45</v>
      </c>
      <c r="B46" s="3" t="s">
        <v>330</v>
      </c>
    </row>
    <row r="47" spans="1:2" x14ac:dyDescent="0.3">
      <c r="A47" s="1">
        <f t="shared" si="1"/>
        <v>46</v>
      </c>
      <c r="B47" s="3" t="s">
        <v>25</v>
      </c>
    </row>
    <row r="48" spans="1:2" x14ac:dyDescent="0.3">
      <c r="A48" s="1">
        <f t="shared" si="1"/>
        <v>47</v>
      </c>
      <c r="B48" s="3" t="s">
        <v>26</v>
      </c>
    </row>
    <row r="49" spans="1:2" x14ac:dyDescent="0.3">
      <c r="A49" s="1">
        <f t="shared" si="1"/>
        <v>48</v>
      </c>
      <c r="B49" s="3" t="s">
        <v>331</v>
      </c>
    </row>
    <row r="50" spans="1:2" x14ac:dyDescent="0.3">
      <c r="A50" s="1">
        <f t="shared" si="1"/>
        <v>49</v>
      </c>
      <c r="B50" s="3" t="s">
        <v>332</v>
      </c>
    </row>
    <row r="51" spans="1:2" x14ac:dyDescent="0.3">
      <c r="A51" s="1">
        <f t="shared" si="1"/>
        <v>50</v>
      </c>
      <c r="B51" s="3" t="s">
        <v>333</v>
      </c>
    </row>
    <row r="52" spans="1:2" x14ac:dyDescent="0.3">
      <c r="A52" s="1">
        <f t="shared" si="1"/>
        <v>51</v>
      </c>
      <c r="B52" s="3" t="s">
        <v>334</v>
      </c>
    </row>
    <row r="53" spans="1:2" x14ac:dyDescent="0.3">
      <c r="A53" s="1">
        <f t="shared" si="1"/>
        <v>52</v>
      </c>
      <c r="B53" s="3" t="s">
        <v>335</v>
      </c>
    </row>
    <row r="54" spans="1:2" x14ac:dyDescent="0.3">
      <c r="A54" s="1">
        <f t="shared" si="1"/>
        <v>53</v>
      </c>
      <c r="B54" s="3" t="s">
        <v>336</v>
      </c>
    </row>
    <row r="55" spans="1:2" x14ac:dyDescent="0.3">
      <c r="A55" s="1">
        <f t="shared" si="1"/>
        <v>54</v>
      </c>
      <c r="B55" s="3" t="s">
        <v>337</v>
      </c>
    </row>
    <row r="56" spans="1:2" x14ac:dyDescent="0.3">
      <c r="A56" s="1">
        <f t="shared" si="1"/>
        <v>55</v>
      </c>
      <c r="B56" s="3" t="s">
        <v>338</v>
      </c>
    </row>
    <row r="57" spans="1:2" x14ac:dyDescent="0.3">
      <c r="A57" s="1">
        <f t="shared" si="1"/>
        <v>56</v>
      </c>
      <c r="B57" s="3" t="s">
        <v>339</v>
      </c>
    </row>
    <row r="58" spans="1:2" x14ac:dyDescent="0.3">
      <c r="A58" s="1">
        <f t="shared" si="1"/>
        <v>57</v>
      </c>
      <c r="B58" s="3" t="s">
        <v>340</v>
      </c>
    </row>
    <row r="59" spans="1:2" x14ac:dyDescent="0.3">
      <c r="A59" s="1">
        <f t="shared" si="1"/>
        <v>58</v>
      </c>
      <c r="B59" s="3" t="s">
        <v>341</v>
      </c>
    </row>
    <row r="60" spans="1:2" x14ac:dyDescent="0.3">
      <c r="A60" s="1">
        <f t="shared" si="1"/>
        <v>59</v>
      </c>
      <c r="B60" s="3" t="s">
        <v>342</v>
      </c>
    </row>
    <row r="61" spans="1:2" x14ac:dyDescent="0.3">
      <c r="A61" s="1">
        <f t="shared" si="1"/>
        <v>60</v>
      </c>
      <c r="B61" s="3" t="s">
        <v>343</v>
      </c>
    </row>
    <row r="62" spans="1:2" x14ac:dyDescent="0.3">
      <c r="A62" s="1">
        <f t="shared" si="1"/>
        <v>61</v>
      </c>
      <c r="B62" s="3" t="s">
        <v>344</v>
      </c>
    </row>
    <row r="63" spans="1:2" x14ac:dyDescent="0.3">
      <c r="A63" s="1">
        <f t="shared" si="1"/>
        <v>62</v>
      </c>
      <c r="B63" s="3" t="s">
        <v>345</v>
      </c>
    </row>
    <row r="64" spans="1:2" x14ac:dyDescent="0.3">
      <c r="A64" s="1">
        <f t="shared" si="1"/>
        <v>63</v>
      </c>
      <c r="B64" s="3" t="s">
        <v>346</v>
      </c>
    </row>
    <row r="65" spans="1:2" x14ac:dyDescent="0.3">
      <c r="A65" s="26">
        <f t="shared" si="1"/>
        <v>64</v>
      </c>
      <c r="B65" s="7" t="s">
        <v>405</v>
      </c>
    </row>
    <row r="66" spans="1:2" x14ac:dyDescent="0.3">
      <c r="A66" s="26">
        <f t="shared" si="1"/>
        <v>65</v>
      </c>
      <c r="B66" s="7" t="s">
        <v>406</v>
      </c>
    </row>
    <row r="67" spans="1:2" x14ac:dyDescent="0.3">
      <c r="A67" s="26">
        <f t="shared" si="1"/>
        <v>66</v>
      </c>
      <c r="B67" s="7" t="s">
        <v>407</v>
      </c>
    </row>
    <row r="68" spans="1:2" x14ac:dyDescent="0.3">
      <c r="A68" s="26">
        <f t="shared" si="1"/>
        <v>67</v>
      </c>
      <c r="B68" s="7" t="s">
        <v>408</v>
      </c>
    </row>
    <row r="69" spans="1:2" x14ac:dyDescent="0.3">
      <c r="A69" s="26">
        <f t="shared" si="1"/>
        <v>68</v>
      </c>
      <c r="B69" s="7" t="s">
        <v>409</v>
      </c>
    </row>
    <row r="70" spans="1:2" x14ac:dyDescent="0.3">
      <c r="A70" s="26">
        <f t="shared" si="1"/>
        <v>69</v>
      </c>
      <c r="B70" s="7" t="s">
        <v>410</v>
      </c>
    </row>
    <row r="71" spans="1:2" x14ac:dyDescent="0.3">
      <c r="A71" s="26">
        <f t="shared" si="1"/>
        <v>70</v>
      </c>
      <c r="B71" s="5" t="s">
        <v>411</v>
      </c>
    </row>
    <row r="72" spans="1:2" x14ac:dyDescent="0.3">
      <c r="A72" s="26">
        <f t="shared" si="1"/>
        <v>71</v>
      </c>
      <c r="B72" s="5" t="s">
        <v>412</v>
      </c>
    </row>
    <row r="73" spans="1:2" x14ac:dyDescent="0.3">
      <c r="A73" s="26">
        <f t="shared" si="1"/>
        <v>72</v>
      </c>
      <c r="B73" s="5" t="s">
        <v>413</v>
      </c>
    </row>
    <row r="74" spans="1:2" x14ac:dyDescent="0.3">
      <c r="A74" s="26">
        <f t="shared" si="1"/>
        <v>73</v>
      </c>
      <c r="B74" s="5" t="s">
        <v>414</v>
      </c>
    </row>
    <row r="75" spans="1:2" x14ac:dyDescent="0.3">
      <c r="A75" s="26">
        <f t="shared" si="1"/>
        <v>74</v>
      </c>
      <c r="B75" s="5" t="s">
        <v>415</v>
      </c>
    </row>
    <row r="76" spans="1:2" x14ac:dyDescent="0.3">
      <c r="A76" s="26">
        <f t="shared" si="1"/>
        <v>75</v>
      </c>
      <c r="B76" s="5" t="s">
        <v>416</v>
      </c>
    </row>
    <row r="77" spans="1:2" x14ac:dyDescent="0.3">
      <c r="A77" s="26">
        <f t="shared" si="1"/>
        <v>76</v>
      </c>
      <c r="B77" s="5" t="s">
        <v>417</v>
      </c>
    </row>
    <row r="78" spans="1:2" x14ac:dyDescent="0.3">
      <c r="A78" s="26">
        <f t="shared" si="1"/>
        <v>77</v>
      </c>
      <c r="B78" s="5" t="s">
        <v>418</v>
      </c>
    </row>
    <row r="79" spans="1:2" x14ac:dyDescent="0.3">
      <c r="A79" s="26">
        <f t="shared" si="1"/>
        <v>78</v>
      </c>
      <c r="B79" s="5" t="s">
        <v>419</v>
      </c>
    </row>
    <row r="80" spans="1:2" x14ac:dyDescent="0.3">
      <c r="A80" s="26">
        <f t="shared" si="1"/>
        <v>79</v>
      </c>
      <c r="B80" s="5" t="s">
        <v>420</v>
      </c>
    </row>
    <row r="81" spans="1:2" x14ac:dyDescent="0.3">
      <c r="A81" s="26">
        <f t="shared" si="1"/>
        <v>80</v>
      </c>
      <c r="B81" s="5" t="s">
        <v>421</v>
      </c>
    </row>
    <row r="82" spans="1:2" x14ac:dyDescent="0.3">
      <c r="A82" s="26">
        <f t="shared" si="1"/>
        <v>81</v>
      </c>
      <c r="B82" s="5" t="s">
        <v>422</v>
      </c>
    </row>
    <row r="83" spans="1:2" x14ac:dyDescent="0.3">
      <c r="A83" s="26">
        <f t="shared" si="1"/>
        <v>82</v>
      </c>
      <c r="B83" s="198" t="s">
        <v>423</v>
      </c>
    </row>
    <row r="84" spans="1:2" x14ac:dyDescent="0.3">
      <c r="A84" s="26">
        <f t="shared" si="1"/>
        <v>83</v>
      </c>
      <c r="B84" s="198" t="s">
        <v>424</v>
      </c>
    </row>
    <row r="85" spans="1:2" x14ac:dyDescent="0.3">
      <c r="A85" s="26">
        <f t="shared" si="1"/>
        <v>84</v>
      </c>
      <c r="B85" s="198" t="s">
        <v>425</v>
      </c>
    </row>
    <row r="86" spans="1:2" x14ac:dyDescent="0.3">
      <c r="A86" s="26">
        <f t="shared" si="1"/>
        <v>85</v>
      </c>
      <c r="B86" s="198" t="s">
        <v>426</v>
      </c>
    </row>
    <row r="87" spans="1:2" x14ac:dyDescent="0.3">
      <c r="A87" s="26">
        <f t="shared" si="1"/>
        <v>86</v>
      </c>
      <c r="B87" s="198" t="s">
        <v>427</v>
      </c>
    </row>
    <row r="88" spans="1:2" x14ac:dyDescent="0.3">
      <c r="A88" s="26">
        <f>A87+1</f>
        <v>87</v>
      </c>
      <c r="B88" s="198" t="s">
        <v>428</v>
      </c>
    </row>
    <row r="89" spans="1:2" x14ac:dyDescent="0.3">
      <c r="A89" s="26">
        <f>A88+1</f>
        <v>88</v>
      </c>
      <c r="B89" s="198" t="s">
        <v>429</v>
      </c>
    </row>
    <row r="90" spans="1:2" x14ac:dyDescent="0.3">
      <c r="A90" s="26">
        <f>A89+1</f>
        <v>89</v>
      </c>
      <c r="B90" s="198" t="s">
        <v>430</v>
      </c>
    </row>
    <row r="91" spans="1:2" x14ac:dyDescent="0.3">
      <c r="A91" s="26">
        <f>A90+1</f>
        <v>90</v>
      </c>
      <c r="B91" s="198" t="s">
        <v>431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ToDo&amp;Log</vt:lpstr>
      <vt:lpstr>#1,2,3 Simple</vt:lpstr>
      <vt:lpstr>common</vt:lpstr>
      <vt:lpstr>#1CH modbus</vt:lpstr>
      <vt:lpstr>#2CH modbus</vt:lpstr>
      <vt:lpstr>#3CH modbus</vt:lpstr>
      <vt:lpstr>Alarm Channel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ordinaryface</dc:creator>
  <cp:lastModifiedBy>진성 김</cp:lastModifiedBy>
  <cp:lastPrinted>2020-05-15T01:07:18Z</cp:lastPrinted>
  <dcterms:created xsi:type="dcterms:W3CDTF">2018-05-11T05:11:20Z</dcterms:created>
  <dcterms:modified xsi:type="dcterms:W3CDTF">2026-09-01T07:15:35Z</dcterms:modified>
</cp:coreProperties>
</file>